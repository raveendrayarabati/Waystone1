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5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2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10.xml" ContentType="application/vnd.ms-excel.controlproperties+xml"/>
  <Override PartName="/xl/ctrlProps/ctrlProps5.xml" ContentType="application/vnd.ms-excel.controlproperties+xml"/>
  <Override PartName="/xl/ctrlProps/ctrlProps11.xml" ContentType="application/vnd.ms-excel.controlproperties+xml"/>
  <Override PartName="/xl/ctrlProps/ctrlProps6.xml" ContentType="application/vnd.ms-excel.controlproperties+xml"/>
  <Override PartName="/xl/ctrlProps/ctrlProps12.xml" ContentType="application/vnd.ms-excel.controlproperties+xml"/>
  <Override PartName="/xl/ctrlProps/ctrlProps7.xml" ContentType="application/vnd.ms-excel.controlproperties+xml"/>
  <Override PartName="/xl/ctrlProps/ctrlProps13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4"/>
  </bookViews>
  <sheets>
    <sheet name="Control Panel" sheetId="1" state="visible" r:id="rId3"/>
    <sheet name="13F Data" sheetId="2" state="visible" r:id="rId4"/>
    <sheet name="EOD Data" sheetId="3" state="visible" r:id="rId5"/>
    <sheet name="Client Data" sheetId="4" state="visible" r:id="rId6"/>
    <sheet name="Working Sheet" sheetId="5" state="visible" r:id="rId7"/>
    <sheet name="Output" sheetId="6" state="visible" r:id="rId8"/>
    <sheet name="-" sheetId="7" state="hidden" r:id="rId9"/>
  </sheets>
  <definedNames>
    <definedName function="false" hidden="true" localSheetId="1" name="_xlnm._FilterDatabase" vbProcedure="false">'13F Data'!$A$1:$E$17872</definedName>
    <definedName function="false" hidden="true" localSheetId="4" name="_xlnm._FilterDatabase" vbProcedure="false">'Working Sheet'!$A$2:$AE$33</definedName>
    <definedName function="false" hidden="false" localSheetId="0" name="C_\Users\LucasYeung.AzureAD\Desktop\tabula_13flist2019q2__1_.csv" vbProcedure="false">'control panel'!#ref!</definedName>
    <definedName function="false" hidden="false" localSheetId="1" name="C_\Users\LucasYeung.AzureAD\Desktop\tabula_13flist2019q2__1_.csv" vbProcedure="false">'13F Data'!$A$1:$F$1</definedName>
    <definedName function="false" hidden="false" localSheetId="1" name="tabula_13flist2019q2__1" vbProcedure="false">'13f data'!#ref!</definedName>
    <definedName function="false" hidden="false" localSheetId="1" name="tabula_13flist2019q2__1__1" vbProcedure="false">'13f data'!#ref!</definedName>
    <definedName function="false" hidden="false" localSheetId="1" name="tabula_13flist2019q2__1__10" vbProcedure="false">'13F Data'!$A$1:$F$1</definedName>
    <definedName function="false" hidden="false" localSheetId="1" name="tabula_13flist2019q2__1__11" vbProcedure="false">'13f data'!#ref!</definedName>
    <definedName function="false" hidden="false" localSheetId="1" name="tabula_13flist2019q2__1__12" vbProcedure="false">'13f data'!#ref!</definedName>
    <definedName function="false" hidden="false" localSheetId="1" name="tabula_13flist2019q2__1__13" vbProcedure="false">'13f data'!#ref!</definedName>
    <definedName function="false" hidden="false" localSheetId="1" name="tabula_13flist2019q2__1__14" vbProcedure="false">'13f data'!#ref!</definedName>
    <definedName function="false" hidden="false" localSheetId="1" name="tabula_13flist2019q2__1__15" vbProcedure="false">'13f data'!#ref!</definedName>
    <definedName function="false" hidden="false" localSheetId="1" name="tabula_13flist2019q2__1__16" vbProcedure="false">'13f data'!#ref!</definedName>
    <definedName function="false" hidden="false" localSheetId="1" name="tabula_13flist2019q2__1__17" vbProcedure="false">'13f data'!#ref!</definedName>
    <definedName function="false" hidden="false" localSheetId="1" name="tabula_13flist2019q2__1__18" vbProcedure="false">'13f data'!#ref!</definedName>
    <definedName function="false" hidden="false" localSheetId="1" name="tabula_13flist2019q2__1__19" vbProcedure="false">'13f data'!#ref!</definedName>
    <definedName function="false" hidden="false" localSheetId="1" name="tabula_13flist2019q2__1__2" vbProcedure="false">'13f data'!#ref!</definedName>
    <definedName function="false" hidden="false" localSheetId="1" name="tabula_13flist2019q2__1__20" vbProcedure="false">'13f data'!#ref!</definedName>
    <definedName function="false" hidden="false" localSheetId="1" name="tabula_13flist2019q2__1__21" vbProcedure="false">'13f data'!#ref!</definedName>
    <definedName function="false" hidden="false" localSheetId="1" name="tabula_13flist2019q2__1__22" vbProcedure="false">'13f data'!#ref!</definedName>
    <definedName function="false" hidden="false" localSheetId="1" name="tabula_13flist2019q2__1__3" vbProcedure="false">'13F Data'!$A$1:$F$1</definedName>
    <definedName function="false" hidden="false" localSheetId="1" name="tabula_13flist2019q2__1__4" vbProcedure="false">'13F Data'!$A$1:$F$1</definedName>
    <definedName function="false" hidden="false" localSheetId="1" name="tabula_13flist2019q2__1__5" vbProcedure="false">'13F Data'!$A$1:$F$1</definedName>
    <definedName function="false" hidden="false" localSheetId="1" name="tabula_13flist2019q2__1__6" vbProcedure="false">'13F Data'!$A$1:$F$1</definedName>
    <definedName function="false" hidden="false" localSheetId="1" name="tabula_13flist2019q2__1__7" vbProcedure="false">'13f data'!#ref!</definedName>
    <definedName function="false" hidden="false" localSheetId="1" name="tabula_13flist2019q2__1__8" vbProcedure="false">'13F Data'!$A$1:$F$1</definedName>
    <definedName function="false" hidden="false" localSheetId="1" name="tabula_13flist2019q2__1__9" vbProcedure="false">'13F Data'!$A$1:$F$1</definedName>
    <definedName function="false" hidden="false" localSheetId="6" name="ExternalData_1" vbProcedure="false">'-'!#ref!</definedName>
    <definedName function="false" hidden="false" localSheetId="6" name="ExternalData_10" vbProcedure="false">'-'!#ref!</definedName>
    <definedName function="false" hidden="false" localSheetId="6" name="ExternalData_100" vbProcedure="false">'-'!#ref!</definedName>
    <definedName function="false" hidden="false" localSheetId="6" name="ExternalData_1000" vbProcedure="false">'-'!#ref!</definedName>
    <definedName function="false" hidden="false" localSheetId="6" name="ExternalData_1001" vbProcedure="false">'-'!#ref!</definedName>
    <definedName function="false" hidden="false" localSheetId="6" name="ExternalData_1002" vbProcedure="false">'-'!#ref!</definedName>
    <definedName function="false" hidden="false" localSheetId="6" name="ExternalData_1003" vbProcedure="false">'-'!#ref!</definedName>
    <definedName function="false" hidden="false" localSheetId="6" name="ExternalData_1004" vbProcedure="false">'-'!#ref!</definedName>
    <definedName function="false" hidden="false" localSheetId="6" name="ExternalData_1005" vbProcedure="false">'-'!#ref!</definedName>
    <definedName function="false" hidden="false" localSheetId="6" name="ExternalData_1006" vbProcedure="false">'-'!#ref!</definedName>
    <definedName function="false" hidden="false" localSheetId="6" name="ExternalData_1007" vbProcedure="false">'-'!#ref!</definedName>
    <definedName function="false" hidden="false" localSheetId="6" name="ExternalData_1008" vbProcedure="false">'-'!#ref!</definedName>
    <definedName function="false" hidden="false" localSheetId="6" name="ExternalData_1009" vbProcedure="false">'-'!#ref!</definedName>
    <definedName function="false" hidden="false" localSheetId="6" name="ExternalData_101" vbProcedure="false">'-'!#ref!</definedName>
    <definedName function="false" hidden="false" localSheetId="6" name="ExternalData_1010" vbProcedure="false">'-'!#ref!</definedName>
    <definedName function="false" hidden="false" localSheetId="6" name="ExternalData_1011" vbProcedure="false">'-'!#ref!</definedName>
    <definedName function="false" hidden="false" localSheetId="6" name="ExternalData_1012" vbProcedure="false">'-'!#ref!</definedName>
    <definedName function="false" hidden="false" localSheetId="6" name="ExternalData_1013" vbProcedure="false">'-'!#ref!</definedName>
    <definedName function="false" hidden="false" localSheetId="6" name="ExternalData_1014" vbProcedure="false">'-'!#ref!</definedName>
    <definedName function="false" hidden="false" localSheetId="6" name="ExternalData_1015" vbProcedure="false">'-'!#ref!</definedName>
    <definedName function="false" hidden="false" localSheetId="6" name="ExternalData_1016" vbProcedure="false">'-'!#ref!</definedName>
    <definedName function="false" hidden="false" localSheetId="6" name="ExternalData_1017" vbProcedure="false">'-'!#ref!</definedName>
    <definedName function="false" hidden="false" localSheetId="6" name="ExternalData_1018" vbProcedure="false">'-'!#ref!</definedName>
    <definedName function="false" hidden="false" localSheetId="6" name="ExternalData_1019" vbProcedure="false">'-'!#ref!</definedName>
    <definedName function="false" hidden="false" localSheetId="6" name="ExternalData_102" vbProcedure="false">'-'!#ref!</definedName>
    <definedName function="false" hidden="false" localSheetId="6" name="ExternalData_1020" vbProcedure="false">'-'!#ref!</definedName>
    <definedName function="false" hidden="false" localSheetId="6" name="ExternalData_1021" vbProcedure="false">'-'!#ref!</definedName>
    <definedName function="false" hidden="false" localSheetId="6" name="ExternalData_1022" vbProcedure="false">'-'!#ref!</definedName>
    <definedName function="false" hidden="false" localSheetId="6" name="ExternalData_1023" vbProcedure="false">'-'!#ref!</definedName>
    <definedName function="false" hidden="false" localSheetId="6" name="ExternalData_1024" vbProcedure="false">'-'!#ref!</definedName>
    <definedName function="false" hidden="false" localSheetId="6" name="ExternalData_1025" vbProcedure="false">'-'!#ref!</definedName>
    <definedName function="false" hidden="false" localSheetId="6" name="ExternalData_1026" vbProcedure="false">'-'!#ref!</definedName>
    <definedName function="false" hidden="false" localSheetId="6" name="ExternalData_1027" vbProcedure="false">'-'!#ref!</definedName>
    <definedName function="false" hidden="false" localSheetId="6" name="ExternalData_1028" vbProcedure="false">'-'!#ref!</definedName>
    <definedName function="false" hidden="false" localSheetId="6" name="ExternalData_1029" vbProcedure="false">'-'!#ref!</definedName>
    <definedName function="false" hidden="false" localSheetId="6" name="ExternalData_103" vbProcedure="false">'-'!#ref!</definedName>
    <definedName function="false" hidden="false" localSheetId="6" name="ExternalData_1030" vbProcedure="false">'-'!#ref!</definedName>
    <definedName function="false" hidden="false" localSheetId="6" name="ExternalData_1031" vbProcedure="false">'-'!#ref!</definedName>
    <definedName function="false" hidden="false" localSheetId="6" name="ExternalData_1032" vbProcedure="false">'-'!#ref!</definedName>
    <definedName function="false" hidden="false" localSheetId="6" name="ExternalData_1033" vbProcedure="false">'-'!#ref!</definedName>
    <definedName function="false" hidden="false" localSheetId="6" name="ExternalData_1034" vbProcedure="false">'-'!#ref!</definedName>
    <definedName function="false" hidden="false" localSheetId="6" name="ExternalData_1035" vbProcedure="false">'-'!#ref!</definedName>
    <definedName function="false" hidden="false" localSheetId="6" name="ExternalData_1036" vbProcedure="false">'-'!#ref!</definedName>
    <definedName function="false" hidden="false" localSheetId="6" name="ExternalData_1037" vbProcedure="false">'-'!#ref!</definedName>
    <definedName function="false" hidden="false" localSheetId="6" name="ExternalData_1038" vbProcedure="false">'-'!#ref!</definedName>
    <definedName function="false" hidden="false" localSheetId="6" name="ExternalData_1039" vbProcedure="false">'-'!#ref!</definedName>
    <definedName function="false" hidden="false" localSheetId="6" name="ExternalData_104" vbProcedure="false">'-'!#ref!</definedName>
    <definedName function="false" hidden="false" localSheetId="6" name="ExternalData_1040" vbProcedure="false">'-'!#ref!</definedName>
    <definedName function="false" hidden="false" localSheetId="6" name="ExternalData_1041" vbProcedure="false">'-'!#ref!</definedName>
    <definedName function="false" hidden="false" localSheetId="6" name="ExternalData_1042" vbProcedure="false">'-'!#ref!</definedName>
    <definedName function="false" hidden="false" localSheetId="6" name="ExternalData_1043" vbProcedure="false">'-'!#ref!</definedName>
    <definedName function="false" hidden="false" localSheetId="6" name="ExternalData_1044" vbProcedure="false">'-'!#ref!</definedName>
    <definedName function="false" hidden="false" localSheetId="6" name="ExternalData_1045" vbProcedure="false">'-'!#ref!</definedName>
    <definedName function="false" hidden="false" localSheetId="6" name="ExternalData_1046" vbProcedure="false">'-'!#ref!</definedName>
    <definedName function="false" hidden="false" localSheetId="6" name="ExternalData_1047" vbProcedure="false">'-'!#ref!</definedName>
    <definedName function="false" hidden="false" localSheetId="6" name="ExternalData_1048" vbProcedure="false">'-'!#ref!</definedName>
    <definedName function="false" hidden="false" localSheetId="6" name="ExternalData_1049" vbProcedure="false">'-'!#ref!</definedName>
    <definedName function="false" hidden="false" localSheetId="6" name="ExternalData_105" vbProcedure="false">'-'!#ref!</definedName>
    <definedName function="false" hidden="false" localSheetId="6" name="ExternalData_1050" vbProcedure="false">'-'!#ref!</definedName>
    <definedName function="false" hidden="false" localSheetId="6" name="ExternalData_1051" vbProcedure="false">'-'!#ref!</definedName>
    <definedName function="false" hidden="false" localSheetId="6" name="ExternalData_1052" vbProcedure="false">'-'!#ref!</definedName>
    <definedName function="false" hidden="false" localSheetId="6" name="ExternalData_1053" vbProcedure="false">'-'!#ref!</definedName>
    <definedName function="false" hidden="false" localSheetId="6" name="ExternalData_1054" vbProcedure="false">'-'!#ref!</definedName>
    <definedName function="false" hidden="false" localSheetId="6" name="ExternalData_1055" vbProcedure="false">'-'!#ref!</definedName>
    <definedName function="false" hidden="false" localSheetId="6" name="ExternalData_1056" vbProcedure="false">'-'!#ref!</definedName>
    <definedName function="false" hidden="false" localSheetId="6" name="ExternalData_1057" vbProcedure="false">'-'!#ref!</definedName>
    <definedName function="false" hidden="false" localSheetId="6" name="ExternalData_1058" vbProcedure="false">'-'!#ref!</definedName>
    <definedName function="false" hidden="false" localSheetId="6" name="ExternalData_1059" vbProcedure="false">'-'!#ref!</definedName>
    <definedName function="false" hidden="false" localSheetId="6" name="ExternalData_106" vbProcedure="false">'-'!#ref!</definedName>
    <definedName function="false" hidden="false" localSheetId="6" name="ExternalData_1060" vbProcedure="false">'-'!#ref!</definedName>
    <definedName function="false" hidden="false" localSheetId="6" name="ExternalData_1061" vbProcedure="false">'-'!#ref!</definedName>
    <definedName function="false" hidden="false" localSheetId="6" name="ExternalData_1062" vbProcedure="false">'-'!#ref!</definedName>
    <definedName function="false" hidden="false" localSheetId="6" name="ExternalData_1063" vbProcedure="false">'-'!#ref!</definedName>
    <definedName function="false" hidden="false" localSheetId="6" name="ExternalData_1064" vbProcedure="false">'-'!#ref!</definedName>
    <definedName function="false" hidden="false" localSheetId="6" name="ExternalData_1065" vbProcedure="false">'-'!#ref!</definedName>
    <definedName function="false" hidden="false" localSheetId="6" name="ExternalData_1066" vbProcedure="false">'-'!#ref!</definedName>
    <definedName function="false" hidden="false" localSheetId="6" name="ExternalData_1067" vbProcedure="false">'-'!#ref!</definedName>
    <definedName function="false" hidden="false" localSheetId="6" name="ExternalData_1068" vbProcedure="false">'-'!#ref!</definedName>
    <definedName function="false" hidden="false" localSheetId="6" name="ExternalData_1069" vbProcedure="false">'-'!#ref!</definedName>
    <definedName function="false" hidden="false" localSheetId="6" name="ExternalData_107" vbProcedure="false">'-'!#ref!</definedName>
    <definedName function="false" hidden="false" localSheetId="6" name="ExternalData_1070" vbProcedure="false">'-'!#ref!</definedName>
    <definedName function="false" hidden="false" localSheetId="6" name="ExternalData_1071" vbProcedure="false">'-'!#ref!</definedName>
    <definedName function="false" hidden="false" localSheetId="6" name="ExternalData_1072" vbProcedure="false">'-'!#ref!</definedName>
    <definedName function="false" hidden="false" localSheetId="6" name="ExternalData_1073" vbProcedure="false">'-'!#ref!</definedName>
    <definedName function="false" hidden="false" localSheetId="6" name="ExternalData_1074" vbProcedure="false">'-'!#ref!</definedName>
    <definedName function="false" hidden="false" localSheetId="6" name="ExternalData_1075" vbProcedure="false">'-'!#ref!</definedName>
    <definedName function="false" hidden="false" localSheetId="6" name="ExternalData_1076" vbProcedure="false">'-'!#ref!</definedName>
    <definedName function="false" hidden="false" localSheetId="6" name="ExternalData_1077" vbProcedure="false">'-'!#ref!</definedName>
    <definedName function="false" hidden="false" localSheetId="6" name="ExternalData_1078" vbProcedure="false">'-'!#ref!</definedName>
    <definedName function="false" hidden="false" localSheetId="6" name="ExternalData_1079" vbProcedure="false">'-'!#ref!</definedName>
    <definedName function="false" hidden="false" localSheetId="6" name="ExternalData_108" vbProcedure="false">'-'!#ref!</definedName>
    <definedName function="false" hidden="false" localSheetId="6" name="ExternalData_1080" vbProcedure="false">'-'!#ref!</definedName>
    <definedName function="false" hidden="false" localSheetId="6" name="ExternalData_1081" vbProcedure="false">'-'!#ref!</definedName>
    <definedName function="false" hidden="false" localSheetId="6" name="ExternalData_1082" vbProcedure="false">'-'!#ref!</definedName>
    <definedName function="false" hidden="false" localSheetId="6" name="ExternalData_1083" vbProcedure="false">'-'!#ref!</definedName>
    <definedName function="false" hidden="false" localSheetId="6" name="ExternalData_1084" vbProcedure="false">'-'!#ref!</definedName>
    <definedName function="false" hidden="false" localSheetId="6" name="ExternalData_1085" vbProcedure="false">'-'!#ref!</definedName>
    <definedName function="false" hidden="false" localSheetId="6" name="ExternalData_1086" vbProcedure="false">'-'!#ref!</definedName>
    <definedName function="false" hidden="false" localSheetId="6" name="ExternalData_1087" vbProcedure="false">'-'!#ref!</definedName>
    <definedName function="false" hidden="false" localSheetId="6" name="ExternalData_1088" vbProcedure="false">'-'!#ref!</definedName>
    <definedName function="false" hidden="false" localSheetId="6" name="ExternalData_1089" vbProcedure="false">'-'!#ref!</definedName>
    <definedName function="false" hidden="false" localSheetId="6" name="ExternalData_109" vbProcedure="false">'-'!#ref!</definedName>
    <definedName function="false" hidden="false" localSheetId="6" name="ExternalData_1090" vbProcedure="false">'-'!#ref!</definedName>
    <definedName function="false" hidden="false" localSheetId="6" name="ExternalData_1091" vbProcedure="false">'-'!#ref!</definedName>
    <definedName function="false" hidden="false" localSheetId="6" name="ExternalData_1092" vbProcedure="false">'-'!#ref!</definedName>
    <definedName function="false" hidden="false" localSheetId="6" name="ExternalData_1093" vbProcedure="false">'-'!#ref!</definedName>
    <definedName function="false" hidden="false" localSheetId="6" name="ExternalData_1094" vbProcedure="false">'-'!#ref!</definedName>
    <definedName function="false" hidden="false" localSheetId="6" name="ExternalData_1095" vbProcedure="false">'-'!#ref!</definedName>
    <definedName function="false" hidden="false" localSheetId="6" name="ExternalData_1096" vbProcedure="false">'-'!#ref!</definedName>
    <definedName function="false" hidden="false" localSheetId="6" name="ExternalData_1097" vbProcedure="false">'-'!#ref!</definedName>
    <definedName function="false" hidden="false" localSheetId="6" name="ExternalData_1098" vbProcedure="false">'-'!#ref!</definedName>
    <definedName function="false" hidden="false" localSheetId="6" name="ExternalData_1099" vbProcedure="false">'-'!#ref!</definedName>
    <definedName function="false" hidden="false" localSheetId="6" name="ExternalData_11" vbProcedure="false">'-'!#ref!</definedName>
    <definedName function="false" hidden="false" localSheetId="6" name="ExternalData_110" vbProcedure="false">'-'!#ref!</definedName>
    <definedName function="false" hidden="false" localSheetId="6" name="ExternalData_1100" vbProcedure="false">'-'!#ref!</definedName>
    <definedName function="false" hidden="false" localSheetId="6" name="ExternalData_1101" vbProcedure="false">'-'!#ref!</definedName>
    <definedName function="false" hidden="false" localSheetId="6" name="ExternalData_1102" vbProcedure="false">'-'!#ref!</definedName>
    <definedName function="false" hidden="false" localSheetId="6" name="ExternalData_1103" vbProcedure="false">'-'!#ref!</definedName>
    <definedName function="false" hidden="false" localSheetId="6" name="ExternalData_1104" vbProcedure="false">'-'!#ref!</definedName>
    <definedName function="false" hidden="false" localSheetId="6" name="ExternalData_1105" vbProcedure="false">'-'!#ref!</definedName>
    <definedName function="false" hidden="false" localSheetId="6" name="ExternalData_1106" vbProcedure="false">'-'!#ref!</definedName>
    <definedName function="false" hidden="false" localSheetId="6" name="ExternalData_1107" vbProcedure="false">'-'!#ref!</definedName>
    <definedName function="false" hidden="false" localSheetId="6" name="ExternalData_1108" vbProcedure="false">'-'!#ref!</definedName>
    <definedName function="false" hidden="false" localSheetId="6" name="ExternalData_1109" vbProcedure="false">'-'!#ref!</definedName>
    <definedName function="false" hidden="false" localSheetId="6" name="ExternalData_111" vbProcedure="false">'-'!#ref!</definedName>
    <definedName function="false" hidden="false" localSheetId="6" name="ExternalData_1110" vbProcedure="false">'-'!#ref!</definedName>
    <definedName function="false" hidden="false" localSheetId="6" name="ExternalData_1111" vbProcedure="false">'-'!#ref!</definedName>
    <definedName function="false" hidden="false" localSheetId="6" name="ExternalData_1112" vbProcedure="false">'-'!#ref!</definedName>
    <definedName function="false" hidden="false" localSheetId="6" name="ExternalData_1113" vbProcedure="false">'-'!#ref!</definedName>
    <definedName function="false" hidden="false" localSheetId="6" name="ExternalData_1114" vbProcedure="false">'-'!#ref!</definedName>
    <definedName function="false" hidden="false" localSheetId="6" name="ExternalData_1115" vbProcedure="false">'-'!#ref!</definedName>
    <definedName function="false" hidden="false" localSheetId="6" name="ExternalData_1116" vbProcedure="false">'-'!#ref!</definedName>
    <definedName function="false" hidden="false" localSheetId="6" name="ExternalData_1117" vbProcedure="false">'-'!#ref!</definedName>
    <definedName function="false" hidden="false" localSheetId="6" name="ExternalData_1118" vbProcedure="false">'-'!#ref!</definedName>
    <definedName function="false" hidden="false" localSheetId="6" name="ExternalData_1119" vbProcedure="false">'-'!#ref!</definedName>
    <definedName function="false" hidden="false" localSheetId="6" name="ExternalData_112" vbProcedure="false">'-'!#ref!</definedName>
    <definedName function="false" hidden="false" localSheetId="6" name="ExternalData_1120" vbProcedure="false">'-'!#ref!</definedName>
    <definedName function="false" hidden="false" localSheetId="6" name="ExternalData_1121" vbProcedure="false">'-'!#ref!</definedName>
    <definedName function="false" hidden="false" localSheetId="6" name="ExternalData_1122" vbProcedure="false">'-'!#ref!</definedName>
    <definedName function="false" hidden="false" localSheetId="6" name="ExternalData_1123" vbProcedure="false">'-'!#ref!</definedName>
    <definedName function="false" hidden="false" localSheetId="6" name="ExternalData_1124" vbProcedure="false">'-'!#ref!</definedName>
    <definedName function="false" hidden="false" localSheetId="6" name="ExternalData_1125" vbProcedure="false">'-'!#ref!</definedName>
    <definedName function="false" hidden="false" localSheetId="6" name="ExternalData_1126" vbProcedure="false">'-'!#ref!</definedName>
    <definedName function="false" hidden="false" localSheetId="6" name="ExternalData_1127" vbProcedure="false">'-'!#ref!</definedName>
    <definedName function="false" hidden="false" localSheetId="6" name="ExternalData_1128" vbProcedure="false">'-'!#ref!</definedName>
    <definedName function="false" hidden="false" localSheetId="6" name="ExternalData_1129" vbProcedure="false">'-'!#ref!</definedName>
    <definedName function="false" hidden="false" localSheetId="6" name="ExternalData_113" vbProcedure="false">'-'!#ref!</definedName>
    <definedName function="false" hidden="false" localSheetId="6" name="ExternalData_1130" vbProcedure="false">'-'!#ref!</definedName>
    <definedName function="false" hidden="false" localSheetId="6" name="ExternalData_1131" vbProcedure="false">'-'!#ref!</definedName>
    <definedName function="false" hidden="false" localSheetId="6" name="ExternalData_1132" vbProcedure="false">'-'!#ref!</definedName>
    <definedName function="false" hidden="false" localSheetId="6" name="ExternalData_1133" vbProcedure="false">'-'!#ref!</definedName>
    <definedName function="false" hidden="false" localSheetId="6" name="ExternalData_1134" vbProcedure="false">'-'!#ref!</definedName>
    <definedName function="false" hidden="false" localSheetId="6" name="ExternalData_1135" vbProcedure="false">'-'!#ref!</definedName>
    <definedName function="false" hidden="false" localSheetId="6" name="ExternalData_1136" vbProcedure="false">'-'!#ref!</definedName>
    <definedName function="false" hidden="false" localSheetId="6" name="ExternalData_1137" vbProcedure="false">'-'!#ref!</definedName>
    <definedName function="false" hidden="false" localSheetId="6" name="ExternalData_1138" vbProcedure="false">'-'!#ref!</definedName>
    <definedName function="false" hidden="false" localSheetId="6" name="ExternalData_1139" vbProcedure="false">'-'!#ref!</definedName>
    <definedName function="false" hidden="false" localSheetId="6" name="ExternalData_114" vbProcedure="false">'-'!#ref!</definedName>
    <definedName function="false" hidden="false" localSheetId="6" name="ExternalData_1140" vbProcedure="false">'-'!#ref!</definedName>
    <definedName function="false" hidden="false" localSheetId="6" name="ExternalData_1141" vbProcedure="false">'-'!#ref!</definedName>
    <definedName function="false" hidden="false" localSheetId="6" name="ExternalData_1142" vbProcedure="false">'-'!#ref!</definedName>
    <definedName function="false" hidden="false" localSheetId="6" name="ExternalData_1143" vbProcedure="false">'-'!#ref!</definedName>
    <definedName function="false" hidden="false" localSheetId="6" name="ExternalData_1144" vbProcedure="false">'-'!#ref!</definedName>
    <definedName function="false" hidden="false" localSheetId="6" name="ExternalData_1145" vbProcedure="false">'-'!#ref!</definedName>
    <definedName function="false" hidden="false" localSheetId="6" name="ExternalData_1146" vbProcedure="false">'-'!#ref!</definedName>
    <definedName function="false" hidden="false" localSheetId="6" name="ExternalData_1147" vbProcedure="false">'-'!#ref!</definedName>
    <definedName function="false" hidden="false" localSheetId="6" name="ExternalData_1148" vbProcedure="false">'-'!#ref!</definedName>
    <definedName function="false" hidden="false" localSheetId="6" name="ExternalData_1149" vbProcedure="false">'-'!#ref!</definedName>
    <definedName function="false" hidden="false" localSheetId="6" name="ExternalData_115" vbProcedure="false">'-'!#ref!</definedName>
    <definedName function="false" hidden="false" localSheetId="6" name="ExternalData_1150" vbProcedure="false">'-'!#ref!</definedName>
    <definedName function="false" hidden="false" localSheetId="6" name="ExternalData_1151" vbProcedure="false">'-'!#ref!</definedName>
    <definedName function="false" hidden="false" localSheetId="6" name="ExternalData_1152" vbProcedure="false">'-'!#ref!</definedName>
    <definedName function="false" hidden="false" localSheetId="6" name="ExternalData_1153" vbProcedure="false">'-'!#ref!</definedName>
    <definedName function="false" hidden="false" localSheetId="6" name="ExternalData_1154" vbProcedure="false">'-'!#ref!</definedName>
    <definedName function="false" hidden="false" localSheetId="6" name="ExternalData_1155" vbProcedure="false">'-'!#ref!</definedName>
    <definedName function="false" hidden="false" localSheetId="6" name="ExternalData_1156" vbProcedure="false">'-'!#ref!</definedName>
    <definedName function="false" hidden="false" localSheetId="6" name="ExternalData_1157" vbProcedure="false">'-'!#ref!</definedName>
    <definedName function="false" hidden="false" localSheetId="6" name="ExternalData_1158" vbProcedure="false">'-'!#ref!</definedName>
    <definedName function="false" hidden="false" localSheetId="6" name="ExternalData_1159" vbProcedure="false">'-'!#ref!</definedName>
    <definedName function="false" hidden="false" localSheetId="6" name="ExternalData_116" vbProcedure="false">'-'!#ref!</definedName>
    <definedName function="false" hidden="false" localSheetId="6" name="ExternalData_1160" vbProcedure="false">'-'!#ref!</definedName>
    <definedName function="false" hidden="false" localSheetId="6" name="ExternalData_1161" vbProcedure="false">'-'!#ref!</definedName>
    <definedName function="false" hidden="false" localSheetId="6" name="ExternalData_1162" vbProcedure="false">'-'!#ref!</definedName>
    <definedName function="false" hidden="false" localSheetId="6" name="ExternalData_1163" vbProcedure="false">'-'!#ref!</definedName>
    <definedName function="false" hidden="false" localSheetId="6" name="ExternalData_1164" vbProcedure="false">'-'!#ref!</definedName>
    <definedName function="false" hidden="false" localSheetId="6" name="ExternalData_1165" vbProcedure="false">'-'!#ref!</definedName>
    <definedName function="false" hidden="false" localSheetId="6" name="ExternalData_1166" vbProcedure="false">'-'!#ref!</definedName>
    <definedName function="false" hidden="false" localSheetId="6" name="ExternalData_1167" vbProcedure="false">'-'!#ref!</definedName>
    <definedName function="false" hidden="false" localSheetId="6" name="ExternalData_1168" vbProcedure="false">'-'!#ref!</definedName>
    <definedName function="false" hidden="false" localSheetId="6" name="ExternalData_1169" vbProcedure="false">'-'!#ref!</definedName>
    <definedName function="false" hidden="false" localSheetId="6" name="ExternalData_117" vbProcedure="false">'-'!#ref!</definedName>
    <definedName function="false" hidden="false" localSheetId="6" name="ExternalData_1170" vbProcedure="false">'-'!#ref!</definedName>
    <definedName function="false" hidden="false" localSheetId="6" name="ExternalData_1171" vbProcedure="false">'-'!#ref!</definedName>
    <definedName function="false" hidden="false" localSheetId="6" name="ExternalData_1172" vbProcedure="false">'-'!#ref!</definedName>
    <definedName function="false" hidden="false" localSheetId="6" name="ExternalData_1173" vbProcedure="false">'-'!#ref!</definedName>
    <definedName function="false" hidden="false" localSheetId="6" name="ExternalData_1174" vbProcedure="false">'-'!#ref!</definedName>
    <definedName function="false" hidden="false" localSheetId="6" name="ExternalData_1175" vbProcedure="false">'-'!#ref!</definedName>
    <definedName function="false" hidden="false" localSheetId="6" name="ExternalData_1176" vbProcedure="false">'-'!#ref!</definedName>
    <definedName function="false" hidden="false" localSheetId="6" name="ExternalData_1177" vbProcedure="false">'-'!#ref!</definedName>
    <definedName function="false" hidden="false" localSheetId="6" name="ExternalData_1178" vbProcedure="false">'-'!#ref!</definedName>
    <definedName function="false" hidden="false" localSheetId="6" name="ExternalData_1179" vbProcedure="false">'-'!#ref!</definedName>
    <definedName function="false" hidden="false" localSheetId="6" name="ExternalData_118" vbProcedure="false">'-'!#ref!</definedName>
    <definedName function="false" hidden="false" localSheetId="6" name="ExternalData_1180" vbProcedure="false">'-'!#ref!</definedName>
    <definedName function="false" hidden="false" localSheetId="6" name="ExternalData_1181" vbProcedure="false">'-'!#ref!</definedName>
    <definedName function="false" hidden="false" localSheetId="6" name="ExternalData_1182" vbProcedure="false">'-'!#ref!</definedName>
    <definedName function="false" hidden="false" localSheetId="6" name="ExternalData_1183" vbProcedure="false">'-'!#ref!</definedName>
    <definedName function="false" hidden="false" localSheetId="6" name="ExternalData_1184" vbProcedure="false">'-'!#ref!</definedName>
    <definedName function="false" hidden="false" localSheetId="6" name="ExternalData_1185" vbProcedure="false">'-'!#ref!</definedName>
    <definedName function="false" hidden="false" localSheetId="6" name="ExternalData_1186" vbProcedure="false">'-'!#ref!</definedName>
    <definedName function="false" hidden="false" localSheetId="6" name="ExternalData_1187" vbProcedure="false">'-'!#ref!</definedName>
    <definedName function="false" hidden="false" localSheetId="6" name="ExternalData_1188" vbProcedure="false">'-'!#ref!</definedName>
    <definedName function="false" hidden="false" localSheetId="6" name="ExternalData_1189" vbProcedure="false">'-'!#ref!</definedName>
    <definedName function="false" hidden="false" localSheetId="6" name="ExternalData_119" vbProcedure="false">'-'!#ref!</definedName>
    <definedName function="false" hidden="false" localSheetId="6" name="ExternalData_1190" vbProcedure="false">'-'!#ref!</definedName>
    <definedName function="false" hidden="false" localSheetId="6" name="ExternalData_1191" vbProcedure="false">'-'!#ref!</definedName>
    <definedName function="false" hidden="false" localSheetId="6" name="ExternalData_1192" vbProcedure="false">'-'!#ref!</definedName>
    <definedName function="false" hidden="false" localSheetId="6" name="ExternalData_1193" vbProcedure="false">'-'!#ref!</definedName>
    <definedName function="false" hidden="false" localSheetId="6" name="ExternalData_1194" vbProcedure="false">'-'!#ref!</definedName>
    <definedName function="false" hidden="false" localSheetId="6" name="ExternalData_1195" vbProcedure="false">'-'!#ref!</definedName>
    <definedName function="false" hidden="false" localSheetId="6" name="ExternalData_1196" vbProcedure="false">'-'!#ref!</definedName>
    <definedName function="false" hidden="false" localSheetId="6" name="ExternalData_1197" vbProcedure="false">'-'!#ref!</definedName>
    <definedName function="false" hidden="false" localSheetId="6" name="ExternalData_1198" vbProcedure="false">'-'!#ref!</definedName>
    <definedName function="false" hidden="false" localSheetId="6" name="ExternalData_1199" vbProcedure="false">'-'!#ref!</definedName>
    <definedName function="false" hidden="false" localSheetId="6" name="ExternalData_12" vbProcedure="false">'-'!#ref!</definedName>
    <definedName function="false" hidden="false" localSheetId="6" name="ExternalData_120" vbProcedure="false">'-'!#ref!</definedName>
    <definedName function="false" hidden="false" localSheetId="6" name="ExternalData_1200" vbProcedure="false">'-'!#ref!</definedName>
    <definedName function="false" hidden="false" localSheetId="6" name="ExternalData_1201" vbProcedure="false">'-'!#ref!</definedName>
    <definedName function="false" hidden="false" localSheetId="6" name="ExternalData_1202" vbProcedure="false">'-'!#ref!</definedName>
    <definedName function="false" hidden="false" localSheetId="6" name="ExternalData_1203" vbProcedure="false">'-'!#ref!</definedName>
    <definedName function="false" hidden="false" localSheetId="6" name="ExternalData_1204" vbProcedure="false">'-'!#ref!</definedName>
    <definedName function="false" hidden="false" localSheetId="6" name="ExternalData_1205" vbProcedure="false">'-'!#ref!</definedName>
    <definedName function="false" hidden="false" localSheetId="6" name="ExternalData_1206" vbProcedure="false">'-'!#ref!</definedName>
    <definedName function="false" hidden="false" localSheetId="6" name="ExternalData_1207" vbProcedure="false">'-'!#ref!</definedName>
    <definedName function="false" hidden="false" localSheetId="6" name="ExternalData_1208" vbProcedure="false">'-'!#ref!</definedName>
    <definedName function="false" hidden="false" localSheetId="6" name="ExternalData_1209" vbProcedure="false">'-'!#ref!</definedName>
    <definedName function="false" hidden="false" localSheetId="6" name="ExternalData_121" vbProcedure="false">'-'!#ref!</definedName>
    <definedName function="false" hidden="false" localSheetId="6" name="ExternalData_1210" vbProcedure="false">'-'!#ref!</definedName>
    <definedName function="false" hidden="false" localSheetId="6" name="ExternalData_1211" vbProcedure="false">'-'!#ref!</definedName>
    <definedName function="false" hidden="false" localSheetId="6" name="ExternalData_1212" vbProcedure="false">'-'!#ref!</definedName>
    <definedName function="false" hidden="false" localSheetId="6" name="ExternalData_1213" vbProcedure="false">'-'!#ref!</definedName>
    <definedName function="false" hidden="false" localSheetId="6" name="ExternalData_1214" vbProcedure="false">'-'!#ref!</definedName>
    <definedName function="false" hidden="false" localSheetId="6" name="ExternalData_1215" vbProcedure="false">'-'!#ref!</definedName>
    <definedName function="false" hidden="false" localSheetId="6" name="ExternalData_1216" vbProcedure="false">'-'!#ref!</definedName>
    <definedName function="false" hidden="false" localSheetId="6" name="ExternalData_1217" vbProcedure="false">'-'!#ref!</definedName>
    <definedName function="false" hidden="false" localSheetId="6" name="ExternalData_1218" vbProcedure="false">'-'!#ref!</definedName>
    <definedName function="false" hidden="false" localSheetId="6" name="ExternalData_1219" vbProcedure="false">'-'!#ref!</definedName>
    <definedName function="false" hidden="false" localSheetId="6" name="ExternalData_122" vbProcedure="false">'-'!#ref!</definedName>
    <definedName function="false" hidden="false" localSheetId="6" name="ExternalData_1220" vbProcedure="false">'-'!#ref!</definedName>
    <definedName function="false" hidden="false" localSheetId="6" name="ExternalData_1221" vbProcedure="false">'-'!#ref!</definedName>
    <definedName function="false" hidden="false" localSheetId="6" name="ExternalData_1222" vbProcedure="false">'-'!#ref!</definedName>
    <definedName function="false" hidden="false" localSheetId="6" name="ExternalData_1223" vbProcedure="false">'-'!#ref!</definedName>
    <definedName function="false" hidden="false" localSheetId="6" name="ExternalData_1224" vbProcedure="false">'-'!#ref!</definedName>
    <definedName function="false" hidden="false" localSheetId="6" name="ExternalData_1225" vbProcedure="false">'-'!#ref!</definedName>
    <definedName function="false" hidden="false" localSheetId="6" name="ExternalData_1226" vbProcedure="false">'-'!#ref!</definedName>
    <definedName function="false" hidden="false" localSheetId="6" name="ExternalData_1227" vbProcedure="false">'-'!#ref!</definedName>
    <definedName function="false" hidden="false" localSheetId="6" name="ExternalData_1228" vbProcedure="false">'-'!#ref!</definedName>
    <definedName function="false" hidden="false" localSheetId="6" name="ExternalData_1229" vbProcedure="false">'-'!#ref!</definedName>
    <definedName function="false" hidden="false" localSheetId="6" name="ExternalData_123" vbProcedure="false">'-'!#ref!</definedName>
    <definedName function="false" hidden="false" localSheetId="6" name="ExternalData_1230" vbProcedure="false">'-'!#ref!</definedName>
    <definedName function="false" hidden="false" localSheetId="6" name="ExternalData_1231" vbProcedure="false">'-'!#ref!</definedName>
    <definedName function="false" hidden="false" localSheetId="6" name="ExternalData_1232" vbProcedure="false">'-'!#ref!</definedName>
    <definedName function="false" hidden="false" localSheetId="6" name="ExternalData_1233" vbProcedure="false">'-'!#ref!</definedName>
    <definedName function="false" hidden="false" localSheetId="6" name="ExternalData_1234" vbProcedure="false">'-'!#ref!</definedName>
    <definedName function="false" hidden="false" localSheetId="6" name="ExternalData_1235" vbProcedure="false">'-'!#ref!</definedName>
    <definedName function="false" hidden="false" localSheetId="6" name="ExternalData_1236" vbProcedure="false">'-'!#ref!</definedName>
    <definedName function="false" hidden="false" localSheetId="6" name="ExternalData_1237" vbProcedure="false">'-'!#ref!</definedName>
    <definedName function="false" hidden="false" localSheetId="6" name="ExternalData_1238" vbProcedure="false">'-'!#ref!</definedName>
    <definedName function="false" hidden="false" localSheetId="6" name="ExternalData_1239" vbProcedure="false">'-'!#ref!</definedName>
    <definedName function="false" hidden="false" localSheetId="6" name="ExternalData_124" vbProcedure="false">'-'!#ref!</definedName>
    <definedName function="false" hidden="false" localSheetId="6" name="ExternalData_1240" vbProcedure="false">'-'!#ref!</definedName>
    <definedName function="false" hidden="false" localSheetId="6" name="ExternalData_1241" vbProcedure="false">'-'!#ref!</definedName>
    <definedName function="false" hidden="false" localSheetId="6" name="ExternalData_1242" vbProcedure="false">'-'!#ref!</definedName>
    <definedName function="false" hidden="false" localSheetId="6" name="ExternalData_1243" vbProcedure="false">'-'!#ref!</definedName>
    <definedName function="false" hidden="false" localSheetId="6" name="ExternalData_1244" vbProcedure="false">'-'!#ref!</definedName>
    <definedName function="false" hidden="false" localSheetId="6" name="ExternalData_1245" vbProcedure="false">'-'!#ref!</definedName>
    <definedName function="false" hidden="false" localSheetId="6" name="ExternalData_1246" vbProcedure="false">'-'!#ref!</definedName>
    <definedName function="false" hidden="false" localSheetId="6" name="ExternalData_1247" vbProcedure="false">'-'!#ref!</definedName>
    <definedName function="false" hidden="false" localSheetId="6" name="ExternalData_1248" vbProcedure="false">'-'!#ref!</definedName>
    <definedName function="false" hidden="false" localSheetId="6" name="ExternalData_1249" vbProcedure="false">'-'!#ref!</definedName>
    <definedName function="false" hidden="false" localSheetId="6" name="ExternalData_125" vbProcedure="false">'-'!#ref!</definedName>
    <definedName function="false" hidden="false" localSheetId="6" name="ExternalData_1250" vbProcedure="false">'-'!#ref!</definedName>
    <definedName function="false" hidden="false" localSheetId="6" name="ExternalData_1251" vbProcedure="false">'-'!#ref!</definedName>
    <definedName function="false" hidden="false" localSheetId="6" name="ExternalData_1252" vbProcedure="false">'-'!#ref!</definedName>
    <definedName function="false" hidden="false" localSheetId="6" name="ExternalData_1253" vbProcedure="false">'-'!#ref!</definedName>
    <definedName function="false" hidden="false" localSheetId="6" name="ExternalData_1254" vbProcedure="false">'-'!#ref!</definedName>
    <definedName function="false" hidden="false" localSheetId="6" name="ExternalData_1255" vbProcedure="false">'-'!#ref!</definedName>
    <definedName function="false" hidden="false" localSheetId="6" name="ExternalData_1256" vbProcedure="false">'-'!#ref!</definedName>
    <definedName function="false" hidden="false" localSheetId="6" name="ExternalData_1257" vbProcedure="false">'-'!#ref!</definedName>
    <definedName function="false" hidden="false" localSheetId="6" name="ExternalData_1258" vbProcedure="false">'-'!#ref!</definedName>
    <definedName function="false" hidden="false" localSheetId="6" name="ExternalData_1259" vbProcedure="false">'-'!#ref!</definedName>
    <definedName function="false" hidden="false" localSheetId="6" name="ExternalData_126" vbProcedure="false">'-'!#ref!</definedName>
    <definedName function="false" hidden="false" localSheetId="6" name="ExternalData_1260" vbProcedure="false">'-'!#ref!</definedName>
    <definedName function="false" hidden="false" localSheetId="6" name="ExternalData_1261" vbProcedure="false">'-'!#ref!</definedName>
    <definedName function="false" hidden="false" localSheetId="6" name="ExternalData_1262" vbProcedure="false">'-'!#ref!</definedName>
    <definedName function="false" hidden="false" localSheetId="6" name="ExternalData_1263" vbProcedure="false">'-'!#ref!</definedName>
    <definedName function="false" hidden="false" localSheetId="6" name="ExternalData_1264" vbProcedure="false">'-'!#ref!</definedName>
    <definedName function="false" hidden="false" localSheetId="6" name="ExternalData_1265" vbProcedure="false">'-'!#ref!</definedName>
    <definedName function="false" hidden="false" localSheetId="6" name="ExternalData_1266" vbProcedure="false">'-'!#ref!</definedName>
    <definedName function="false" hidden="false" localSheetId="6" name="ExternalData_1267" vbProcedure="false">'-'!#ref!</definedName>
    <definedName function="false" hidden="false" localSheetId="6" name="ExternalData_1268" vbProcedure="false">'-'!#ref!</definedName>
    <definedName function="false" hidden="false" localSheetId="6" name="ExternalData_1269" vbProcedure="false">'-'!#ref!</definedName>
    <definedName function="false" hidden="false" localSheetId="6" name="ExternalData_127" vbProcedure="false">'-'!#ref!</definedName>
    <definedName function="false" hidden="false" localSheetId="6" name="ExternalData_1270" vbProcedure="false">'-'!#ref!</definedName>
    <definedName function="false" hidden="false" localSheetId="6" name="ExternalData_1271" vbProcedure="false">'-'!#ref!</definedName>
    <definedName function="false" hidden="false" localSheetId="6" name="ExternalData_1272" vbProcedure="false">'-'!#ref!</definedName>
    <definedName function="false" hidden="false" localSheetId="6" name="ExternalData_1273" vbProcedure="false">'-'!#ref!</definedName>
    <definedName function="false" hidden="false" localSheetId="6" name="ExternalData_1274" vbProcedure="false">'-'!#ref!</definedName>
    <definedName function="false" hidden="false" localSheetId="6" name="ExternalData_1275" vbProcedure="false">'-'!#ref!</definedName>
    <definedName function="false" hidden="false" localSheetId="6" name="ExternalData_1276" vbProcedure="false">'-'!#ref!</definedName>
    <definedName function="false" hidden="false" localSheetId="6" name="ExternalData_1277" vbProcedure="false">'-'!#ref!</definedName>
    <definedName function="false" hidden="false" localSheetId="6" name="ExternalData_1278" vbProcedure="false">'-'!#ref!</definedName>
    <definedName function="false" hidden="false" localSheetId="6" name="ExternalData_1279" vbProcedure="false">'-'!#ref!</definedName>
    <definedName function="false" hidden="false" localSheetId="6" name="ExternalData_128" vbProcedure="false">'-'!#ref!</definedName>
    <definedName function="false" hidden="false" localSheetId="6" name="ExternalData_1280" vbProcedure="false">'-'!#ref!</definedName>
    <definedName function="false" hidden="false" localSheetId="6" name="ExternalData_1281" vbProcedure="false">'-'!#ref!</definedName>
    <definedName function="false" hidden="false" localSheetId="6" name="ExternalData_1282" vbProcedure="false">'-'!#ref!</definedName>
    <definedName function="false" hidden="false" localSheetId="6" name="ExternalData_1283" vbProcedure="false">'-'!#ref!</definedName>
    <definedName function="false" hidden="false" localSheetId="6" name="ExternalData_1284" vbProcedure="false">'-'!#ref!</definedName>
    <definedName function="false" hidden="false" localSheetId="6" name="ExternalData_1285" vbProcedure="false">'-'!#ref!</definedName>
    <definedName function="false" hidden="false" localSheetId="6" name="ExternalData_1286" vbProcedure="false">'-'!#ref!</definedName>
    <definedName function="false" hidden="false" localSheetId="6" name="ExternalData_1287" vbProcedure="false">'-'!#ref!</definedName>
    <definedName function="false" hidden="false" localSheetId="6" name="ExternalData_1288" vbProcedure="false">'-'!#ref!</definedName>
    <definedName function="false" hidden="false" localSheetId="6" name="ExternalData_1289" vbProcedure="false">'-'!#ref!</definedName>
    <definedName function="false" hidden="false" localSheetId="6" name="ExternalData_129" vbProcedure="false">'-'!#ref!</definedName>
    <definedName function="false" hidden="false" localSheetId="6" name="ExternalData_1290" vbProcedure="false">'-'!#ref!</definedName>
    <definedName function="false" hidden="false" localSheetId="6" name="ExternalData_1291" vbProcedure="false">'-'!#ref!</definedName>
    <definedName function="false" hidden="false" localSheetId="6" name="ExternalData_1292" vbProcedure="false">'-'!#ref!</definedName>
    <definedName function="false" hidden="false" localSheetId="6" name="ExternalData_1293" vbProcedure="false">'-'!#ref!</definedName>
    <definedName function="false" hidden="false" localSheetId="6" name="ExternalData_1294" vbProcedure="false">'-'!#ref!</definedName>
    <definedName function="false" hidden="false" localSheetId="6" name="ExternalData_1295" vbProcedure="false">'-'!#ref!</definedName>
    <definedName function="false" hidden="false" localSheetId="6" name="ExternalData_1296" vbProcedure="false">'-'!#ref!</definedName>
    <definedName function="false" hidden="false" localSheetId="6" name="ExternalData_1297" vbProcedure="false">'-'!#ref!</definedName>
    <definedName function="false" hidden="false" localSheetId="6" name="ExternalData_1298" vbProcedure="false">'-'!#ref!</definedName>
    <definedName function="false" hidden="false" localSheetId="6" name="ExternalData_1299" vbProcedure="false">'-'!#ref!</definedName>
    <definedName function="false" hidden="false" localSheetId="6" name="ExternalData_13" vbProcedure="false">'-'!#ref!</definedName>
    <definedName function="false" hidden="false" localSheetId="6" name="ExternalData_130" vbProcedure="false">'-'!#ref!</definedName>
    <definedName function="false" hidden="false" localSheetId="6" name="ExternalData_1300" vbProcedure="false">'-'!#ref!</definedName>
    <definedName function="false" hidden="false" localSheetId="6" name="ExternalData_1301" vbProcedure="false">'-'!#ref!</definedName>
    <definedName function="false" hidden="false" localSheetId="6" name="ExternalData_1302" vbProcedure="false">'-'!#ref!</definedName>
    <definedName function="false" hidden="false" localSheetId="6" name="ExternalData_1303" vbProcedure="false">'-'!#ref!</definedName>
    <definedName function="false" hidden="false" localSheetId="6" name="ExternalData_1304" vbProcedure="false">'-'!#ref!</definedName>
    <definedName function="false" hidden="false" localSheetId="6" name="ExternalData_1305" vbProcedure="false">'-'!#ref!</definedName>
    <definedName function="false" hidden="false" localSheetId="6" name="ExternalData_1306" vbProcedure="false">'-'!#ref!</definedName>
    <definedName function="false" hidden="false" localSheetId="6" name="ExternalData_1307" vbProcedure="false">'-'!#ref!</definedName>
    <definedName function="false" hidden="false" localSheetId="6" name="ExternalData_1308" vbProcedure="false">'-'!#ref!</definedName>
    <definedName function="false" hidden="false" localSheetId="6" name="ExternalData_1309" vbProcedure="false">'-'!#ref!</definedName>
    <definedName function="false" hidden="false" localSheetId="6" name="ExternalData_131" vbProcedure="false">'-'!#ref!</definedName>
    <definedName function="false" hidden="false" localSheetId="6" name="ExternalData_1310" vbProcedure="false">'-'!#ref!</definedName>
    <definedName function="false" hidden="false" localSheetId="6" name="ExternalData_1311" vbProcedure="false">'-'!#ref!</definedName>
    <definedName function="false" hidden="false" localSheetId="6" name="ExternalData_1312" vbProcedure="false">'-'!#ref!</definedName>
    <definedName function="false" hidden="false" localSheetId="6" name="ExternalData_1313" vbProcedure="false">'-'!#ref!</definedName>
    <definedName function="false" hidden="false" localSheetId="6" name="ExternalData_1314" vbProcedure="false">'-'!#ref!</definedName>
    <definedName function="false" hidden="false" localSheetId="6" name="ExternalData_1315" vbProcedure="false">'-'!#ref!</definedName>
    <definedName function="false" hidden="false" localSheetId="6" name="ExternalData_1316" vbProcedure="false">'-'!#ref!</definedName>
    <definedName function="false" hidden="false" localSheetId="6" name="ExternalData_1317" vbProcedure="false">'-'!#ref!</definedName>
    <definedName function="false" hidden="false" localSheetId="6" name="ExternalData_1318" vbProcedure="false">'-'!#ref!</definedName>
    <definedName function="false" hidden="false" localSheetId="6" name="ExternalData_1319" vbProcedure="false">'-'!#ref!</definedName>
    <definedName function="false" hidden="false" localSheetId="6" name="ExternalData_132" vbProcedure="false">'-'!#ref!</definedName>
    <definedName function="false" hidden="false" localSheetId="6" name="ExternalData_1320" vbProcedure="false">'-'!#ref!</definedName>
    <definedName function="false" hidden="false" localSheetId="6" name="ExternalData_1321" vbProcedure="false">'-'!#ref!</definedName>
    <definedName function="false" hidden="false" localSheetId="6" name="ExternalData_1322" vbProcedure="false">'-'!#ref!</definedName>
    <definedName function="false" hidden="false" localSheetId="6" name="ExternalData_1323" vbProcedure="false">'-'!#ref!</definedName>
    <definedName function="false" hidden="false" localSheetId="6" name="ExternalData_1324" vbProcedure="false">'-'!#ref!</definedName>
    <definedName function="false" hidden="false" localSheetId="6" name="ExternalData_1325" vbProcedure="false">'-'!#ref!</definedName>
    <definedName function="false" hidden="false" localSheetId="6" name="ExternalData_1326" vbProcedure="false">'-'!#ref!</definedName>
    <definedName function="false" hidden="false" localSheetId="6" name="ExternalData_1327" vbProcedure="false">'-'!#ref!</definedName>
    <definedName function="false" hidden="false" localSheetId="6" name="ExternalData_1328" vbProcedure="false">'-'!#ref!</definedName>
    <definedName function="false" hidden="false" localSheetId="6" name="ExternalData_1329" vbProcedure="false">'-'!#ref!</definedName>
    <definedName function="false" hidden="false" localSheetId="6" name="ExternalData_133" vbProcedure="false">'-'!#ref!</definedName>
    <definedName function="false" hidden="false" localSheetId="6" name="ExternalData_1330" vbProcedure="false">'-'!#ref!</definedName>
    <definedName function="false" hidden="false" localSheetId="6" name="ExternalData_1331" vbProcedure="false">'-'!#ref!</definedName>
    <definedName function="false" hidden="false" localSheetId="6" name="ExternalData_1332" vbProcedure="false">'-'!#ref!</definedName>
    <definedName function="false" hidden="false" localSheetId="6" name="ExternalData_1333" vbProcedure="false">'-'!#ref!</definedName>
    <definedName function="false" hidden="false" localSheetId="6" name="ExternalData_1334" vbProcedure="false">'-'!#ref!</definedName>
    <definedName function="false" hidden="false" localSheetId="6" name="ExternalData_1335" vbProcedure="false">'-'!#ref!</definedName>
    <definedName function="false" hidden="false" localSheetId="6" name="ExternalData_1336" vbProcedure="false">'-'!#ref!</definedName>
    <definedName function="false" hidden="false" localSheetId="6" name="ExternalData_1337" vbProcedure="false">'-'!#ref!</definedName>
    <definedName function="false" hidden="false" localSheetId="6" name="ExternalData_1338" vbProcedure="false">'-'!#ref!</definedName>
    <definedName function="false" hidden="false" localSheetId="6" name="ExternalData_1339" vbProcedure="false">'-'!#ref!</definedName>
    <definedName function="false" hidden="false" localSheetId="6" name="ExternalData_134" vbProcedure="false">'-'!#ref!</definedName>
    <definedName function="false" hidden="false" localSheetId="6" name="ExternalData_1340" vbProcedure="false">'-'!#ref!</definedName>
    <definedName function="false" hidden="false" localSheetId="6" name="ExternalData_1341" vbProcedure="false">'-'!#ref!</definedName>
    <definedName function="false" hidden="false" localSheetId="6" name="ExternalData_1342" vbProcedure="false">'-'!#ref!</definedName>
    <definedName function="false" hidden="false" localSheetId="6" name="ExternalData_1343" vbProcedure="false">'-'!#ref!</definedName>
    <definedName function="false" hidden="false" localSheetId="6" name="ExternalData_1344" vbProcedure="false">'-'!#ref!</definedName>
    <definedName function="false" hidden="false" localSheetId="6" name="ExternalData_1345" vbProcedure="false">'-'!#ref!</definedName>
    <definedName function="false" hidden="false" localSheetId="6" name="ExternalData_1346" vbProcedure="false">'-'!#ref!</definedName>
    <definedName function="false" hidden="false" localSheetId="6" name="ExternalData_1347" vbProcedure="false">'-'!#ref!</definedName>
    <definedName function="false" hidden="false" localSheetId="6" name="ExternalData_1348" vbProcedure="false">'-'!#ref!</definedName>
    <definedName function="false" hidden="false" localSheetId="6" name="ExternalData_1349" vbProcedure="false">'-'!#ref!</definedName>
    <definedName function="false" hidden="false" localSheetId="6" name="ExternalData_135" vbProcedure="false">'-'!#ref!</definedName>
    <definedName function="false" hidden="false" localSheetId="6" name="ExternalData_1350" vbProcedure="false">'-'!#ref!</definedName>
    <definedName function="false" hidden="false" localSheetId="6" name="ExternalData_1351" vbProcedure="false">'-'!#ref!</definedName>
    <definedName function="false" hidden="false" localSheetId="6" name="ExternalData_1352" vbProcedure="false">'-'!#ref!</definedName>
    <definedName function="false" hidden="false" localSheetId="6" name="ExternalData_1353" vbProcedure="false">'-'!#ref!</definedName>
    <definedName function="false" hidden="false" localSheetId="6" name="ExternalData_1354" vbProcedure="false">'-'!#ref!</definedName>
    <definedName function="false" hidden="false" localSheetId="6" name="ExternalData_1355" vbProcedure="false">'-'!#ref!</definedName>
    <definedName function="false" hidden="false" localSheetId="6" name="ExternalData_1356" vbProcedure="false">'-'!#ref!</definedName>
    <definedName function="false" hidden="false" localSheetId="6" name="ExternalData_1357" vbProcedure="false">'-'!#ref!</definedName>
    <definedName function="false" hidden="false" localSheetId="6" name="ExternalData_1358" vbProcedure="false">'-'!#ref!</definedName>
    <definedName function="false" hidden="false" localSheetId="6" name="ExternalData_1359" vbProcedure="false">'-'!#ref!</definedName>
    <definedName function="false" hidden="false" localSheetId="6" name="ExternalData_136" vbProcedure="false">'-'!#ref!</definedName>
    <definedName function="false" hidden="false" localSheetId="6" name="ExternalData_1360" vbProcedure="false">'-'!#ref!</definedName>
    <definedName function="false" hidden="false" localSheetId="6" name="ExternalData_1361" vbProcedure="false">'-'!#ref!</definedName>
    <definedName function="false" hidden="false" localSheetId="6" name="ExternalData_1362" vbProcedure="false">'-'!#ref!</definedName>
    <definedName function="false" hidden="false" localSheetId="6" name="ExternalData_1363" vbProcedure="false">'-'!#ref!</definedName>
    <definedName function="false" hidden="false" localSheetId="6" name="ExternalData_1364" vbProcedure="false">'-'!#ref!</definedName>
    <definedName function="false" hidden="false" localSheetId="6" name="ExternalData_1365" vbProcedure="false">'-'!#ref!</definedName>
    <definedName function="false" hidden="false" localSheetId="6" name="ExternalData_1366" vbProcedure="false">'-'!#ref!</definedName>
    <definedName function="false" hidden="false" localSheetId="6" name="ExternalData_1367" vbProcedure="false">'-'!#ref!</definedName>
    <definedName function="false" hidden="false" localSheetId="6" name="ExternalData_1368" vbProcedure="false">'-'!#ref!</definedName>
    <definedName function="false" hidden="false" localSheetId="6" name="ExternalData_1369" vbProcedure="false">'-'!#ref!</definedName>
    <definedName function="false" hidden="false" localSheetId="6" name="ExternalData_137" vbProcedure="false">'-'!#ref!</definedName>
    <definedName function="false" hidden="false" localSheetId="6" name="ExternalData_1370" vbProcedure="false">'-'!#ref!</definedName>
    <definedName function="false" hidden="false" localSheetId="6" name="ExternalData_1371" vbProcedure="false">'-'!#ref!</definedName>
    <definedName function="false" hidden="false" localSheetId="6" name="ExternalData_1372" vbProcedure="false">'-'!#ref!</definedName>
    <definedName function="false" hidden="false" localSheetId="6" name="ExternalData_1373" vbProcedure="false">'-'!#ref!</definedName>
    <definedName function="false" hidden="false" localSheetId="6" name="ExternalData_1374" vbProcedure="false">'-'!#ref!</definedName>
    <definedName function="false" hidden="false" localSheetId="6" name="ExternalData_1375" vbProcedure="false">'-'!#ref!</definedName>
    <definedName function="false" hidden="false" localSheetId="6" name="ExternalData_1376" vbProcedure="false">'-'!#ref!</definedName>
    <definedName function="false" hidden="false" localSheetId="6" name="ExternalData_1377" vbProcedure="false">'-'!#ref!</definedName>
    <definedName function="false" hidden="false" localSheetId="6" name="ExternalData_1378" vbProcedure="false">'-'!#ref!</definedName>
    <definedName function="false" hidden="false" localSheetId="6" name="ExternalData_1379" vbProcedure="false">'-'!#ref!</definedName>
    <definedName function="false" hidden="false" localSheetId="6" name="ExternalData_138" vbProcedure="false">'-'!#ref!</definedName>
    <definedName function="false" hidden="false" localSheetId="6" name="ExternalData_1380" vbProcedure="false">'-'!#ref!</definedName>
    <definedName function="false" hidden="false" localSheetId="6" name="ExternalData_1381" vbProcedure="false">'-'!#ref!</definedName>
    <definedName function="false" hidden="false" localSheetId="6" name="ExternalData_1382" vbProcedure="false">'-'!#ref!</definedName>
    <definedName function="false" hidden="false" localSheetId="6" name="ExternalData_1383" vbProcedure="false">'-'!#ref!</definedName>
    <definedName function="false" hidden="false" localSheetId="6" name="ExternalData_1384" vbProcedure="false">'-'!#ref!</definedName>
    <definedName function="false" hidden="false" localSheetId="6" name="ExternalData_1385" vbProcedure="false">'-'!#ref!</definedName>
    <definedName function="false" hidden="false" localSheetId="6" name="ExternalData_1386" vbProcedure="false">'-'!#ref!</definedName>
    <definedName function="false" hidden="false" localSheetId="6" name="ExternalData_1387" vbProcedure="false">'-'!#ref!</definedName>
    <definedName function="false" hidden="false" localSheetId="6" name="ExternalData_1388" vbProcedure="false">'-'!#ref!</definedName>
    <definedName function="false" hidden="false" localSheetId="6" name="ExternalData_1389" vbProcedure="false">'-'!#ref!</definedName>
    <definedName function="false" hidden="false" localSheetId="6" name="ExternalData_139" vbProcedure="false">'-'!#ref!</definedName>
    <definedName function="false" hidden="false" localSheetId="6" name="ExternalData_1390" vbProcedure="false">'-'!#ref!</definedName>
    <definedName function="false" hidden="false" localSheetId="6" name="ExternalData_1391" vbProcedure="false">'-'!#ref!</definedName>
    <definedName function="false" hidden="false" localSheetId="6" name="ExternalData_1392" vbProcedure="false">'-'!#ref!</definedName>
    <definedName function="false" hidden="false" localSheetId="6" name="ExternalData_1393" vbProcedure="false">'-'!#ref!</definedName>
    <definedName function="false" hidden="false" localSheetId="6" name="ExternalData_1394" vbProcedure="false">'-'!#ref!</definedName>
    <definedName function="false" hidden="false" localSheetId="6" name="ExternalData_1395" vbProcedure="false">'-'!#ref!</definedName>
    <definedName function="false" hidden="false" localSheetId="6" name="ExternalData_1396" vbProcedure="false">'-'!#ref!</definedName>
    <definedName function="false" hidden="false" localSheetId="6" name="ExternalData_1397" vbProcedure="false">'-'!#ref!</definedName>
    <definedName function="false" hidden="false" localSheetId="6" name="ExternalData_1398" vbProcedure="false">'-'!#ref!</definedName>
    <definedName function="false" hidden="false" localSheetId="6" name="ExternalData_1399" vbProcedure="false">'-'!#ref!</definedName>
    <definedName function="false" hidden="false" localSheetId="6" name="ExternalData_14" vbProcedure="false">'-'!#ref!</definedName>
    <definedName function="false" hidden="false" localSheetId="6" name="ExternalData_140" vbProcedure="false">'-'!#ref!</definedName>
    <definedName function="false" hidden="false" localSheetId="6" name="ExternalData_1400" vbProcedure="false">'-'!#ref!</definedName>
    <definedName function="false" hidden="false" localSheetId="6" name="ExternalData_1401" vbProcedure="false">'-'!#ref!</definedName>
    <definedName function="false" hidden="false" localSheetId="6" name="ExternalData_1402" vbProcedure="false">'-'!#ref!</definedName>
    <definedName function="false" hidden="false" localSheetId="6" name="ExternalData_1403" vbProcedure="false">'-'!#ref!</definedName>
    <definedName function="false" hidden="false" localSheetId="6" name="ExternalData_1404" vbProcedure="false">'-'!#ref!</definedName>
    <definedName function="false" hidden="false" localSheetId="6" name="ExternalData_1405" vbProcedure="false">'-'!#ref!</definedName>
    <definedName function="false" hidden="false" localSheetId="6" name="ExternalData_1406" vbProcedure="false">'-'!#ref!</definedName>
    <definedName function="false" hidden="false" localSheetId="6" name="ExternalData_1407" vbProcedure="false">'-'!#ref!</definedName>
    <definedName function="false" hidden="false" localSheetId="6" name="ExternalData_1408" vbProcedure="false">'-'!#ref!</definedName>
    <definedName function="false" hidden="false" localSheetId="6" name="ExternalData_1409" vbProcedure="false">'-'!#ref!</definedName>
    <definedName function="false" hidden="false" localSheetId="6" name="ExternalData_141" vbProcedure="false">'-'!#ref!</definedName>
    <definedName function="false" hidden="false" localSheetId="6" name="ExternalData_1410" vbProcedure="false">'-'!#ref!</definedName>
    <definedName function="false" hidden="false" localSheetId="6" name="ExternalData_1411" vbProcedure="false">'-'!#ref!</definedName>
    <definedName function="false" hidden="false" localSheetId="6" name="ExternalData_1412" vbProcedure="false">'-'!#ref!</definedName>
    <definedName function="false" hidden="false" localSheetId="6" name="ExternalData_1413" vbProcedure="false">'-'!#ref!</definedName>
    <definedName function="false" hidden="false" localSheetId="6" name="ExternalData_1414" vbProcedure="false">'-'!#ref!</definedName>
    <definedName function="false" hidden="false" localSheetId="6" name="ExternalData_1415" vbProcedure="false">'-'!#ref!</definedName>
    <definedName function="false" hidden="false" localSheetId="6" name="ExternalData_1416" vbProcedure="false">'-'!#ref!</definedName>
    <definedName function="false" hidden="false" localSheetId="6" name="ExternalData_1417" vbProcedure="false">'-'!#ref!</definedName>
    <definedName function="false" hidden="false" localSheetId="6" name="ExternalData_1418" vbProcedure="false">'-'!#ref!</definedName>
    <definedName function="false" hidden="false" localSheetId="6" name="ExternalData_1419" vbProcedure="false">'-'!#ref!</definedName>
    <definedName function="false" hidden="false" localSheetId="6" name="ExternalData_142" vbProcedure="false">'-'!#ref!</definedName>
    <definedName function="false" hidden="false" localSheetId="6" name="ExternalData_1420" vbProcedure="false">'-'!#ref!</definedName>
    <definedName function="false" hidden="false" localSheetId="6" name="ExternalData_1421" vbProcedure="false">'-'!#ref!</definedName>
    <definedName function="false" hidden="false" localSheetId="6" name="ExternalData_1422" vbProcedure="false">'-'!#ref!</definedName>
    <definedName function="false" hidden="false" localSheetId="6" name="ExternalData_1423" vbProcedure="false">'-'!#ref!</definedName>
    <definedName function="false" hidden="false" localSheetId="6" name="ExternalData_1424" vbProcedure="false">'-'!#ref!</definedName>
    <definedName function="false" hidden="false" localSheetId="6" name="ExternalData_1425" vbProcedure="false">'-'!#ref!</definedName>
    <definedName function="false" hidden="false" localSheetId="6" name="ExternalData_1426" vbProcedure="false">'-'!#ref!</definedName>
    <definedName function="false" hidden="false" localSheetId="6" name="ExternalData_1427" vbProcedure="false">'-'!#ref!</definedName>
    <definedName function="false" hidden="false" localSheetId="6" name="ExternalData_1428" vbProcedure="false">'-'!#ref!</definedName>
    <definedName function="false" hidden="false" localSheetId="6" name="ExternalData_1429" vbProcedure="false">'-'!#ref!</definedName>
    <definedName function="false" hidden="false" localSheetId="6" name="ExternalData_143" vbProcedure="false">'-'!#ref!</definedName>
    <definedName function="false" hidden="false" localSheetId="6" name="ExternalData_1430" vbProcedure="false">'-'!#ref!</definedName>
    <definedName function="false" hidden="false" localSheetId="6" name="ExternalData_1431" vbProcedure="false">'-'!#ref!</definedName>
    <definedName function="false" hidden="false" localSheetId="6" name="ExternalData_1432" vbProcedure="false">'-'!#ref!</definedName>
    <definedName function="false" hidden="false" localSheetId="6" name="ExternalData_1433" vbProcedure="false">'-'!#ref!</definedName>
    <definedName function="false" hidden="false" localSheetId="6" name="ExternalData_1434" vbProcedure="false">'-'!#ref!</definedName>
    <definedName function="false" hidden="false" localSheetId="6" name="ExternalData_1435" vbProcedure="false">'-'!#ref!</definedName>
    <definedName function="false" hidden="false" localSheetId="6" name="ExternalData_1436" vbProcedure="false">'-'!#ref!</definedName>
    <definedName function="false" hidden="false" localSheetId="6" name="ExternalData_1437" vbProcedure="false">'-'!#ref!</definedName>
    <definedName function="false" hidden="false" localSheetId="6" name="ExternalData_1438" vbProcedure="false">'-'!#ref!</definedName>
    <definedName function="false" hidden="false" localSheetId="6" name="ExternalData_1439" vbProcedure="false">'-'!#ref!</definedName>
    <definedName function="false" hidden="false" localSheetId="6" name="ExternalData_144" vbProcedure="false">'-'!#ref!</definedName>
    <definedName function="false" hidden="false" localSheetId="6" name="ExternalData_1440" vbProcedure="false">'-'!#ref!</definedName>
    <definedName function="false" hidden="false" localSheetId="6" name="ExternalData_1441" vbProcedure="false">'-'!#ref!</definedName>
    <definedName function="false" hidden="false" localSheetId="6" name="ExternalData_1442" vbProcedure="false">'-'!#ref!</definedName>
    <definedName function="false" hidden="false" localSheetId="6" name="ExternalData_1443" vbProcedure="false">'-'!#ref!</definedName>
    <definedName function="false" hidden="false" localSheetId="6" name="ExternalData_1444" vbProcedure="false">'-'!#ref!</definedName>
    <definedName function="false" hidden="false" localSheetId="6" name="ExternalData_1445" vbProcedure="false">'-'!#ref!</definedName>
    <definedName function="false" hidden="false" localSheetId="6" name="ExternalData_1446" vbProcedure="false">'-'!#ref!</definedName>
    <definedName function="false" hidden="false" localSheetId="6" name="ExternalData_1447" vbProcedure="false">'-'!#ref!</definedName>
    <definedName function="false" hidden="false" localSheetId="6" name="ExternalData_1448" vbProcedure="false">'-'!#ref!</definedName>
    <definedName function="false" hidden="false" localSheetId="6" name="ExternalData_1449" vbProcedure="false">'-'!#ref!</definedName>
    <definedName function="false" hidden="false" localSheetId="6" name="ExternalData_145" vbProcedure="false">'-'!#ref!</definedName>
    <definedName function="false" hidden="false" localSheetId="6" name="ExternalData_1450" vbProcedure="false">'-'!#ref!</definedName>
    <definedName function="false" hidden="false" localSheetId="6" name="ExternalData_1451" vbProcedure="false">'-'!#ref!</definedName>
    <definedName function="false" hidden="false" localSheetId="6" name="ExternalData_1452" vbProcedure="false">'-'!#ref!</definedName>
    <definedName function="false" hidden="false" localSheetId="6" name="ExternalData_1453" vbProcedure="false">'-'!#ref!</definedName>
    <definedName function="false" hidden="false" localSheetId="6" name="ExternalData_1454" vbProcedure="false">'-'!#ref!</definedName>
    <definedName function="false" hidden="false" localSheetId="6" name="ExternalData_1455" vbProcedure="false">'-'!#ref!</definedName>
    <definedName function="false" hidden="false" localSheetId="6" name="ExternalData_1456" vbProcedure="false">'-'!#ref!</definedName>
    <definedName function="false" hidden="false" localSheetId="6" name="ExternalData_1457" vbProcedure="false">'-'!#ref!</definedName>
    <definedName function="false" hidden="false" localSheetId="6" name="ExternalData_1458" vbProcedure="false">'-'!#ref!</definedName>
    <definedName function="false" hidden="false" localSheetId="6" name="ExternalData_1459" vbProcedure="false">'-'!#ref!</definedName>
    <definedName function="false" hidden="false" localSheetId="6" name="ExternalData_146" vbProcedure="false">'-'!#ref!</definedName>
    <definedName function="false" hidden="false" localSheetId="6" name="ExternalData_1460" vbProcedure="false">'-'!#ref!</definedName>
    <definedName function="false" hidden="false" localSheetId="6" name="ExternalData_1461" vbProcedure="false">'-'!#ref!</definedName>
    <definedName function="false" hidden="false" localSheetId="6" name="ExternalData_1462" vbProcedure="false">'-'!#ref!</definedName>
    <definedName function="false" hidden="false" localSheetId="6" name="ExternalData_1463" vbProcedure="false">'-'!#ref!</definedName>
    <definedName function="false" hidden="false" localSheetId="6" name="ExternalData_1464" vbProcedure="false">'-'!#ref!</definedName>
    <definedName function="false" hidden="false" localSheetId="6" name="ExternalData_1465" vbProcedure="false">'-'!#ref!</definedName>
    <definedName function="false" hidden="false" localSheetId="6" name="ExternalData_1466" vbProcedure="false">'-'!#ref!</definedName>
    <definedName function="false" hidden="false" localSheetId="6" name="ExternalData_1467" vbProcedure="false">'-'!#ref!</definedName>
    <definedName function="false" hidden="false" localSheetId="6" name="ExternalData_1468" vbProcedure="false">'-'!#ref!</definedName>
    <definedName function="false" hidden="false" localSheetId="6" name="ExternalData_1469" vbProcedure="false">'-'!#ref!</definedName>
    <definedName function="false" hidden="false" localSheetId="6" name="ExternalData_147" vbProcedure="false">'-'!#ref!</definedName>
    <definedName function="false" hidden="false" localSheetId="6" name="ExternalData_1470" vbProcedure="false">'-'!#ref!</definedName>
    <definedName function="false" hidden="false" localSheetId="6" name="ExternalData_1471" vbProcedure="false">'-'!#ref!</definedName>
    <definedName function="false" hidden="false" localSheetId="6" name="ExternalData_1472" vbProcedure="false">'-'!#ref!</definedName>
    <definedName function="false" hidden="false" localSheetId="6" name="ExternalData_1473" vbProcedure="false">'-'!#ref!</definedName>
    <definedName function="false" hidden="false" localSheetId="6" name="ExternalData_1474" vbProcedure="false">'-'!#ref!</definedName>
    <definedName function="false" hidden="false" localSheetId="6" name="ExternalData_1475" vbProcedure="false">'-'!#ref!</definedName>
    <definedName function="false" hidden="false" localSheetId="6" name="ExternalData_1476" vbProcedure="false">'-'!#ref!</definedName>
    <definedName function="false" hidden="false" localSheetId="6" name="ExternalData_1477" vbProcedure="false">'-'!#ref!</definedName>
    <definedName function="false" hidden="false" localSheetId="6" name="ExternalData_1478" vbProcedure="false">'-'!#ref!</definedName>
    <definedName function="false" hidden="false" localSheetId="6" name="ExternalData_1479" vbProcedure="false">'-'!#ref!</definedName>
    <definedName function="false" hidden="false" localSheetId="6" name="ExternalData_148" vbProcedure="false">'-'!#ref!</definedName>
    <definedName function="false" hidden="false" localSheetId="6" name="ExternalData_1480" vbProcedure="false">'-'!#ref!</definedName>
    <definedName function="false" hidden="false" localSheetId="6" name="ExternalData_1481" vbProcedure="false">'-'!#ref!</definedName>
    <definedName function="false" hidden="false" localSheetId="6" name="ExternalData_1482" vbProcedure="false">'-'!#ref!</definedName>
    <definedName function="false" hidden="false" localSheetId="6" name="ExternalData_1483" vbProcedure="false">'-'!#ref!</definedName>
    <definedName function="false" hidden="false" localSheetId="6" name="ExternalData_1484" vbProcedure="false">'-'!#ref!</definedName>
    <definedName function="false" hidden="false" localSheetId="6" name="ExternalData_1485" vbProcedure="false">'-'!#ref!</definedName>
    <definedName function="false" hidden="false" localSheetId="6" name="ExternalData_1486" vbProcedure="false">'-'!#ref!</definedName>
    <definedName function="false" hidden="false" localSheetId="6" name="ExternalData_1487" vbProcedure="false">'-'!#ref!</definedName>
    <definedName function="false" hidden="false" localSheetId="6" name="ExternalData_1488" vbProcedure="false">'-'!#ref!</definedName>
    <definedName function="false" hidden="false" localSheetId="6" name="ExternalData_1489" vbProcedure="false">'-'!#ref!</definedName>
    <definedName function="false" hidden="false" localSheetId="6" name="ExternalData_149" vbProcedure="false">'-'!#ref!</definedName>
    <definedName function="false" hidden="false" localSheetId="6" name="ExternalData_1490" vbProcedure="false">'-'!#ref!</definedName>
    <definedName function="false" hidden="false" localSheetId="6" name="ExternalData_1491" vbProcedure="false">'-'!#ref!</definedName>
    <definedName function="false" hidden="false" localSheetId="6" name="ExternalData_1492" vbProcedure="false">'-'!#ref!</definedName>
    <definedName function="false" hidden="false" localSheetId="6" name="ExternalData_1493" vbProcedure="false">'-'!#ref!</definedName>
    <definedName function="false" hidden="false" localSheetId="6" name="ExternalData_1494" vbProcedure="false">'-'!#ref!</definedName>
    <definedName function="false" hidden="false" localSheetId="6" name="ExternalData_1495" vbProcedure="false">'-'!#ref!</definedName>
    <definedName function="false" hidden="false" localSheetId="6" name="ExternalData_1496" vbProcedure="false">'-'!#ref!</definedName>
    <definedName function="false" hidden="false" localSheetId="6" name="ExternalData_1497" vbProcedure="false">'-'!#ref!</definedName>
    <definedName function="false" hidden="false" localSheetId="6" name="ExternalData_1498" vbProcedure="false">'-'!#ref!</definedName>
    <definedName function="false" hidden="false" localSheetId="6" name="ExternalData_1499" vbProcedure="false">'-'!#ref!</definedName>
    <definedName function="false" hidden="false" localSheetId="6" name="ExternalData_15" vbProcedure="false">'-'!#ref!</definedName>
    <definedName function="false" hidden="false" localSheetId="6" name="ExternalData_150" vbProcedure="false">'-'!#ref!</definedName>
    <definedName function="false" hidden="false" localSheetId="6" name="ExternalData_1500" vbProcedure="false">'-'!#ref!</definedName>
    <definedName function="false" hidden="false" localSheetId="6" name="ExternalData_1501" vbProcedure="false">'-'!#ref!</definedName>
    <definedName function="false" hidden="false" localSheetId="6" name="ExternalData_1502" vbProcedure="false">'-'!#ref!</definedName>
    <definedName function="false" hidden="false" localSheetId="6" name="ExternalData_1503" vbProcedure="false">'-'!#ref!</definedName>
    <definedName function="false" hidden="false" localSheetId="6" name="ExternalData_1504" vbProcedure="false">'-'!#ref!</definedName>
    <definedName function="false" hidden="false" localSheetId="6" name="ExternalData_1505" vbProcedure="false">'-'!#ref!</definedName>
    <definedName function="false" hidden="false" localSheetId="6" name="ExternalData_1506" vbProcedure="false">'-'!#ref!</definedName>
    <definedName function="false" hidden="false" localSheetId="6" name="ExternalData_1507" vbProcedure="false">'-'!#ref!</definedName>
    <definedName function="false" hidden="false" localSheetId="6" name="ExternalData_1508" vbProcedure="false">'-'!#ref!</definedName>
    <definedName function="false" hidden="false" localSheetId="6" name="ExternalData_1509" vbProcedure="false">'-'!#ref!</definedName>
    <definedName function="false" hidden="false" localSheetId="6" name="ExternalData_151" vbProcedure="false">'-'!#ref!</definedName>
    <definedName function="false" hidden="false" localSheetId="6" name="ExternalData_1510" vbProcedure="false">'-'!#ref!</definedName>
    <definedName function="false" hidden="false" localSheetId="6" name="ExternalData_1511" vbProcedure="false">'-'!#ref!</definedName>
    <definedName function="false" hidden="false" localSheetId="6" name="ExternalData_1512" vbProcedure="false">'-'!#ref!</definedName>
    <definedName function="false" hidden="false" localSheetId="6" name="ExternalData_1513" vbProcedure="false">'-'!#ref!</definedName>
    <definedName function="false" hidden="false" localSheetId="6" name="ExternalData_1514" vbProcedure="false">'-'!#ref!</definedName>
    <definedName function="false" hidden="false" localSheetId="6" name="ExternalData_1515" vbProcedure="false">'-'!#ref!</definedName>
    <definedName function="false" hidden="false" localSheetId="6" name="ExternalData_1516" vbProcedure="false">'-'!#ref!</definedName>
    <definedName function="false" hidden="false" localSheetId="6" name="ExternalData_1517" vbProcedure="false">'-'!#ref!</definedName>
    <definedName function="false" hidden="false" localSheetId="6" name="ExternalData_1518" vbProcedure="false">'-'!#ref!</definedName>
    <definedName function="false" hidden="false" localSheetId="6" name="ExternalData_1519" vbProcedure="false">'-'!#ref!</definedName>
    <definedName function="false" hidden="false" localSheetId="6" name="ExternalData_152" vbProcedure="false">'-'!#ref!</definedName>
    <definedName function="false" hidden="false" localSheetId="6" name="ExternalData_1520" vbProcedure="false">'-'!#ref!</definedName>
    <definedName function="false" hidden="false" localSheetId="6" name="ExternalData_1521" vbProcedure="false">'-'!#ref!</definedName>
    <definedName function="false" hidden="false" localSheetId="6" name="ExternalData_1522" vbProcedure="false">'-'!#ref!</definedName>
    <definedName function="false" hidden="false" localSheetId="6" name="ExternalData_1523" vbProcedure="false">'-'!#ref!</definedName>
    <definedName function="false" hidden="false" localSheetId="6" name="ExternalData_1524" vbProcedure="false">'-'!#ref!</definedName>
    <definedName function="false" hidden="false" localSheetId="6" name="ExternalData_1525" vbProcedure="false">'-'!#ref!</definedName>
    <definedName function="false" hidden="false" localSheetId="6" name="ExternalData_1526" vbProcedure="false">'-'!#ref!</definedName>
    <definedName function="false" hidden="false" localSheetId="6" name="ExternalData_1527" vbProcedure="false">'-'!#ref!</definedName>
    <definedName function="false" hidden="false" localSheetId="6" name="ExternalData_1528" vbProcedure="false">'-'!#ref!</definedName>
    <definedName function="false" hidden="false" localSheetId="6" name="ExternalData_1529" vbProcedure="false">'-'!#ref!</definedName>
    <definedName function="false" hidden="false" localSheetId="6" name="ExternalData_153" vbProcedure="false">'-'!#ref!</definedName>
    <definedName function="false" hidden="false" localSheetId="6" name="ExternalData_1530" vbProcedure="false">'-'!#ref!</definedName>
    <definedName function="false" hidden="false" localSheetId="6" name="ExternalData_1531" vbProcedure="false">'-'!#ref!</definedName>
    <definedName function="false" hidden="false" localSheetId="6" name="ExternalData_1532" vbProcedure="false">'-'!#ref!</definedName>
    <definedName function="false" hidden="false" localSheetId="6" name="ExternalData_1533" vbProcedure="false">'-'!#ref!</definedName>
    <definedName function="false" hidden="false" localSheetId="6" name="ExternalData_1534" vbProcedure="false">'-'!#ref!</definedName>
    <definedName function="false" hidden="false" localSheetId="6" name="ExternalData_1535" vbProcedure="false">'-'!#ref!</definedName>
    <definedName function="false" hidden="false" localSheetId="6" name="ExternalData_1536" vbProcedure="false">'-'!#ref!</definedName>
    <definedName function="false" hidden="false" localSheetId="6" name="ExternalData_1537" vbProcedure="false">'-'!#ref!</definedName>
    <definedName function="false" hidden="false" localSheetId="6" name="ExternalData_1538" vbProcedure="false">'-'!#ref!</definedName>
    <definedName function="false" hidden="false" localSheetId="6" name="ExternalData_1539" vbProcedure="false">'-'!#ref!</definedName>
    <definedName function="false" hidden="false" localSheetId="6" name="ExternalData_154" vbProcedure="false">'-'!#ref!</definedName>
    <definedName function="false" hidden="false" localSheetId="6" name="ExternalData_1540" vbProcedure="false">'-'!#ref!</definedName>
    <definedName function="false" hidden="false" localSheetId="6" name="ExternalData_1541" vbProcedure="false">'-'!#ref!</definedName>
    <definedName function="false" hidden="false" localSheetId="6" name="ExternalData_1542" vbProcedure="false">'-'!#ref!</definedName>
    <definedName function="false" hidden="false" localSheetId="6" name="ExternalData_1543" vbProcedure="false">'-'!#ref!</definedName>
    <definedName function="false" hidden="false" localSheetId="6" name="ExternalData_1544" vbProcedure="false">'-'!#ref!</definedName>
    <definedName function="false" hidden="false" localSheetId="6" name="ExternalData_1545" vbProcedure="false">'-'!#ref!</definedName>
    <definedName function="false" hidden="false" localSheetId="6" name="ExternalData_1546" vbProcedure="false">'-'!#ref!</definedName>
    <definedName function="false" hidden="false" localSheetId="6" name="ExternalData_1547" vbProcedure="false">'-'!#ref!</definedName>
    <definedName function="false" hidden="false" localSheetId="6" name="ExternalData_1548" vbProcedure="false">'-'!#ref!</definedName>
    <definedName function="false" hidden="false" localSheetId="6" name="ExternalData_1549" vbProcedure="false">'-'!#ref!</definedName>
    <definedName function="false" hidden="false" localSheetId="6" name="ExternalData_155" vbProcedure="false">'-'!#ref!</definedName>
    <definedName function="false" hidden="false" localSheetId="6" name="ExternalData_1550" vbProcedure="false">'-'!#ref!</definedName>
    <definedName function="false" hidden="false" localSheetId="6" name="ExternalData_1551" vbProcedure="false">'-'!#ref!</definedName>
    <definedName function="false" hidden="false" localSheetId="6" name="ExternalData_1552" vbProcedure="false">'-'!#ref!</definedName>
    <definedName function="false" hidden="false" localSheetId="6" name="ExternalData_1553" vbProcedure="false">'-'!#ref!</definedName>
    <definedName function="false" hidden="false" localSheetId="6" name="ExternalData_1554" vbProcedure="false">'-'!#ref!</definedName>
    <definedName function="false" hidden="false" localSheetId="6" name="ExternalData_1555" vbProcedure="false">'-'!#ref!</definedName>
    <definedName function="false" hidden="false" localSheetId="6" name="ExternalData_1556" vbProcedure="false">'-'!#ref!</definedName>
    <definedName function="false" hidden="false" localSheetId="6" name="ExternalData_1557" vbProcedure="false">'-'!#ref!</definedName>
    <definedName function="false" hidden="false" localSheetId="6" name="ExternalData_1558" vbProcedure="false">'-'!#ref!</definedName>
    <definedName function="false" hidden="false" localSheetId="6" name="ExternalData_1559" vbProcedure="false">'-'!#ref!</definedName>
    <definedName function="false" hidden="false" localSheetId="6" name="ExternalData_156" vbProcedure="false">'-'!#ref!</definedName>
    <definedName function="false" hidden="false" localSheetId="6" name="ExternalData_1560" vbProcedure="false">'-'!#ref!</definedName>
    <definedName function="false" hidden="false" localSheetId="6" name="ExternalData_1561" vbProcedure="false">'-'!#ref!</definedName>
    <definedName function="false" hidden="false" localSheetId="6" name="ExternalData_1562" vbProcedure="false">'-'!#ref!</definedName>
    <definedName function="false" hidden="false" localSheetId="6" name="ExternalData_1563" vbProcedure="false">'-'!#ref!</definedName>
    <definedName function="false" hidden="false" localSheetId="6" name="ExternalData_1564" vbProcedure="false">'-'!#ref!</definedName>
    <definedName function="false" hidden="false" localSheetId="6" name="ExternalData_1565" vbProcedure="false">'-'!#ref!</definedName>
    <definedName function="false" hidden="false" localSheetId="6" name="ExternalData_1566" vbProcedure="false">'-'!#ref!</definedName>
    <definedName function="false" hidden="false" localSheetId="6" name="ExternalData_1567" vbProcedure="false">'-'!#ref!</definedName>
    <definedName function="false" hidden="false" localSheetId="6" name="ExternalData_1568" vbProcedure="false">'-'!#ref!</definedName>
    <definedName function="false" hidden="false" localSheetId="6" name="ExternalData_1569" vbProcedure="false">'-'!#ref!</definedName>
    <definedName function="false" hidden="false" localSheetId="6" name="ExternalData_157" vbProcedure="false">'-'!#ref!</definedName>
    <definedName function="false" hidden="false" localSheetId="6" name="ExternalData_1570" vbProcedure="false">'-'!#ref!</definedName>
    <definedName function="false" hidden="false" localSheetId="6" name="ExternalData_1571" vbProcedure="false">'-'!#ref!</definedName>
    <definedName function="false" hidden="false" localSheetId="6" name="ExternalData_1572" vbProcedure="false">'-'!#ref!</definedName>
    <definedName function="false" hidden="false" localSheetId="6" name="ExternalData_1573" vbProcedure="false">'-'!#ref!</definedName>
    <definedName function="false" hidden="false" localSheetId="6" name="ExternalData_1574" vbProcedure="false">'-'!#ref!</definedName>
    <definedName function="false" hidden="false" localSheetId="6" name="ExternalData_1575" vbProcedure="false">'-'!#ref!</definedName>
    <definedName function="false" hidden="false" localSheetId="6" name="ExternalData_1576" vbProcedure="false">'-'!#ref!</definedName>
    <definedName function="false" hidden="false" localSheetId="6" name="ExternalData_1577" vbProcedure="false">'-'!#ref!</definedName>
    <definedName function="false" hidden="false" localSheetId="6" name="ExternalData_1578" vbProcedure="false">'-'!#ref!</definedName>
    <definedName function="false" hidden="false" localSheetId="6" name="ExternalData_1579" vbProcedure="false">'-'!#ref!</definedName>
    <definedName function="false" hidden="false" localSheetId="6" name="ExternalData_158" vbProcedure="false">'-'!#ref!</definedName>
    <definedName function="false" hidden="false" localSheetId="6" name="ExternalData_1580" vbProcedure="false">'-'!#ref!</definedName>
    <definedName function="false" hidden="false" localSheetId="6" name="ExternalData_1581" vbProcedure="false">'-'!#ref!</definedName>
    <definedName function="false" hidden="false" localSheetId="6" name="ExternalData_1582" vbProcedure="false">'-'!#ref!</definedName>
    <definedName function="false" hidden="false" localSheetId="6" name="ExternalData_1583" vbProcedure="false">'-'!#ref!</definedName>
    <definedName function="false" hidden="false" localSheetId="6" name="ExternalData_1584" vbProcedure="false">'-'!#ref!</definedName>
    <definedName function="false" hidden="false" localSheetId="6" name="ExternalData_1585" vbProcedure="false">'-'!#ref!</definedName>
    <definedName function="false" hidden="false" localSheetId="6" name="ExternalData_1586" vbProcedure="false">'-'!#ref!</definedName>
    <definedName function="false" hidden="false" localSheetId="6" name="ExternalData_1587" vbProcedure="false">'-'!#ref!</definedName>
    <definedName function="false" hidden="false" localSheetId="6" name="ExternalData_1588" vbProcedure="false">'-'!#ref!</definedName>
    <definedName function="false" hidden="false" localSheetId="6" name="ExternalData_1589" vbProcedure="false">'-'!#ref!</definedName>
    <definedName function="false" hidden="false" localSheetId="6" name="ExternalData_159" vbProcedure="false">'-'!#ref!</definedName>
    <definedName function="false" hidden="false" localSheetId="6" name="ExternalData_1590" vbProcedure="false">'-'!#ref!</definedName>
    <definedName function="false" hidden="false" localSheetId="6" name="ExternalData_1591" vbProcedure="false">'-'!#ref!</definedName>
    <definedName function="false" hidden="false" localSheetId="6" name="ExternalData_1592" vbProcedure="false">'-'!#ref!</definedName>
    <definedName function="false" hidden="false" localSheetId="6" name="ExternalData_1593" vbProcedure="false">'-'!#ref!</definedName>
    <definedName function="false" hidden="false" localSheetId="6" name="ExternalData_1594" vbProcedure="false">'-'!#ref!</definedName>
    <definedName function="false" hidden="false" localSheetId="6" name="ExternalData_1595" vbProcedure="false">'-'!#ref!</definedName>
    <definedName function="false" hidden="false" localSheetId="6" name="ExternalData_1596" vbProcedure="false">'-'!#ref!</definedName>
    <definedName function="false" hidden="false" localSheetId="6" name="ExternalData_1597" vbProcedure="false">'-'!#ref!</definedName>
    <definedName function="false" hidden="false" localSheetId="6" name="ExternalData_1598" vbProcedure="false">'-'!#ref!</definedName>
    <definedName function="false" hidden="false" localSheetId="6" name="ExternalData_1599" vbProcedure="false">'-'!#ref!</definedName>
    <definedName function="false" hidden="false" localSheetId="6" name="ExternalData_16" vbProcedure="false">'-'!#ref!</definedName>
    <definedName function="false" hidden="false" localSheetId="6" name="ExternalData_160" vbProcedure="false">'-'!#ref!</definedName>
    <definedName function="false" hidden="false" localSheetId="6" name="ExternalData_1600" vbProcedure="false">'-'!#ref!</definedName>
    <definedName function="false" hidden="false" localSheetId="6" name="ExternalData_1601" vbProcedure="false">'-'!#ref!</definedName>
    <definedName function="false" hidden="false" localSheetId="6" name="ExternalData_1602" vbProcedure="false">'-'!#ref!</definedName>
    <definedName function="false" hidden="false" localSheetId="6" name="ExternalData_1603" vbProcedure="false">'-'!#ref!</definedName>
    <definedName function="false" hidden="false" localSheetId="6" name="ExternalData_1604" vbProcedure="false">'-'!#ref!</definedName>
    <definedName function="false" hidden="false" localSheetId="6" name="ExternalData_1605" vbProcedure="false">'-'!#ref!</definedName>
    <definedName function="false" hidden="false" localSheetId="6" name="ExternalData_1606" vbProcedure="false">'-'!#ref!</definedName>
    <definedName function="false" hidden="false" localSheetId="6" name="ExternalData_1607" vbProcedure="false">'-'!#ref!</definedName>
    <definedName function="false" hidden="false" localSheetId="6" name="ExternalData_1608" vbProcedure="false">'-'!#ref!</definedName>
    <definedName function="false" hidden="false" localSheetId="6" name="ExternalData_1609" vbProcedure="false">'-'!#ref!</definedName>
    <definedName function="false" hidden="false" localSheetId="6" name="ExternalData_161" vbProcedure="false">'-'!#ref!</definedName>
    <definedName function="false" hidden="false" localSheetId="6" name="ExternalData_1610" vbProcedure="false">'-'!#ref!</definedName>
    <definedName function="false" hidden="false" localSheetId="6" name="ExternalData_1611" vbProcedure="false">'-'!#ref!</definedName>
    <definedName function="false" hidden="false" localSheetId="6" name="ExternalData_1612" vbProcedure="false">'-'!#ref!</definedName>
    <definedName function="false" hidden="false" localSheetId="6" name="ExternalData_1613" vbProcedure="false">'-'!#ref!</definedName>
    <definedName function="false" hidden="false" localSheetId="6" name="ExternalData_1614" vbProcedure="false">'-'!#ref!</definedName>
    <definedName function="false" hidden="false" localSheetId="6" name="ExternalData_1615" vbProcedure="false">'-'!#ref!</definedName>
    <definedName function="false" hidden="false" localSheetId="6" name="ExternalData_1616" vbProcedure="false">'-'!#ref!</definedName>
    <definedName function="false" hidden="false" localSheetId="6" name="ExternalData_1617" vbProcedure="false">'-'!#ref!</definedName>
    <definedName function="false" hidden="false" localSheetId="6" name="ExternalData_1618" vbProcedure="false">'-'!#ref!</definedName>
    <definedName function="false" hidden="false" localSheetId="6" name="ExternalData_1619" vbProcedure="false">'-'!#ref!</definedName>
    <definedName function="false" hidden="false" localSheetId="6" name="ExternalData_162" vbProcedure="false">'-'!#ref!</definedName>
    <definedName function="false" hidden="false" localSheetId="6" name="ExternalData_1620" vbProcedure="false">'-'!#ref!</definedName>
    <definedName function="false" hidden="false" localSheetId="6" name="ExternalData_1621" vbProcedure="false">'-'!#ref!</definedName>
    <definedName function="false" hidden="false" localSheetId="6" name="ExternalData_1622" vbProcedure="false">'-'!#ref!</definedName>
    <definedName function="false" hidden="false" localSheetId="6" name="ExternalData_1623" vbProcedure="false">'-'!#ref!</definedName>
    <definedName function="false" hidden="false" localSheetId="6" name="ExternalData_1624" vbProcedure="false">'-'!#ref!</definedName>
    <definedName function="false" hidden="false" localSheetId="6" name="ExternalData_1625" vbProcedure="false">'-'!#ref!</definedName>
    <definedName function="false" hidden="false" localSheetId="6" name="ExternalData_1626" vbProcedure="false">'-'!#ref!</definedName>
    <definedName function="false" hidden="false" localSheetId="6" name="ExternalData_1627" vbProcedure="false">'-'!#ref!</definedName>
    <definedName function="false" hidden="false" localSheetId="6" name="ExternalData_1628" vbProcedure="false">'-'!#ref!</definedName>
    <definedName function="false" hidden="false" localSheetId="6" name="ExternalData_1629" vbProcedure="false">'-'!#ref!</definedName>
    <definedName function="false" hidden="false" localSheetId="6" name="ExternalData_163" vbProcedure="false">'-'!#ref!</definedName>
    <definedName function="false" hidden="false" localSheetId="6" name="ExternalData_1630" vbProcedure="false">'-'!#ref!</definedName>
    <definedName function="false" hidden="false" localSheetId="6" name="ExternalData_1631" vbProcedure="false">'-'!#ref!</definedName>
    <definedName function="false" hidden="false" localSheetId="6" name="ExternalData_1632" vbProcedure="false">'-'!#ref!</definedName>
    <definedName function="false" hidden="false" localSheetId="6" name="ExternalData_1633" vbProcedure="false">'-'!#ref!</definedName>
    <definedName function="false" hidden="false" localSheetId="6" name="ExternalData_1634" vbProcedure="false">'-'!#ref!</definedName>
    <definedName function="false" hidden="false" localSheetId="6" name="ExternalData_1635" vbProcedure="false">'-'!#ref!</definedName>
    <definedName function="false" hidden="false" localSheetId="6" name="ExternalData_1636" vbProcedure="false">'-'!#ref!</definedName>
    <definedName function="false" hidden="false" localSheetId="6" name="ExternalData_1637" vbProcedure="false">'-'!#ref!</definedName>
    <definedName function="false" hidden="false" localSheetId="6" name="ExternalData_1638" vbProcedure="false">'-'!#ref!</definedName>
    <definedName function="false" hidden="false" localSheetId="6" name="ExternalData_1639" vbProcedure="false">'-'!#ref!</definedName>
    <definedName function="false" hidden="false" localSheetId="6" name="ExternalData_164" vbProcedure="false">'-'!#ref!</definedName>
    <definedName function="false" hidden="false" localSheetId="6" name="ExternalData_1640" vbProcedure="false">'-'!#ref!</definedName>
    <definedName function="false" hidden="false" localSheetId="6" name="ExternalData_1641" vbProcedure="false">'-'!#ref!</definedName>
    <definedName function="false" hidden="false" localSheetId="6" name="ExternalData_1642" vbProcedure="false">'-'!#ref!</definedName>
    <definedName function="false" hidden="false" localSheetId="6" name="ExternalData_1643" vbProcedure="false">'-'!#ref!</definedName>
    <definedName function="false" hidden="false" localSheetId="6" name="ExternalData_1644" vbProcedure="false">'-'!#ref!</definedName>
    <definedName function="false" hidden="false" localSheetId="6" name="ExternalData_1645" vbProcedure="false">'-'!#ref!</definedName>
    <definedName function="false" hidden="false" localSheetId="6" name="ExternalData_1646" vbProcedure="false">'-'!#ref!</definedName>
    <definedName function="false" hidden="false" localSheetId="6" name="ExternalData_1647" vbProcedure="false">'-'!#ref!</definedName>
    <definedName function="false" hidden="false" localSheetId="6" name="ExternalData_1648" vbProcedure="false">'-'!#ref!</definedName>
    <definedName function="false" hidden="false" localSheetId="6" name="ExternalData_1649" vbProcedure="false">'-'!#ref!</definedName>
    <definedName function="false" hidden="false" localSheetId="6" name="ExternalData_165" vbProcedure="false">'-'!#ref!</definedName>
    <definedName function="false" hidden="false" localSheetId="6" name="ExternalData_1650" vbProcedure="false">'-'!#ref!</definedName>
    <definedName function="false" hidden="false" localSheetId="6" name="ExternalData_1651" vbProcedure="false">'-'!#ref!</definedName>
    <definedName function="false" hidden="false" localSheetId="6" name="ExternalData_1652" vbProcedure="false">'-'!#ref!</definedName>
    <definedName function="false" hidden="false" localSheetId="6" name="ExternalData_1653" vbProcedure="false">'-'!#ref!</definedName>
    <definedName function="false" hidden="false" localSheetId="6" name="ExternalData_1654" vbProcedure="false">'-'!#ref!</definedName>
    <definedName function="false" hidden="false" localSheetId="6" name="ExternalData_1655" vbProcedure="false">'-'!#ref!</definedName>
    <definedName function="false" hidden="false" localSheetId="6" name="ExternalData_1656" vbProcedure="false">'-'!#ref!</definedName>
    <definedName function="false" hidden="false" localSheetId="6" name="ExternalData_1657" vbProcedure="false">'-'!#ref!</definedName>
    <definedName function="false" hidden="false" localSheetId="6" name="ExternalData_1658" vbProcedure="false">'-'!#ref!</definedName>
    <definedName function="false" hidden="false" localSheetId="6" name="ExternalData_1659" vbProcedure="false">'-'!#ref!</definedName>
    <definedName function="false" hidden="false" localSheetId="6" name="ExternalData_166" vbProcedure="false">'-'!#ref!</definedName>
    <definedName function="false" hidden="false" localSheetId="6" name="ExternalData_1660" vbProcedure="false">'-'!#ref!</definedName>
    <definedName function="false" hidden="false" localSheetId="6" name="ExternalData_1661" vbProcedure="false">'-'!#ref!</definedName>
    <definedName function="false" hidden="false" localSheetId="6" name="ExternalData_1662" vbProcedure="false">'-'!#ref!</definedName>
    <definedName function="false" hidden="false" localSheetId="6" name="ExternalData_1663" vbProcedure="false">'-'!#ref!</definedName>
    <definedName function="false" hidden="false" localSheetId="6" name="ExternalData_1664" vbProcedure="false">'-'!#ref!</definedName>
    <definedName function="false" hidden="false" localSheetId="6" name="ExternalData_1665" vbProcedure="false">'-'!#ref!</definedName>
    <definedName function="false" hidden="false" localSheetId="6" name="ExternalData_1666" vbProcedure="false">'-'!#ref!</definedName>
    <definedName function="false" hidden="false" localSheetId="6" name="ExternalData_1667" vbProcedure="false">'-'!#ref!</definedName>
    <definedName function="false" hidden="false" localSheetId="6" name="ExternalData_1668" vbProcedure="false">'-'!#ref!</definedName>
    <definedName function="false" hidden="false" localSheetId="6" name="ExternalData_1669" vbProcedure="false">'-'!#ref!</definedName>
    <definedName function="false" hidden="false" localSheetId="6" name="ExternalData_167" vbProcedure="false">'-'!#ref!</definedName>
    <definedName function="false" hidden="false" localSheetId="6" name="ExternalData_1670" vbProcedure="false">'-'!#ref!</definedName>
    <definedName function="false" hidden="false" localSheetId="6" name="ExternalData_1671" vbProcedure="false">'-'!#ref!</definedName>
    <definedName function="false" hidden="false" localSheetId="6" name="ExternalData_1672" vbProcedure="false">'-'!#ref!</definedName>
    <definedName function="false" hidden="false" localSheetId="6" name="ExternalData_1673" vbProcedure="false">'-'!#ref!</definedName>
    <definedName function="false" hidden="false" localSheetId="6" name="ExternalData_1674" vbProcedure="false">'-'!#ref!</definedName>
    <definedName function="false" hidden="false" localSheetId="6" name="ExternalData_1675" vbProcedure="false">'-'!#ref!</definedName>
    <definedName function="false" hidden="false" localSheetId="6" name="ExternalData_1676" vbProcedure="false">'-'!#ref!</definedName>
    <definedName function="false" hidden="false" localSheetId="6" name="ExternalData_1677" vbProcedure="false">'-'!#ref!</definedName>
    <definedName function="false" hidden="false" localSheetId="6" name="ExternalData_1678" vbProcedure="false">'-'!#ref!</definedName>
    <definedName function="false" hidden="false" localSheetId="6" name="ExternalData_1679" vbProcedure="false">'-'!#ref!</definedName>
    <definedName function="false" hidden="false" localSheetId="6" name="ExternalData_168" vbProcedure="false">'-'!#ref!</definedName>
    <definedName function="false" hidden="false" localSheetId="6" name="ExternalData_1680" vbProcedure="false">'-'!#ref!</definedName>
    <definedName function="false" hidden="false" localSheetId="6" name="ExternalData_1681" vbProcedure="false">'-'!#ref!</definedName>
    <definedName function="false" hidden="false" localSheetId="6" name="ExternalData_1682" vbProcedure="false">'-'!#ref!</definedName>
    <definedName function="false" hidden="false" localSheetId="6" name="ExternalData_1683" vbProcedure="false">'-'!#ref!</definedName>
    <definedName function="false" hidden="false" localSheetId="6" name="ExternalData_1684" vbProcedure="false">'-'!#ref!</definedName>
    <definedName function="false" hidden="false" localSheetId="6" name="ExternalData_1685" vbProcedure="false">'-'!#ref!</definedName>
    <definedName function="false" hidden="false" localSheetId="6" name="ExternalData_1686" vbProcedure="false">'-'!#ref!</definedName>
    <definedName function="false" hidden="false" localSheetId="6" name="ExternalData_1687" vbProcedure="false">'-'!#ref!</definedName>
    <definedName function="false" hidden="false" localSheetId="6" name="ExternalData_1688" vbProcedure="false">'-'!#ref!</definedName>
    <definedName function="false" hidden="false" localSheetId="6" name="ExternalData_1689" vbProcedure="false">'-'!#ref!</definedName>
    <definedName function="false" hidden="false" localSheetId="6" name="ExternalData_169" vbProcedure="false">'-'!#ref!</definedName>
    <definedName function="false" hidden="false" localSheetId="6" name="ExternalData_1690" vbProcedure="false">'-'!#ref!</definedName>
    <definedName function="false" hidden="false" localSheetId="6" name="ExternalData_1691" vbProcedure="false">'-'!#ref!</definedName>
    <definedName function="false" hidden="false" localSheetId="6" name="ExternalData_1692" vbProcedure="false">'-'!#ref!</definedName>
    <definedName function="false" hidden="false" localSheetId="6" name="ExternalData_1693" vbProcedure="false">'-'!#ref!</definedName>
    <definedName function="false" hidden="false" localSheetId="6" name="ExternalData_1694" vbProcedure="false">'-'!#ref!</definedName>
    <definedName function="false" hidden="false" localSheetId="6" name="ExternalData_1695" vbProcedure="false">'-'!#ref!</definedName>
    <definedName function="false" hidden="false" localSheetId="6" name="ExternalData_1696" vbProcedure="false">'-'!#ref!</definedName>
    <definedName function="false" hidden="false" localSheetId="6" name="ExternalData_1697" vbProcedure="false">'-'!#ref!</definedName>
    <definedName function="false" hidden="false" localSheetId="6" name="ExternalData_1698" vbProcedure="false">'-'!#ref!</definedName>
    <definedName function="false" hidden="false" localSheetId="6" name="ExternalData_1699" vbProcedure="false">'-'!#ref!</definedName>
    <definedName function="false" hidden="false" localSheetId="6" name="ExternalData_17" vbProcedure="false">'-'!#ref!</definedName>
    <definedName function="false" hidden="false" localSheetId="6" name="ExternalData_170" vbProcedure="false">'-'!#ref!</definedName>
    <definedName function="false" hidden="false" localSheetId="6" name="ExternalData_1700" vbProcedure="false">'-'!#ref!</definedName>
    <definedName function="false" hidden="false" localSheetId="6" name="ExternalData_1701" vbProcedure="false">'-'!#ref!</definedName>
    <definedName function="false" hidden="false" localSheetId="6" name="ExternalData_1702" vbProcedure="false">'-'!#ref!</definedName>
    <definedName function="false" hidden="false" localSheetId="6" name="ExternalData_1703" vbProcedure="false">'-'!#ref!</definedName>
    <definedName function="false" hidden="false" localSheetId="6" name="ExternalData_1704" vbProcedure="false">'-'!#ref!</definedName>
    <definedName function="false" hidden="false" localSheetId="6" name="ExternalData_1705" vbProcedure="false">'-'!#ref!</definedName>
    <definedName function="false" hidden="false" localSheetId="6" name="ExternalData_1706" vbProcedure="false">'-'!#ref!</definedName>
    <definedName function="false" hidden="false" localSheetId="6" name="ExternalData_1707" vbProcedure="false">'-'!#ref!</definedName>
    <definedName function="false" hidden="false" localSheetId="6" name="ExternalData_1708" vbProcedure="false">'-'!#ref!</definedName>
    <definedName function="false" hidden="false" localSheetId="6" name="ExternalData_1709" vbProcedure="false">'-'!#ref!</definedName>
    <definedName function="false" hidden="false" localSheetId="6" name="ExternalData_171" vbProcedure="false">'-'!#ref!</definedName>
    <definedName function="false" hidden="false" localSheetId="6" name="ExternalData_1710" vbProcedure="false">'-'!#ref!</definedName>
    <definedName function="false" hidden="false" localSheetId="6" name="ExternalData_1711" vbProcedure="false">'-'!#ref!</definedName>
    <definedName function="false" hidden="false" localSheetId="6" name="ExternalData_1712" vbProcedure="false">'-'!#ref!</definedName>
    <definedName function="false" hidden="false" localSheetId="6" name="ExternalData_1713" vbProcedure="false">'-'!#ref!</definedName>
    <definedName function="false" hidden="false" localSheetId="6" name="ExternalData_1714" vbProcedure="false">'-'!#ref!</definedName>
    <definedName function="false" hidden="false" localSheetId="6" name="ExternalData_1715" vbProcedure="false">'-'!#ref!</definedName>
    <definedName function="false" hidden="false" localSheetId="6" name="ExternalData_1716" vbProcedure="false">'-'!#ref!</definedName>
    <definedName function="false" hidden="false" localSheetId="6" name="ExternalData_1717" vbProcedure="false">'-'!#ref!</definedName>
    <definedName function="false" hidden="false" localSheetId="6" name="ExternalData_1718" vbProcedure="false">'-'!#ref!</definedName>
    <definedName function="false" hidden="false" localSheetId="6" name="ExternalData_1719" vbProcedure="false">'-'!#ref!</definedName>
    <definedName function="false" hidden="false" localSheetId="6" name="ExternalData_172" vbProcedure="false">'-'!#ref!</definedName>
    <definedName function="false" hidden="false" localSheetId="6" name="ExternalData_1720" vbProcedure="false">'-'!#ref!</definedName>
    <definedName function="false" hidden="false" localSheetId="6" name="ExternalData_1721" vbProcedure="false">'-'!#ref!</definedName>
    <definedName function="false" hidden="false" localSheetId="6" name="ExternalData_1722" vbProcedure="false">'-'!#ref!</definedName>
    <definedName function="false" hidden="false" localSheetId="6" name="ExternalData_1723" vbProcedure="false">'-'!#ref!</definedName>
    <definedName function="false" hidden="false" localSheetId="6" name="ExternalData_1724" vbProcedure="false">'-'!#ref!</definedName>
    <definedName function="false" hidden="false" localSheetId="6" name="ExternalData_1725" vbProcedure="false">'-'!#ref!</definedName>
    <definedName function="false" hidden="false" localSheetId="6" name="ExternalData_1726" vbProcedure="false">'-'!#ref!</definedName>
    <definedName function="false" hidden="false" localSheetId="6" name="ExternalData_1727" vbProcedure="false">'-'!#ref!</definedName>
    <definedName function="false" hidden="false" localSheetId="6" name="ExternalData_1728" vbProcedure="false">'-'!#ref!</definedName>
    <definedName function="false" hidden="false" localSheetId="6" name="ExternalData_1729" vbProcedure="false">'-'!#ref!</definedName>
    <definedName function="false" hidden="false" localSheetId="6" name="ExternalData_173" vbProcedure="false">'-'!#ref!</definedName>
    <definedName function="false" hidden="false" localSheetId="6" name="ExternalData_1730" vbProcedure="false">'-'!#ref!</definedName>
    <definedName function="false" hidden="false" localSheetId="6" name="ExternalData_1731" vbProcedure="false">'-'!#ref!</definedName>
    <definedName function="false" hidden="false" localSheetId="6" name="ExternalData_1732" vbProcedure="false">'-'!#ref!</definedName>
    <definedName function="false" hidden="false" localSheetId="6" name="ExternalData_1733" vbProcedure="false">'-'!#ref!</definedName>
    <definedName function="false" hidden="false" localSheetId="6" name="ExternalData_1734" vbProcedure="false">'-'!#ref!</definedName>
    <definedName function="false" hidden="false" localSheetId="6" name="ExternalData_1735" vbProcedure="false">'-'!#ref!</definedName>
    <definedName function="false" hidden="false" localSheetId="6" name="ExternalData_1736" vbProcedure="false">'-'!#ref!</definedName>
    <definedName function="false" hidden="false" localSheetId="6" name="ExternalData_1737" vbProcedure="false">'-'!#ref!</definedName>
    <definedName function="false" hidden="false" localSheetId="6" name="ExternalData_1738" vbProcedure="false">'-'!#ref!</definedName>
    <definedName function="false" hidden="false" localSheetId="6" name="ExternalData_1739" vbProcedure="false">'-'!#ref!</definedName>
    <definedName function="false" hidden="false" localSheetId="6" name="ExternalData_174" vbProcedure="false">'-'!#ref!</definedName>
    <definedName function="false" hidden="false" localSheetId="6" name="ExternalData_1740" vbProcedure="false">'-'!#ref!</definedName>
    <definedName function="false" hidden="false" localSheetId="6" name="ExternalData_1741" vbProcedure="false">'-'!#ref!</definedName>
    <definedName function="false" hidden="false" localSheetId="6" name="ExternalData_1742" vbProcedure="false">'-'!#ref!</definedName>
    <definedName function="false" hidden="false" localSheetId="6" name="ExternalData_1743" vbProcedure="false">'-'!#ref!</definedName>
    <definedName function="false" hidden="false" localSheetId="6" name="ExternalData_1744" vbProcedure="false">'-'!#ref!</definedName>
    <definedName function="false" hidden="false" localSheetId="6" name="ExternalData_1745" vbProcedure="false">'-'!#ref!</definedName>
    <definedName function="false" hidden="false" localSheetId="6" name="ExternalData_1746" vbProcedure="false">'-'!#ref!</definedName>
    <definedName function="false" hidden="false" localSheetId="6" name="ExternalData_1747" vbProcedure="false">'-'!#ref!</definedName>
    <definedName function="false" hidden="false" localSheetId="6" name="ExternalData_1748" vbProcedure="false">'-'!#ref!</definedName>
    <definedName function="false" hidden="false" localSheetId="6" name="ExternalData_1749" vbProcedure="false">'-'!#ref!</definedName>
    <definedName function="false" hidden="false" localSheetId="6" name="ExternalData_175" vbProcedure="false">'-'!#ref!</definedName>
    <definedName function="false" hidden="false" localSheetId="6" name="ExternalData_1750" vbProcedure="false">'-'!#ref!</definedName>
    <definedName function="false" hidden="false" localSheetId="6" name="ExternalData_1751" vbProcedure="false">'-'!#ref!</definedName>
    <definedName function="false" hidden="false" localSheetId="6" name="ExternalData_1752" vbProcedure="false">'-'!#ref!</definedName>
    <definedName function="false" hidden="false" localSheetId="6" name="ExternalData_1753" vbProcedure="false">'-'!#ref!</definedName>
    <definedName function="false" hidden="false" localSheetId="6" name="ExternalData_1754" vbProcedure="false">'-'!#ref!</definedName>
    <definedName function="false" hidden="false" localSheetId="6" name="ExternalData_1755" vbProcedure="false">'-'!#ref!</definedName>
    <definedName function="false" hidden="false" localSheetId="6" name="ExternalData_1756" vbProcedure="false">'-'!#ref!</definedName>
    <definedName function="false" hidden="false" localSheetId="6" name="ExternalData_1757" vbProcedure="false">'-'!#ref!</definedName>
    <definedName function="false" hidden="false" localSheetId="6" name="ExternalData_1758" vbProcedure="false">'-'!#ref!</definedName>
    <definedName function="false" hidden="false" localSheetId="6" name="ExternalData_1759" vbProcedure="false">'-'!#ref!</definedName>
    <definedName function="false" hidden="false" localSheetId="6" name="ExternalData_176" vbProcedure="false">'-'!#ref!</definedName>
    <definedName function="false" hidden="false" localSheetId="6" name="ExternalData_1760" vbProcedure="false">'-'!#ref!</definedName>
    <definedName function="false" hidden="false" localSheetId="6" name="ExternalData_1761" vbProcedure="false">'-'!#ref!</definedName>
    <definedName function="false" hidden="false" localSheetId="6" name="ExternalData_1762" vbProcedure="false">'-'!#ref!</definedName>
    <definedName function="false" hidden="false" localSheetId="6" name="ExternalData_1763" vbProcedure="false">'-'!#ref!</definedName>
    <definedName function="false" hidden="false" localSheetId="6" name="ExternalData_1764" vbProcedure="false">'-'!#ref!</definedName>
    <definedName function="false" hidden="false" localSheetId="6" name="ExternalData_1765" vbProcedure="false">'-'!#ref!</definedName>
    <definedName function="false" hidden="false" localSheetId="6" name="ExternalData_1766" vbProcedure="false">'-'!#ref!</definedName>
    <definedName function="false" hidden="false" localSheetId="6" name="ExternalData_1767" vbProcedure="false">'-'!#ref!</definedName>
    <definedName function="false" hidden="false" localSheetId="6" name="ExternalData_1768" vbProcedure="false">'-'!#ref!</definedName>
    <definedName function="false" hidden="false" localSheetId="6" name="ExternalData_1769" vbProcedure="false">'-'!#ref!</definedName>
    <definedName function="false" hidden="false" localSheetId="6" name="ExternalData_177" vbProcedure="false">'-'!#ref!</definedName>
    <definedName function="false" hidden="false" localSheetId="6" name="ExternalData_1770" vbProcedure="false">'-'!#ref!</definedName>
    <definedName function="false" hidden="false" localSheetId="6" name="ExternalData_1771" vbProcedure="false">'-'!#ref!</definedName>
    <definedName function="false" hidden="false" localSheetId="6" name="ExternalData_1772" vbProcedure="false">'-'!#ref!</definedName>
    <definedName function="false" hidden="false" localSheetId="6" name="ExternalData_1773" vbProcedure="false">'-'!#ref!</definedName>
    <definedName function="false" hidden="false" localSheetId="6" name="ExternalData_1774" vbProcedure="false">'-'!#ref!</definedName>
    <definedName function="false" hidden="false" localSheetId="6" name="ExternalData_1775" vbProcedure="false">'-'!#ref!</definedName>
    <definedName function="false" hidden="false" localSheetId="6" name="ExternalData_1776" vbProcedure="false">'-'!#ref!</definedName>
    <definedName function="false" hidden="false" localSheetId="6" name="ExternalData_1777" vbProcedure="false">'-'!#ref!</definedName>
    <definedName function="false" hidden="false" localSheetId="6" name="ExternalData_1778" vbProcedure="false">'-'!#ref!</definedName>
    <definedName function="false" hidden="false" localSheetId="6" name="ExternalData_1779" vbProcedure="false">'-'!#ref!</definedName>
    <definedName function="false" hidden="false" localSheetId="6" name="ExternalData_178" vbProcedure="false">'-'!#ref!</definedName>
    <definedName function="false" hidden="false" localSheetId="6" name="ExternalData_1780" vbProcedure="false">'-'!#ref!</definedName>
    <definedName function="false" hidden="false" localSheetId="6" name="ExternalData_1781" vbProcedure="false">'-'!#ref!</definedName>
    <definedName function="false" hidden="false" localSheetId="6" name="ExternalData_1782" vbProcedure="false">'-'!#ref!</definedName>
    <definedName function="false" hidden="false" localSheetId="6" name="ExternalData_1783" vbProcedure="false">'-'!#ref!</definedName>
    <definedName function="false" hidden="false" localSheetId="6" name="ExternalData_1784" vbProcedure="false">'-'!#ref!</definedName>
    <definedName function="false" hidden="false" localSheetId="6" name="ExternalData_1785" vbProcedure="false">'-'!#ref!</definedName>
    <definedName function="false" hidden="false" localSheetId="6" name="ExternalData_1786" vbProcedure="false">'-'!#ref!</definedName>
    <definedName function="false" hidden="false" localSheetId="6" name="ExternalData_1787" vbProcedure="false">'-'!#ref!</definedName>
    <definedName function="false" hidden="false" localSheetId="6" name="ExternalData_1788" vbProcedure="false">'-'!#ref!</definedName>
    <definedName function="false" hidden="false" localSheetId="6" name="ExternalData_1789" vbProcedure="false">'-'!#ref!</definedName>
    <definedName function="false" hidden="false" localSheetId="6" name="ExternalData_179" vbProcedure="false">'-'!#ref!</definedName>
    <definedName function="false" hidden="false" localSheetId="6" name="ExternalData_1790" vbProcedure="false">'-'!#ref!</definedName>
    <definedName function="false" hidden="false" localSheetId="6" name="ExternalData_1791" vbProcedure="false">'-'!#ref!</definedName>
    <definedName function="false" hidden="false" localSheetId="6" name="ExternalData_1792" vbProcedure="false">'-'!#ref!</definedName>
    <definedName function="false" hidden="false" localSheetId="6" name="ExternalData_1793" vbProcedure="false">'-'!#ref!</definedName>
    <definedName function="false" hidden="false" localSheetId="6" name="ExternalData_1794" vbProcedure="false">'-'!#ref!</definedName>
    <definedName function="false" hidden="false" localSheetId="6" name="ExternalData_1795" vbProcedure="false">'-'!#ref!</definedName>
    <definedName function="false" hidden="false" localSheetId="6" name="ExternalData_1796" vbProcedure="false">'-'!#ref!</definedName>
    <definedName function="false" hidden="false" localSheetId="6" name="ExternalData_1797" vbProcedure="false">'-'!#ref!</definedName>
    <definedName function="false" hidden="false" localSheetId="6" name="ExternalData_1798" vbProcedure="false">'-'!#ref!</definedName>
    <definedName function="false" hidden="false" localSheetId="6" name="ExternalData_1799" vbProcedure="false">'-'!#ref!</definedName>
    <definedName function="false" hidden="false" localSheetId="6" name="ExternalData_18" vbProcedure="false">'-'!#ref!</definedName>
    <definedName function="false" hidden="false" localSheetId="6" name="ExternalData_180" vbProcedure="false">'-'!#ref!</definedName>
    <definedName function="false" hidden="false" localSheetId="6" name="ExternalData_1800" vbProcedure="false">'-'!#ref!</definedName>
    <definedName function="false" hidden="false" localSheetId="6" name="ExternalData_1801" vbProcedure="false">'-'!#ref!</definedName>
    <definedName function="false" hidden="false" localSheetId="6" name="ExternalData_1802" vbProcedure="false">'-'!#ref!</definedName>
    <definedName function="false" hidden="false" localSheetId="6" name="ExternalData_1803" vbProcedure="false">'-'!#ref!</definedName>
    <definedName function="false" hidden="false" localSheetId="6" name="ExternalData_1804" vbProcedure="false">'-'!#ref!</definedName>
    <definedName function="false" hidden="false" localSheetId="6" name="ExternalData_1805" vbProcedure="false">'-'!#ref!</definedName>
    <definedName function="false" hidden="false" localSheetId="6" name="ExternalData_1806" vbProcedure="false">'-'!#ref!</definedName>
    <definedName function="false" hidden="false" localSheetId="6" name="ExternalData_1807" vbProcedure="false">'-'!#ref!</definedName>
    <definedName function="false" hidden="false" localSheetId="6" name="ExternalData_1808" vbProcedure="false">'-'!#ref!</definedName>
    <definedName function="false" hidden="false" localSheetId="6" name="ExternalData_1809" vbProcedure="false">'-'!#ref!</definedName>
    <definedName function="false" hidden="false" localSheetId="6" name="ExternalData_181" vbProcedure="false">'-'!#ref!</definedName>
    <definedName function="false" hidden="false" localSheetId="6" name="ExternalData_1810" vbProcedure="false">'-'!#ref!</definedName>
    <definedName function="false" hidden="false" localSheetId="6" name="ExternalData_1811" vbProcedure="false">'-'!#ref!</definedName>
    <definedName function="false" hidden="false" localSheetId="6" name="ExternalData_1812" vbProcedure="false">'-'!#ref!</definedName>
    <definedName function="false" hidden="false" localSheetId="6" name="ExternalData_1813" vbProcedure="false">'-'!#ref!</definedName>
    <definedName function="false" hidden="false" localSheetId="6" name="ExternalData_1814" vbProcedure="false">'-'!#ref!</definedName>
    <definedName function="false" hidden="false" localSheetId="6" name="ExternalData_1815" vbProcedure="false">'-'!#ref!</definedName>
    <definedName function="false" hidden="false" localSheetId="6" name="ExternalData_1816" vbProcedure="false">'-'!#ref!</definedName>
    <definedName function="false" hidden="false" localSheetId="6" name="ExternalData_1817" vbProcedure="false">'-'!#ref!</definedName>
    <definedName function="false" hidden="false" localSheetId="6" name="ExternalData_1818" vbProcedure="false">'-'!#ref!</definedName>
    <definedName function="false" hidden="false" localSheetId="6" name="ExternalData_1819" vbProcedure="false">'-'!#ref!</definedName>
    <definedName function="false" hidden="false" localSheetId="6" name="ExternalData_182" vbProcedure="false">'-'!#ref!</definedName>
    <definedName function="false" hidden="false" localSheetId="6" name="ExternalData_1820" vbProcedure="false">'-'!#ref!</definedName>
    <definedName function="false" hidden="false" localSheetId="6" name="ExternalData_1821" vbProcedure="false">'-'!#ref!</definedName>
    <definedName function="false" hidden="false" localSheetId="6" name="ExternalData_1822" vbProcedure="false">'-'!#ref!</definedName>
    <definedName function="false" hidden="false" localSheetId="6" name="ExternalData_1823" vbProcedure="false">'-'!#ref!</definedName>
    <definedName function="false" hidden="false" localSheetId="6" name="ExternalData_1824" vbProcedure="false">'-'!#ref!</definedName>
    <definedName function="false" hidden="false" localSheetId="6" name="ExternalData_1825" vbProcedure="false">'-'!#ref!</definedName>
    <definedName function="false" hidden="false" localSheetId="6" name="ExternalData_1826" vbProcedure="false">'-'!#ref!</definedName>
    <definedName function="false" hidden="false" localSheetId="6" name="ExternalData_1827" vbProcedure="false">'-'!#ref!</definedName>
    <definedName function="false" hidden="false" localSheetId="6" name="ExternalData_1828" vbProcedure="false">'-'!#ref!</definedName>
    <definedName function="false" hidden="false" localSheetId="6" name="ExternalData_1829" vbProcedure="false">'-'!#ref!</definedName>
    <definedName function="false" hidden="false" localSheetId="6" name="ExternalData_183" vbProcedure="false">'-'!#ref!</definedName>
    <definedName function="false" hidden="false" localSheetId="6" name="ExternalData_1830" vbProcedure="false">'-'!#ref!</definedName>
    <definedName function="false" hidden="false" localSheetId="6" name="ExternalData_1831" vbProcedure="false">'-'!#ref!</definedName>
    <definedName function="false" hidden="false" localSheetId="6" name="ExternalData_1832" vbProcedure="false">'-'!#ref!</definedName>
    <definedName function="false" hidden="false" localSheetId="6" name="ExternalData_1833" vbProcedure="false">'-'!#ref!</definedName>
    <definedName function="false" hidden="false" localSheetId="6" name="ExternalData_1834" vbProcedure="false">'-'!#ref!</definedName>
    <definedName function="false" hidden="false" localSheetId="6" name="ExternalData_1835" vbProcedure="false">'-'!#ref!</definedName>
    <definedName function="false" hidden="false" localSheetId="6" name="ExternalData_1836" vbProcedure="false">'-'!#ref!</definedName>
    <definedName function="false" hidden="false" localSheetId="6" name="ExternalData_1837" vbProcedure="false">'-'!#ref!</definedName>
    <definedName function="false" hidden="false" localSheetId="6" name="ExternalData_1838" vbProcedure="false">'-'!#ref!</definedName>
    <definedName function="false" hidden="false" localSheetId="6" name="ExternalData_1839" vbProcedure="false">'-'!#ref!</definedName>
    <definedName function="false" hidden="false" localSheetId="6" name="ExternalData_184" vbProcedure="false">'-'!#ref!</definedName>
    <definedName function="false" hidden="false" localSheetId="6" name="ExternalData_1840" vbProcedure="false">'-'!#ref!</definedName>
    <definedName function="false" hidden="false" localSheetId="6" name="ExternalData_1841" vbProcedure="false">'-'!#ref!</definedName>
    <definedName function="false" hidden="false" localSheetId="6" name="ExternalData_1842" vbProcedure="false">'-'!#ref!</definedName>
    <definedName function="false" hidden="false" localSheetId="6" name="ExternalData_1843" vbProcedure="false">'-'!#ref!</definedName>
    <definedName function="false" hidden="false" localSheetId="6" name="ExternalData_1844" vbProcedure="false">'-'!#ref!</definedName>
    <definedName function="false" hidden="false" localSheetId="6" name="ExternalData_1845" vbProcedure="false">'-'!#ref!</definedName>
    <definedName function="false" hidden="false" localSheetId="6" name="ExternalData_1846" vbProcedure="false">'-'!#ref!</definedName>
    <definedName function="false" hidden="false" localSheetId="6" name="ExternalData_1847" vbProcedure="false">'-'!#ref!</definedName>
    <definedName function="false" hidden="false" localSheetId="6" name="ExternalData_1848" vbProcedure="false">'-'!#ref!</definedName>
    <definedName function="false" hidden="false" localSheetId="6" name="ExternalData_1849" vbProcedure="false">'-'!#ref!</definedName>
    <definedName function="false" hidden="false" localSheetId="6" name="ExternalData_185" vbProcedure="false">'-'!#ref!</definedName>
    <definedName function="false" hidden="false" localSheetId="6" name="ExternalData_1850" vbProcedure="false">'-'!#ref!</definedName>
    <definedName function="false" hidden="false" localSheetId="6" name="ExternalData_1851" vbProcedure="false">'-'!#ref!</definedName>
    <definedName function="false" hidden="false" localSheetId="6" name="ExternalData_1852" vbProcedure="false">'-'!#ref!</definedName>
    <definedName function="false" hidden="false" localSheetId="6" name="ExternalData_1853" vbProcedure="false">'-'!#ref!</definedName>
    <definedName function="false" hidden="false" localSheetId="6" name="ExternalData_1854" vbProcedure="false">'-'!#ref!</definedName>
    <definedName function="false" hidden="false" localSheetId="6" name="ExternalData_1855" vbProcedure="false">'-'!#ref!</definedName>
    <definedName function="false" hidden="false" localSheetId="6" name="ExternalData_1856" vbProcedure="false">'-'!#ref!</definedName>
    <definedName function="false" hidden="false" localSheetId="6" name="ExternalData_1857" vbProcedure="false">'-'!#ref!</definedName>
    <definedName function="false" hidden="false" localSheetId="6" name="ExternalData_1858" vbProcedure="false">'-'!#ref!</definedName>
    <definedName function="false" hidden="false" localSheetId="6" name="ExternalData_1859" vbProcedure="false">'-'!#ref!</definedName>
    <definedName function="false" hidden="false" localSheetId="6" name="ExternalData_186" vbProcedure="false">'-'!#ref!</definedName>
    <definedName function="false" hidden="false" localSheetId="6" name="ExternalData_1860" vbProcedure="false">'-'!#ref!</definedName>
    <definedName function="false" hidden="false" localSheetId="6" name="ExternalData_1861" vbProcedure="false">'-'!#ref!</definedName>
    <definedName function="false" hidden="false" localSheetId="6" name="ExternalData_1862" vbProcedure="false">'-'!#ref!</definedName>
    <definedName function="false" hidden="false" localSheetId="6" name="ExternalData_1863" vbProcedure="false">'-'!#ref!</definedName>
    <definedName function="false" hidden="false" localSheetId="6" name="ExternalData_1864" vbProcedure="false">'-'!#ref!</definedName>
    <definedName function="false" hidden="false" localSheetId="6" name="ExternalData_1865" vbProcedure="false">'-'!#ref!</definedName>
    <definedName function="false" hidden="false" localSheetId="6" name="ExternalData_1866" vbProcedure="false">'-'!#ref!</definedName>
    <definedName function="false" hidden="false" localSheetId="6" name="ExternalData_1867" vbProcedure="false">'-'!#ref!</definedName>
    <definedName function="false" hidden="false" localSheetId="6" name="ExternalData_1868" vbProcedure="false">'-'!#ref!</definedName>
    <definedName function="false" hidden="false" localSheetId="6" name="ExternalData_1869" vbProcedure="false">'-'!#ref!</definedName>
    <definedName function="false" hidden="false" localSheetId="6" name="ExternalData_187" vbProcedure="false">'-'!#ref!</definedName>
    <definedName function="false" hidden="false" localSheetId="6" name="ExternalData_1870" vbProcedure="false">'-'!#ref!</definedName>
    <definedName function="false" hidden="false" localSheetId="6" name="ExternalData_1871" vbProcedure="false">'-'!#ref!</definedName>
    <definedName function="false" hidden="false" localSheetId="6" name="ExternalData_1872" vbProcedure="false">'-'!#ref!</definedName>
    <definedName function="false" hidden="false" localSheetId="6" name="ExternalData_1873" vbProcedure="false">'-'!#ref!</definedName>
    <definedName function="false" hidden="false" localSheetId="6" name="ExternalData_1874" vbProcedure="false">'-'!#ref!</definedName>
    <definedName function="false" hidden="false" localSheetId="6" name="ExternalData_1875" vbProcedure="false">'-'!#ref!</definedName>
    <definedName function="false" hidden="false" localSheetId="6" name="ExternalData_1876" vbProcedure="false">'-'!#ref!</definedName>
    <definedName function="false" hidden="false" localSheetId="6" name="ExternalData_1877" vbProcedure="false">'-'!#ref!</definedName>
    <definedName function="false" hidden="false" localSheetId="6" name="ExternalData_1878" vbProcedure="false">'-'!#ref!</definedName>
    <definedName function="false" hidden="false" localSheetId="6" name="ExternalData_1879" vbProcedure="false">'-'!#ref!</definedName>
    <definedName function="false" hidden="false" localSheetId="6" name="ExternalData_188" vbProcedure="false">'-'!#ref!</definedName>
    <definedName function="false" hidden="false" localSheetId="6" name="ExternalData_1880" vbProcedure="false">'-'!#ref!</definedName>
    <definedName function="false" hidden="false" localSheetId="6" name="ExternalData_1881" vbProcedure="false">'-'!#ref!</definedName>
    <definedName function="false" hidden="false" localSheetId="6" name="ExternalData_1882" vbProcedure="false">'-'!#ref!</definedName>
    <definedName function="false" hidden="false" localSheetId="6" name="ExternalData_1883" vbProcedure="false">'-'!#ref!</definedName>
    <definedName function="false" hidden="false" localSheetId="6" name="ExternalData_1884" vbProcedure="false">'-'!#ref!</definedName>
    <definedName function="false" hidden="false" localSheetId="6" name="ExternalData_1885" vbProcedure="false">'-'!#ref!</definedName>
    <definedName function="false" hidden="false" localSheetId="6" name="ExternalData_1886" vbProcedure="false">'-'!#ref!</definedName>
    <definedName function="false" hidden="false" localSheetId="6" name="ExternalData_1887" vbProcedure="false">'-'!#ref!</definedName>
    <definedName function="false" hidden="false" localSheetId="6" name="ExternalData_1888" vbProcedure="false">'-'!#ref!</definedName>
    <definedName function="false" hidden="false" localSheetId="6" name="ExternalData_1889" vbProcedure="false">'-'!#ref!</definedName>
    <definedName function="false" hidden="false" localSheetId="6" name="ExternalData_189" vbProcedure="false">'-'!#ref!</definedName>
    <definedName function="false" hidden="false" localSheetId="6" name="ExternalData_1890" vbProcedure="false">'-'!#ref!</definedName>
    <definedName function="false" hidden="false" localSheetId="6" name="ExternalData_1891" vbProcedure="false">'-'!#ref!</definedName>
    <definedName function="false" hidden="false" localSheetId="6" name="ExternalData_1892" vbProcedure="false">'-'!#ref!</definedName>
    <definedName function="false" hidden="false" localSheetId="6" name="ExternalData_1893" vbProcedure="false">'-'!#ref!</definedName>
    <definedName function="false" hidden="false" localSheetId="6" name="ExternalData_1894" vbProcedure="false">'-'!#ref!</definedName>
    <definedName function="false" hidden="false" localSheetId="6" name="ExternalData_1895" vbProcedure="false">'-'!#ref!</definedName>
    <definedName function="false" hidden="false" localSheetId="6" name="ExternalData_1896" vbProcedure="false">'-'!#ref!</definedName>
    <definedName function="false" hidden="false" localSheetId="6" name="ExternalData_1897" vbProcedure="false">'-'!#ref!</definedName>
    <definedName function="false" hidden="false" localSheetId="6" name="ExternalData_1898" vbProcedure="false">'-'!#ref!</definedName>
    <definedName function="false" hidden="false" localSheetId="6" name="ExternalData_1899" vbProcedure="false">'-'!#ref!</definedName>
    <definedName function="false" hidden="false" localSheetId="6" name="ExternalData_19" vbProcedure="false">'-'!#ref!</definedName>
    <definedName function="false" hidden="false" localSheetId="6" name="ExternalData_190" vbProcedure="false">'-'!#ref!</definedName>
    <definedName function="false" hidden="false" localSheetId="6" name="ExternalData_1900" vbProcedure="false">'-'!#ref!</definedName>
    <definedName function="false" hidden="false" localSheetId="6" name="ExternalData_1901" vbProcedure="false">'-'!#ref!</definedName>
    <definedName function="false" hidden="false" localSheetId="6" name="ExternalData_1902" vbProcedure="false">'-'!#ref!</definedName>
    <definedName function="false" hidden="false" localSheetId="6" name="ExternalData_1903" vbProcedure="false">'-'!#ref!</definedName>
    <definedName function="false" hidden="false" localSheetId="6" name="ExternalData_1904" vbProcedure="false">'-'!#ref!</definedName>
    <definedName function="false" hidden="false" localSheetId="6" name="ExternalData_1905" vbProcedure="false">'-'!#ref!</definedName>
    <definedName function="false" hidden="false" localSheetId="6" name="ExternalData_1906" vbProcedure="false">'-'!#ref!</definedName>
    <definedName function="false" hidden="false" localSheetId="6" name="ExternalData_1907" vbProcedure="false">'-'!#ref!</definedName>
    <definedName function="false" hidden="false" localSheetId="6" name="ExternalData_1908" vbProcedure="false">'-'!#ref!</definedName>
    <definedName function="false" hidden="false" localSheetId="6" name="ExternalData_1909" vbProcedure="false">'-'!#ref!</definedName>
    <definedName function="false" hidden="false" localSheetId="6" name="ExternalData_191" vbProcedure="false">'-'!#ref!</definedName>
    <definedName function="false" hidden="false" localSheetId="6" name="ExternalData_1910" vbProcedure="false">'-'!#ref!</definedName>
    <definedName function="false" hidden="false" localSheetId="6" name="ExternalData_1911" vbProcedure="false">'-'!#ref!</definedName>
    <definedName function="false" hidden="false" localSheetId="6" name="ExternalData_1912" vbProcedure="false">'-'!#ref!</definedName>
    <definedName function="false" hidden="false" localSheetId="6" name="ExternalData_1913" vbProcedure="false">'-'!#ref!</definedName>
    <definedName function="false" hidden="false" localSheetId="6" name="ExternalData_1914" vbProcedure="false">'-'!#ref!</definedName>
    <definedName function="false" hidden="false" localSheetId="6" name="ExternalData_1915" vbProcedure="false">'-'!#ref!</definedName>
    <definedName function="false" hidden="false" localSheetId="6" name="ExternalData_1916" vbProcedure="false">'-'!#ref!</definedName>
    <definedName function="false" hidden="false" localSheetId="6" name="ExternalData_1917" vbProcedure="false">'-'!#ref!</definedName>
    <definedName function="false" hidden="false" localSheetId="6" name="ExternalData_1918" vbProcedure="false">'-'!#ref!</definedName>
    <definedName function="false" hidden="false" localSheetId="6" name="ExternalData_1919" vbProcedure="false">'-'!#ref!</definedName>
    <definedName function="false" hidden="false" localSheetId="6" name="ExternalData_192" vbProcedure="false">'-'!#ref!</definedName>
    <definedName function="false" hidden="false" localSheetId="6" name="ExternalData_1920" vbProcedure="false">'-'!#ref!</definedName>
    <definedName function="false" hidden="false" localSheetId="6" name="ExternalData_1921" vbProcedure="false">'-'!#ref!</definedName>
    <definedName function="false" hidden="false" localSheetId="6" name="ExternalData_1922" vbProcedure="false">'-'!#ref!</definedName>
    <definedName function="false" hidden="false" localSheetId="6" name="ExternalData_1923" vbProcedure="false">'-'!#ref!</definedName>
    <definedName function="false" hidden="false" localSheetId="6" name="ExternalData_1924" vbProcedure="false">'-'!#ref!</definedName>
    <definedName function="false" hidden="false" localSheetId="6" name="ExternalData_1925" vbProcedure="false">'-'!#ref!</definedName>
    <definedName function="false" hidden="false" localSheetId="6" name="ExternalData_1926" vbProcedure="false">'-'!#ref!</definedName>
    <definedName function="false" hidden="false" localSheetId="6" name="ExternalData_1927" vbProcedure="false">'-'!#ref!</definedName>
    <definedName function="false" hidden="false" localSheetId="6" name="ExternalData_1928" vbProcedure="false">'-'!#ref!</definedName>
    <definedName function="false" hidden="false" localSheetId="6" name="ExternalData_1929" vbProcedure="false">'-'!#ref!</definedName>
    <definedName function="false" hidden="false" localSheetId="6" name="ExternalData_193" vbProcedure="false">'-'!#ref!</definedName>
    <definedName function="false" hidden="false" localSheetId="6" name="ExternalData_1930" vbProcedure="false">'-'!#ref!</definedName>
    <definedName function="false" hidden="false" localSheetId="6" name="ExternalData_1931" vbProcedure="false">'-'!#ref!</definedName>
    <definedName function="false" hidden="false" localSheetId="6" name="ExternalData_1932" vbProcedure="false">'-'!#ref!</definedName>
    <definedName function="false" hidden="false" localSheetId="6" name="ExternalData_1933" vbProcedure="false">'-'!#ref!</definedName>
    <definedName function="false" hidden="false" localSheetId="6" name="ExternalData_1934" vbProcedure="false">'-'!#ref!</definedName>
    <definedName function="false" hidden="false" localSheetId="6" name="ExternalData_1935" vbProcedure="false">'-'!#ref!</definedName>
    <definedName function="false" hidden="false" localSheetId="6" name="ExternalData_1936" vbProcedure="false">'-'!#ref!</definedName>
    <definedName function="false" hidden="false" localSheetId="6" name="ExternalData_1937" vbProcedure="false">'-'!#ref!</definedName>
    <definedName function="false" hidden="false" localSheetId="6" name="ExternalData_1938" vbProcedure="false">'-'!#ref!</definedName>
    <definedName function="false" hidden="false" localSheetId="6" name="ExternalData_1939" vbProcedure="false">'-'!#ref!</definedName>
    <definedName function="false" hidden="false" localSheetId="6" name="ExternalData_194" vbProcedure="false">'-'!#ref!</definedName>
    <definedName function="false" hidden="false" localSheetId="6" name="ExternalData_1940" vbProcedure="false">'-'!#ref!</definedName>
    <definedName function="false" hidden="false" localSheetId="6" name="ExternalData_1941" vbProcedure="false">'-'!#ref!</definedName>
    <definedName function="false" hidden="false" localSheetId="6" name="ExternalData_1942" vbProcedure="false">'-'!#ref!</definedName>
    <definedName function="false" hidden="false" localSheetId="6" name="ExternalData_1943" vbProcedure="false">'-'!#ref!</definedName>
    <definedName function="false" hidden="false" localSheetId="6" name="ExternalData_1944" vbProcedure="false">'-'!#ref!</definedName>
    <definedName function="false" hidden="false" localSheetId="6" name="ExternalData_1945" vbProcedure="false">'-'!#ref!</definedName>
    <definedName function="false" hidden="false" localSheetId="6" name="ExternalData_1946" vbProcedure="false">'-'!#ref!</definedName>
    <definedName function="false" hidden="false" localSheetId="6" name="ExternalData_1947" vbProcedure="false">'-'!#ref!</definedName>
    <definedName function="false" hidden="false" localSheetId="6" name="ExternalData_1948" vbProcedure="false">'-'!#ref!</definedName>
    <definedName function="false" hidden="false" localSheetId="6" name="ExternalData_1949" vbProcedure="false">'-'!#ref!</definedName>
    <definedName function="false" hidden="false" localSheetId="6" name="ExternalData_195" vbProcedure="false">'-'!#ref!</definedName>
    <definedName function="false" hidden="false" localSheetId="6" name="ExternalData_1950" vbProcedure="false">'-'!#ref!</definedName>
    <definedName function="false" hidden="false" localSheetId="6" name="ExternalData_1951" vbProcedure="false">'-'!#ref!</definedName>
    <definedName function="false" hidden="false" localSheetId="6" name="ExternalData_1952" vbProcedure="false">'-'!#ref!</definedName>
    <definedName function="false" hidden="false" localSheetId="6" name="ExternalData_1953" vbProcedure="false">'-'!#ref!</definedName>
    <definedName function="false" hidden="false" localSheetId="6" name="ExternalData_1954" vbProcedure="false">'-'!#ref!</definedName>
    <definedName function="false" hidden="false" localSheetId="6" name="ExternalData_1955" vbProcedure="false">'-'!#ref!</definedName>
    <definedName function="false" hidden="false" localSheetId="6" name="ExternalData_1956" vbProcedure="false">'-'!#ref!</definedName>
    <definedName function="false" hidden="false" localSheetId="6" name="ExternalData_1957" vbProcedure="false">'-'!#ref!</definedName>
    <definedName function="false" hidden="false" localSheetId="6" name="ExternalData_1958" vbProcedure="false">'-'!#ref!</definedName>
    <definedName function="false" hidden="false" localSheetId="6" name="ExternalData_1959" vbProcedure="false">'-'!#ref!</definedName>
    <definedName function="false" hidden="false" localSheetId="6" name="ExternalData_196" vbProcedure="false">'-'!#ref!</definedName>
    <definedName function="false" hidden="false" localSheetId="6" name="ExternalData_1960" vbProcedure="false">'-'!#ref!</definedName>
    <definedName function="false" hidden="false" localSheetId="6" name="ExternalData_1961" vbProcedure="false">'-'!#ref!</definedName>
    <definedName function="false" hidden="false" localSheetId="6" name="ExternalData_1962" vbProcedure="false">'-'!#ref!</definedName>
    <definedName function="false" hidden="false" localSheetId="6" name="ExternalData_1963" vbProcedure="false">'-'!#ref!</definedName>
    <definedName function="false" hidden="false" localSheetId="6" name="ExternalData_1964" vbProcedure="false">'-'!#ref!</definedName>
    <definedName function="false" hidden="false" localSheetId="6" name="ExternalData_1965" vbProcedure="false">'-'!#ref!</definedName>
    <definedName function="false" hidden="false" localSheetId="6" name="ExternalData_1966" vbProcedure="false">'-'!#ref!</definedName>
    <definedName function="false" hidden="false" localSheetId="6" name="ExternalData_1967" vbProcedure="false">'-'!#ref!</definedName>
    <definedName function="false" hidden="false" localSheetId="6" name="ExternalData_1968" vbProcedure="false">'-'!#ref!</definedName>
    <definedName function="false" hidden="false" localSheetId="6" name="ExternalData_1969" vbProcedure="false">'-'!#ref!</definedName>
    <definedName function="false" hidden="false" localSheetId="6" name="ExternalData_197" vbProcedure="false">'-'!#ref!</definedName>
    <definedName function="false" hidden="false" localSheetId="6" name="ExternalData_1970" vbProcedure="false">'-'!#ref!</definedName>
    <definedName function="false" hidden="false" localSheetId="6" name="ExternalData_1971" vbProcedure="false">'-'!#ref!</definedName>
    <definedName function="false" hidden="false" localSheetId="6" name="ExternalData_1972" vbProcedure="false">'-'!#ref!</definedName>
    <definedName function="false" hidden="false" localSheetId="6" name="ExternalData_1973" vbProcedure="false">'-'!#ref!</definedName>
    <definedName function="false" hidden="false" localSheetId="6" name="ExternalData_1974" vbProcedure="false">'-'!#ref!</definedName>
    <definedName function="false" hidden="false" localSheetId="6" name="ExternalData_1975" vbProcedure="false">'-'!#ref!</definedName>
    <definedName function="false" hidden="false" localSheetId="6" name="ExternalData_1976" vbProcedure="false">'-'!#ref!</definedName>
    <definedName function="false" hidden="false" localSheetId="6" name="ExternalData_1977" vbProcedure="false">'-'!#ref!</definedName>
    <definedName function="false" hidden="false" localSheetId="6" name="ExternalData_1978" vbProcedure="false">'-'!#ref!</definedName>
    <definedName function="false" hidden="false" localSheetId="6" name="ExternalData_1979" vbProcedure="false">'-'!#ref!</definedName>
    <definedName function="false" hidden="false" localSheetId="6" name="ExternalData_198" vbProcedure="false">'-'!#ref!</definedName>
    <definedName function="false" hidden="false" localSheetId="6" name="ExternalData_1980" vbProcedure="false">'-'!#ref!</definedName>
    <definedName function="false" hidden="false" localSheetId="6" name="ExternalData_1981" vbProcedure="false">'-'!#ref!</definedName>
    <definedName function="false" hidden="false" localSheetId="6" name="ExternalData_1982" vbProcedure="false">'-'!#ref!</definedName>
    <definedName function="false" hidden="false" localSheetId="6" name="ExternalData_1983" vbProcedure="false">'-'!#ref!</definedName>
    <definedName function="false" hidden="false" localSheetId="6" name="ExternalData_1984" vbProcedure="false">'-'!#ref!</definedName>
    <definedName function="false" hidden="false" localSheetId="6" name="ExternalData_1985" vbProcedure="false">'-'!#ref!</definedName>
    <definedName function="false" hidden="false" localSheetId="6" name="ExternalData_1986" vbProcedure="false">'-'!#ref!</definedName>
    <definedName function="false" hidden="false" localSheetId="6" name="ExternalData_1987" vbProcedure="false">'-'!#ref!</definedName>
    <definedName function="false" hidden="false" localSheetId="6" name="ExternalData_1988" vbProcedure="false">'-'!#ref!</definedName>
    <definedName function="false" hidden="false" localSheetId="6" name="ExternalData_1989" vbProcedure="false">'-'!#ref!</definedName>
    <definedName function="false" hidden="false" localSheetId="6" name="ExternalData_199" vbProcedure="false">'-'!#ref!</definedName>
    <definedName function="false" hidden="false" localSheetId="6" name="ExternalData_1990" vbProcedure="false">'-'!#ref!</definedName>
    <definedName function="false" hidden="false" localSheetId="6" name="ExternalData_1991" vbProcedure="false">'-'!#ref!</definedName>
    <definedName function="false" hidden="false" localSheetId="6" name="ExternalData_1992" vbProcedure="false">'-'!#ref!</definedName>
    <definedName function="false" hidden="false" localSheetId="6" name="ExternalData_1993" vbProcedure="false">'-'!#ref!</definedName>
    <definedName function="false" hidden="false" localSheetId="6" name="ExternalData_1994" vbProcedure="false">'-'!#ref!</definedName>
    <definedName function="false" hidden="false" localSheetId="6" name="ExternalData_1995" vbProcedure="false">'-'!#ref!</definedName>
    <definedName function="false" hidden="false" localSheetId="6" name="ExternalData_1996" vbProcedure="false">'-'!#ref!</definedName>
    <definedName function="false" hidden="false" localSheetId="6" name="ExternalData_1997" vbProcedure="false">'-'!#ref!</definedName>
    <definedName function="false" hidden="false" localSheetId="6" name="ExternalData_1998" vbProcedure="false">'-'!#ref!</definedName>
    <definedName function="false" hidden="false" localSheetId="6" name="ExternalData_1999" vbProcedure="false">'-'!#ref!</definedName>
    <definedName function="false" hidden="false" localSheetId="6" name="ExternalData_2" vbProcedure="false">'-'!#ref!</definedName>
    <definedName function="false" hidden="false" localSheetId="6" name="ExternalData_20" vbProcedure="false">'-'!#ref!</definedName>
    <definedName function="false" hidden="false" localSheetId="6" name="ExternalData_200" vbProcedure="false">'-'!#ref!</definedName>
    <definedName function="false" hidden="false" localSheetId="6" name="ExternalData_2000" vbProcedure="false">'-'!#ref!</definedName>
    <definedName function="false" hidden="false" localSheetId="6" name="ExternalData_2001" vbProcedure="false">'-'!#ref!</definedName>
    <definedName function="false" hidden="false" localSheetId="6" name="ExternalData_2002" vbProcedure="false">'-'!#ref!</definedName>
    <definedName function="false" hidden="false" localSheetId="6" name="ExternalData_2003" vbProcedure="false">'-'!#ref!</definedName>
    <definedName function="false" hidden="false" localSheetId="6" name="ExternalData_2004" vbProcedure="false">'-'!#ref!</definedName>
    <definedName function="false" hidden="false" localSheetId="6" name="ExternalData_2005" vbProcedure="false">'-'!#ref!</definedName>
    <definedName function="false" hidden="false" localSheetId="6" name="ExternalData_2006" vbProcedure="false">'-'!#ref!</definedName>
    <definedName function="false" hidden="false" localSheetId="6" name="ExternalData_2007" vbProcedure="false">'-'!#ref!</definedName>
    <definedName function="false" hidden="false" localSheetId="6" name="ExternalData_2008" vbProcedure="false">'-'!#ref!</definedName>
    <definedName function="false" hidden="false" localSheetId="6" name="ExternalData_2009" vbProcedure="false">'-'!#ref!</definedName>
    <definedName function="false" hidden="false" localSheetId="6" name="ExternalData_201" vbProcedure="false">'-'!#ref!</definedName>
    <definedName function="false" hidden="false" localSheetId="6" name="ExternalData_2010" vbProcedure="false">'-'!#ref!</definedName>
    <definedName function="false" hidden="false" localSheetId="6" name="ExternalData_2011" vbProcedure="false">'-'!#ref!</definedName>
    <definedName function="false" hidden="false" localSheetId="6" name="ExternalData_2012" vbProcedure="false">'-'!#ref!</definedName>
    <definedName function="false" hidden="false" localSheetId="6" name="ExternalData_202" vbProcedure="false">'-'!#ref!</definedName>
    <definedName function="false" hidden="false" localSheetId="6" name="ExternalData_203" vbProcedure="false">'-'!#ref!</definedName>
    <definedName function="false" hidden="false" localSheetId="6" name="ExternalData_204" vbProcedure="false">'-'!#ref!</definedName>
    <definedName function="false" hidden="false" localSheetId="6" name="ExternalData_205" vbProcedure="false">'-'!#ref!</definedName>
    <definedName function="false" hidden="false" localSheetId="6" name="ExternalData_206" vbProcedure="false">'-'!#ref!</definedName>
    <definedName function="false" hidden="false" localSheetId="6" name="ExternalData_207" vbProcedure="false">'-'!#ref!</definedName>
    <definedName function="false" hidden="false" localSheetId="6" name="ExternalData_208" vbProcedure="false">'-'!#ref!</definedName>
    <definedName function="false" hidden="false" localSheetId="6" name="ExternalData_209" vbProcedure="false">'-'!#ref!</definedName>
    <definedName function="false" hidden="false" localSheetId="6" name="ExternalData_21" vbProcedure="false">'-'!#ref!</definedName>
    <definedName function="false" hidden="false" localSheetId="6" name="ExternalData_210" vbProcedure="false">'-'!#ref!</definedName>
    <definedName function="false" hidden="false" localSheetId="6" name="ExternalData_211" vbProcedure="false">'-'!#ref!</definedName>
    <definedName function="false" hidden="false" localSheetId="6" name="ExternalData_212" vbProcedure="false">'-'!#ref!</definedName>
    <definedName function="false" hidden="false" localSheetId="6" name="ExternalData_213" vbProcedure="false">'-'!#ref!</definedName>
    <definedName function="false" hidden="false" localSheetId="6" name="ExternalData_214" vbProcedure="false">'-'!#ref!</definedName>
    <definedName function="false" hidden="false" localSheetId="6" name="ExternalData_215" vbProcedure="false">'-'!#ref!</definedName>
    <definedName function="false" hidden="false" localSheetId="6" name="ExternalData_216" vbProcedure="false">'-'!#ref!</definedName>
    <definedName function="false" hidden="false" localSheetId="6" name="ExternalData_217" vbProcedure="false">'-'!#ref!</definedName>
    <definedName function="false" hidden="false" localSheetId="6" name="ExternalData_218" vbProcedure="false">'-'!#ref!</definedName>
    <definedName function="false" hidden="false" localSheetId="6" name="ExternalData_219" vbProcedure="false">'-'!#ref!</definedName>
    <definedName function="false" hidden="false" localSheetId="6" name="ExternalData_22" vbProcedure="false">'-'!#ref!</definedName>
    <definedName function="false" hidden="false" localSheetId="6" name="ExternalData_220" vbProcedure="false">'-'!#ref!</definedName>
    <definedName function="false" hidden="false" localSheetId="6" name="ExternalData_221" vbProcedure="false">'-'!#ref!</definedName>
    <definedName function="false" hidden="false" localSheetId="6" name="ExternalData_222" vbProcedure="false">'-'!#ref!</definedName>
    <definedName function="false" hidden="false" localSheetId="6" name="ExternalData_223" vbProcedure="false">'-'!#ref!</definedName>
    <definedName function="false" hidden="false" localSheetId="6" name="ExternalData_224" vbProcedure="false">'-'!#ref!</definedName>
    <definedName function="false" hidden="false" localSheetId="6" name="ExternalData_225" vbProcedure="false">'-'!#ref!</definedName>
    <definedName function="false" hidden="false" localSheetId="6" name="ExternalData_226" vbProcedure="false">'-'!#ref!</definedName>
    <definedName function="false" hidden="false" localSheetId="6" name="ExternalData_227" vbProcedure="false">'-'!#ref!</definedName>
    <definedName function="false" hidden="false" localSheetId="6" name="ExternalData_228" vbProcedure="false">'-'!#ref!</definedName>
    <definedName function="false" hidden="false" localSheetId="6" name="ExternalData_229" vbProcedure="false">'-'!#ref!</definedName>
    <definedName function="false" hidden="false" localSheetId="6" name="ExternalData_23" vbProcedure="false">'-'!#ref!</definedName>
    <definedName function="false" hidden="false" localSheetId="6" name="ExternalData_230" vbProcedure="false">'-'!#ref!</definedName>
    <definedName function="false" hidden="false" localSheetId="6" name="ExternalData_231" vbProcedure="false">'-'!#ref!</definedName>
    <definedName function="false" hidden="false" localSheetId="6" name="ExternalData_232" vbProcedure="false">'-'!#ref!</definedName>
    <definedName function="false" hidden="false" localSheetId="6" name="ExternalData_233" vbProcedure="false">'-'!#ref!</definedName>
    <definedName function="false" hidden="false" localSheetId="6" name="ExternalData_234" vbProcedure="false">'-'!#ref!</definedName>
    <definedName function="false" hidden="false" localSheetId="6" name="ExternalData_235" vbProcedure="false">'-'!#ref!</definedName>
    <definedName function="false" hidden="false" localSheetId="6" name="ExternalData_236" vbProcedure="false">'-'!#ref!</definedName>
    <definedName function="false" hidden="false" localSheetId="6" name="ExternalData_237" vbProcedure="false">'-'!#ref!</definedName>
    <definedName function="false" hidden="false" localSheetId="6" name="ExternalData_238" vbProcedure="false">'-'!#ref!</definedName>
    <definedName function="false" hidden="false" localSheetId="6" name="ExternalData_239" vbProcedure="false">'-'!#ref!</definedName>
    <definedName function="false" hidden="false" localSheetId="6" name="ExternalData_24" vbProcedure="false">'-'!#ref!</definedName>
    <definedName function="false" hidden="false" localSheetId="6" name="ExternalData_240" vbProcedure="false">'-'!#ref!</definedName>
    <definedName function="false" hidden="false" localSheetId="6" name="ExternalData_241" vbProcedure="false">'-'!#ref!</definedName>
    <definedName function="false" hidden="false" localSheetId="6" name="ExternalData_242" vbProcedure="false">'-'!#ref!</definedName>
    <definedName function="false" hidden="false" localSheetId="6" name="ExternalData_243" vbProcedure="false">'-'!#ref!</definedName>
    <definedName function="false" hidden="false" localSheetId="6" name="ExternalData_244" vbProcedure="false">'-'!#ref!</definedName>
    <definedName function="false" hidden="false" localSheetId="6" name="ExternalData_245" vbProcedure="false">'-'!#ref!</definedName>
    <definedName function="false" hidden="false" localSheetId="6" name="ExternalData_246" vbProcedure="false">'-'!#ref!</definedName>
    <definedName function="false" hidden="false" localSheetId="6" name="ExternalData_247" vbProcedure="false">'-'!#ref!</definedName>
    <definedName function="false" hidden="false" localSheetId="6" name="ExternalData_248" vbProcedure="false">'-'!#ref!</definedName>
    <definedName function="false" hidden="false" localSheetId="6" name="ExternalData_249" vbProcedure="false">'-'!#ref!</definedName>
    <definedName function="false" hidden="false" localSheetId="6" name="ExternalData_25" vbProcedure="false">'-'!#ref!</definedName>
    <definedName function="false" hidden="false" localSheetId="6" name="ExternalData_250" vbProcedure="false">'-'!#ref!</definedName>
    <definedName function="false" hidden="false" localSheetId="6" name="ExternalData_251" vbProcedure="false">'-'!#ref!</definedName>
    <definedName function="false" hidden="false" localSheetId="6" name="ExternalData_252" vbProcedure="false">'-'!#ref!</definedName>
    <definedName function="false" hidden="false" localSheetId="6" name="ExternalData_253" vbProcedure="false">'-'!#ref!</definedName>
    <definedName function="false" hidden="false" localSheetId="6" name="ExternalData_254" vbProcedure="false">'-'!#ref!</definedName>
    <definedName function="false" hidden="false" localSheetId="6" name="ExternalData_255" vbProcedure="false">'-'!#ref!</definedName>
    <definedName function="false" hidden="false" localSheetId="6" name="ExternalData_256" vbProcedure="false">'-'!#ref!</definedName>
    <definedName function="false" hidden="false" localSheetId="6" name="ExternalData_257" vbProcedure="false">'-'!#ref!</definedName>
    <definedName function="false" hidden="false" localSheetId="6" name="ExternalData_258" vbProcedure="false">'-'!#ref!</definedName>
    <definedName function="false" hidden="false" localSheetId="6" name="ExternalData_259" vbProcedure="false">'-'!#ref!</definedName>
    <definedName function="false" hidden="false" localSheetId="6" name="ExternalData_26" vbProcedure="false">'-'!#ref!</definedName>
    <definedName function="false" hidden="false" localSheetId="6" name="ExternalData_260" vbProcedure="false">'-'!#ref!</definedName>
    <definedName function="false" hidden="false" localSheetId="6" name="ExternalData_261" vbProcedure="false">'-'!#ref!</definedName>
    <definedName function="false" hidden="false" localSheetId="6" name="ExternalData_262" vbProcedure="false">'-'!#ref!</definedName>
    <definedName function="false" hidden="false" localSheetId="6" name="ExternalData_263" vbProcedure="false">'-'!#ref!</definedName>
    <definedName function="false" hidden="false" localSheetId="6" name="ExternalData_264" vbProcedure="false">'-'!#ref!</definedName>
    <definedName function="false" hidden="false" localSheetId="6" name="ExternalData_265" vbProcedure="false">'-'!#ref!</definedName>
    <definedName function="false" hidden="false" localSheetId="6" name="ExternalData_266" vbProcedure="false">'-'!#ref!</definedName>
    <definedName function="false" hidden="false" localSheetId="6" name="ExternalData_267" vbProcedure="false">'-'!#ref!</definedName>
    <definedName function="false" hidden="false" localSheetId="6" name="ExternalData_268" vbProcedure="false">'-'!#ref!</definedName>
    <definedName function="false" hidden="false" localSheetId="6" name="ExternalData_269" vbProcedure="false">'-'!#ref!</definedName>
    <definedName function="false" hidden="false" localSheetId="6" name="ExternalData_27" vbProcedure="false">'-'!#ref!</definedName>
    <definedName function="false" hidden="false" localSheetId="6" name="ExternalData_270" vbProcedure="false">'-'!#ref!</definedName>
    <definedName function="false" hidden="false" localSheetId="6" name="ExternalData_271" vbProcedure="false">'-'!#ref!</definedName>
    <definedName function="false" hidden="false" localSheetId="6" name="ExternalData_272" vbProcedure="false">'-'!#ref!</definedName>
    <definedName function="false" hidden="false" localSheetId="6" name="ExternalData_273" vbProcedure="false">'-'!#ref!</definedName>
    <definedName function="false" hidden="false" localSheetId="6" name="ExternalData_274" vbProcedure="false">'-'!#ref!</definedName>
    <definedName function="false" hidden="false" localSheetId="6" name="ExternalData_275" vbProcedure="false">'-'!#ref!</definedName>
    <definedName function="false" hidden="false" localSheetId="6" name="ExternalData_276" vbProcedure="false">'-'!#ref!</definedName>
    <definedName function="false" hidden="false" localSheetId="6" name="ExternalData_277" vbProcedure="false">'-'!#ref!</definedName>
    <definedName function="false" hidden="false" localSheetId="6" name="ExternalData_278" vbProcedure="false">'-'!#ref!</definedName>
    <definedName function="false" hidden="false" localSheetId="6" name="ExternalData_279" vbProcedure="false">'-'!#ref!</definedName>
    <definedName function="false" hidden="false" localSheetId="6" name="ExternalData_28" vbProcedure="false">'-'!#ref!</definedName>
    <definedName function="false" hidden="false" localSheetId="6" name="ExternalData_280" vbProcedure="false">'-'!#ref!</definedName>
    <definedName function="false" hidden="false" localSheetId="6" name="ExternalData_281" vbProcedure="false">'-'!#ref!</definedName>
    <definedName function="false" hidden="false" localSheetId="6" name="ExternalData_282" vbProcedure="false">'-'!#ref!</definedName>
    <definedName function="false" hidden="false" localSheetId="6" name="ExternalData_283" vbProcedure="false">'-'!#ref!</definedName>
    <definedName function="false" hidden="false" localSheetId="6" name="ExternalData_284" vbProcedure="false">'-'!#ref!</definedName>
    <definedName function="false" hidden="false" localSheetId="6" name="ExternalData_285" vbProcedure="false">'-'!#ref!</definedName>
    <definedName function="false" hidden="false" localSheetId="6" name="ExternalData_286" vbProcedure="false">'-'!#ref!</definedName>
    <definedName function="false" hidden="false" localSheetId="6" name="ExternalData_287" vbProcedure="false">'-'!#ref!</definedName>
    <definedName function="false" hidden="false" localSheetId="6" name="ExternalData_288" vbProcedure="false">'-'!#ref!</definedName>
    <definedName function="false" hidden="false" localSheetId="6" name="ExternalData_289" vbProcedure="false">'-'!#ref!</definedName>
    <definedName function="false" hidden="false" localSheetId="6" name="ExternalData_29" vbProcedure="false">'-'!#ref!</definedName>
    <definedName function="false" hidden="false" localSheetId="6" name="ExternalData_290" vbProcedure="false">'-'!#ref!</definedName>
    <definedName function="false" hidden="false" localSheetId="6" name="ExternalData_291" vbProcedure="false">'-'!#ref!</definedName>
    <definedName function="false" hidden="false" localSheetId="6" name="ExternalData_292" vbProcedure="false">'-'!#ref!</definedName>
    <definedName function="false" hidden="false" localSheetId="6" name="ExternalData_293" vbProcedure="false">'-'!#ref!</definedName>
    <definedName function="false" hidden="false" localSheetId="6" name="ExternalData_294" vbProcedure="false">'-'!#ref!</definedName>
    <definedName function="false" hidden="false" localSheetId="6" name="ExternalData_295" vbProcedure="false">'-'!#ref!</definedName>
    <definedName function="false" hidden="false" localSheetId="6" name="ExternalData_296" vbProcedure="false">'-'!#ref!</definedName>
    <definedName function="false" hidden="false" localSheetId="6" name="ExternalData_297" vbProcedure="false">'-'!#ref!</definedName>
    <definedName function="false" hidden="false" localSheetId="6" name="ExternalData_298" vbProcedure="false">'-'!#ref!</definedName>
    <definedName function="false" hidden="false" localSheetId="6" name="ExternalData_299" vbProcedure="false">'-'!#ref!</definedName>
    <definedName function="false" hidden="false" localSheetId="6" name="ExternalData_3" vbProcedure="false">'-'!#ref!</definedName>
    <definedName function="false" hidden="false" localSheetId="6" name="ExternalData_30" vbProcedure="false">'-'!#ref!</definedName>
    <definedName function="false" hidden="false" localSheetId="6" name="ExternalData_300" vbProcedure="false">'-'!#ref!</definedName>
    <definedName function="false" hidden="false" localSheetId="6" name="ExternalData_301" vbProcedure="false">'-'!#ref!</definedName>
    <definedName function="false" hidden="false" localSheetId="6" name="ExternalData_302" vbProcedure="false">'-'!#ref!</definedName>
    <definedName function="false" hidden="false" localSheetId="6" name="ExternalData_303" vbProcedure="false">'-'!#ref!</definedName>
    <definedName function="false" hidden="false" localSheetId="6" name="ExternalData_304" vbProcedure="false">'-'!#ref!</definedName>
    <definedName function="false" hidden="false" localSheetId="6" name="ExternalData_305" vbProcedure="false">'-'!#ref!</definedName>
    <definedName function="false" hidden="false" localSheetId="6" name="ExternalData_306" vbProcedure="false">'-'!#ref!</definedName>
    <definedName function="false" hidden="false" localSheetId="6" name="ExternalData_307" vbProcedure="false">'-'!#ref!</definedName>
    <definedName function="false" hidden="false" localSheetId="6" name="ExternalData_308" vbProcedure="false">'-'!#ref!</definedName>
    <definedName function="false" hidden="false" localSheetId="6" name="ExternalData_309" vbProcedure="false">'-'!#ref!</definedName>
    <definedName function="false" hidden="false" localSheetId="6" name="ExternalData_31" vbProcedure="false">'-'!#ref!</definedName>
    <definedName function="false" hidden="false" localSheetId="6" name="ExternalData_310" vbProcedure="false">'-'!#ref!</definedName>
    <definedName function="false" hidden="false" localSheetId="6" name="ExternalData_311" vbProcedure="false">'-'!#ref!</definedName>
    <definedName function="false" hidden="false" localSheetId="6" name="ExternalData_312" vbProcedure="false">'-'!#ref!</definedName>
    <definedName function="false" hidden="false" localSheetId="6" name="ExternalData_313" vbProcedure="false">'-'!#ref!</definedName>
    <definedName function="false" hidden="false" localSheetId="6" name="ExternalData_314" vbProcedure="false">'-'!#ref!</definedName>
    <definedName function="false" hidden="false" localSheetId="6" name="ExternalData_315" vbProcedure="false">'-'!#ref!</definedName>
    <definedName function="false" hidden="false" localSheetId="6" name="ExternalData_316" vbProcedure="false">'-'!#ref!</definedName>
    <definedName function="false" hidden="false" localSheetId="6" name="ExternalData_317" vbProcedure="false">'-'!#ref!</definedName>
    <definedName function="false" hidden="false" localSheetId="6" name="ExternalData_318" vbProcedure="false">'-'!#ref!</definedName>
    <definedName function="false" hidden="false" localSheetId="6" name="ExternalData_319" vbProcedure="false">'-'!#ref!</definedName>
    <definedName function="false" hidden="false" localSheetId="6" name="ExternalData_32" vbProcedure="false">'-'!#ref!</definedName>
    <definedName function="false" hidden="false" localSheetId="6" name="ExternalData_320" vbProcedure="false">'-'!#ref!</definedName>
    <definedName function="false" hidden="false" localSheetId="6" name="ExternalData_321" vbProcedure="false">'-'!#ref!</definedName>
    <definedName function="false" hidden="false" localSheetId="6" name="ExternalData_322" vbProcedure="false">'-'!#ref!</definedName>
    <definedName function="false" hidden="false" localSheetId="6" name="ExternalData_323" vbProcedure="false">'-'!#ref!</definedName>
    <definedName function="false" hidden="false" localSheetId="6" name="ExternalData_324" vbProcedure="false">'-'!#ref!</definedName>
    <definedName function="false" hidden="false" localSheetId="6" name="ExternalData_325" vbProcedure="false">'-'!#ref!</definedName>
    <definedName function="false" hidden="false" localSheetId="6" name="ExternalData_326" vbProcedure="false">'-'!#ref!</definedName>
    <definedName function="false" hidden="false" localSheetId="6" name="ExternalData_327" vbProcedure="false">'-'!#ref!</definedName>
    <definedName function="false" hidden="false" localSheetId="6" name="ExternalData_328" vbProcedure="false">'-'!#ref!</definedName>
    <definedName function="false" hidden="false" localSheetId="6" name="ExternalData_329" vbProcedure="false">'-'!#ref!</definedName>
    <definedName function="false" hidden="false" localSheetId="6" name="ExternalData_33" vbProcedure="false">'-'!#ref!</definedName>
    <definedName function="false" hidden="false" localSheetId="6" name="ExternalData_330" vbProcedure="false">'-'!#ref!</definedName>
    <definedName function="false" hidden="false" localSheetId="6" name="ExternalData_331" vbProcedure="false">'-'!#ref!</definedName>
    <definedName function="false" hidden="false" localSheetId="6" name="ExternalData_332" vbProcedure="false">'-'!#ref!</definedName>
    <definedName function="false" hidden="false" localSheetId="6" name="ExternalData_333" vbProcedure="false">'-'!#ref!</definedName>
    <definedName function="false" hidden="false" localSheetId="6" name="ExternalData_334" vbProcedure="false">'-'!#ref!</definedName>
    <definedName function="false" hidden="false" localSheetId="6" name="ExternalData_335" vbProcedure="false">'-'!#ref!</definedName>
    <definedName function="false" hidden="false" localSheetId="6" name="ExternalData_336" vbProcedure="false">'-'!#ref!</definedName>
    <definedName function="false" hidden="false" localSheetId="6" name="ExternalData_337" vbProcedure="false">'-'!#ref!</definedName>
    <definedName function="false" hidden="false" localSheetId="6" name="ExternalData_338" vbProcedure="false">'-'!#ref!</definedName>
    <definedName function="false" hidden="false" localSheetId="6" name="ExternalData_339" vbProcedure="false">'-'!#ref!</definedName>
    <definedName function="false" hidden="false" localSheetId="6" name="ExternalData_34" vbProcedure="false">'-'!#ref!</definedName>
    <definedName function="false" hidden="false" localSheetId="6" name="ExternalData_340" vbProcedure="false">'-'!#ref!</definedName>
    <definedName function="false" hidden="false" localSheetId="6" name="ExternalData_341" vbProcedure="false">'-'!#ref!</definedName>
    <definedName function="false" hidden="false" localSheetId="6" name="ExternalData_342" vbProcedure="false">'-'!#ref!</definedName>
    <definedName function="false" hidden="false" localSheetId="6" name="ExternalData_343" vbProcedure="false">'-'!#ref!</definedName>
    <definedName function="false" hidden="false" localSheetId="6" name="ExternalData_344" vbProcedure="false">'-'!#ref!</definedName>
    <definedName function="false" hidden="false" localSheetId="6" name="ExternalData_345" vbProcedure="false">'-'!#ref!</definedName>
    <definedName function="false" hidden="false" localSheetId="6" name="ExternalData_346" vbProcedure="false">'-'!#ref!</definedName>
    <definedName function="false" hidden="false" localSheetId="6" name="ExternalData_347" vbProcedure="false">'-'!#ref!</definedName>
    <definedName function="false" hidden="false" localSheetId="6" name="ExternalData_348" vbProcedure="false">'-'!#ref!</definedName>
    <definedName function="false" hidden="false" localSheetId="6" name="ExternalData_349" vbProcedure="false">'-'!#ref!</definedName>
    <definedName function="false" hidden="false" localSheetId="6" name="ExternalData_35" vbProcedure="false">'-'!#ref!</definedName>
    <definedName function="false" hidden="false" localSheetId="6" name="ExternalData_350" vbProcedure="false">'-'!#ref!</definedName>
    <definedName function="false" hidden="false" localSheetId="6" name="ExternalData_351" vbProcedure="false">'-'!#ref!</definedName>
    <definedName function="false" hidden="false" localSheetId="6" name="ExternalData_352" vbProcedure="false">'-'!#ref!</definedName>
    <definedName function="false" hidden="false" localSheetId="6" name="ExternalData_353" vbProcedure="false">'-'!#ref!</definedName>
    <definedName function="false" hidden="false" localSheetId="6" name="ExternalData_354" vbProcedure="false">'-'!#ref!</definedName>
    <definedName function="false" hidden="false" localSheetId="6" name="ExternalData_355" vbProcedure="false">'-'!#ref!</definedName>
    <definedName function="false" hidden="false" localSheetId="6" name="ExternalData_356" vbProcedure="false">'-'!#ref!</definedName>
    <definedName function="false" hidden="false" localSheetId="6" name="ExternalData_357" vbProcedure="false">'-'!#ref!</definedName>
    <definedName function="false" hidden="false" localSheetId="6" name="ExternalData_358" vbProcedure="false">'-'!#ref!</definedName>
    <definedName function="false" hidden="false" localSheetId="6" name="ExternalData_359" vbProcedure="false">'-'!#ref!</definedName>
    <definedName function="false" hidden="false" localSheetId="6" name="ExternalData_36" vbProcedure="false">'-'!#ref!</definedName>
    <definedName function="false" hidden="false" localSheetId="6" name="ExternalData_360" vbProcedure="false">'-'!#ref!</definedName>
    <definedName function="false" hidden="false" localSheetId="6" name="ExternalData_361" vbProcedure="false">'-'!#ref!</definedName>
    <definedName function="false" hidden="false" localSheetId="6" name="ExternalData_362" vbProcedure="false">'-'!#ref!</definedName>
    <definedName function="false" hidden="false" localSheetId="6" name="ExternalData_363" vbProcedure="false">'-'!#ref!</definedName>
    <definedName function="false" hidden="false" localSheetId="6" name="ExternalData_364" vbProcedure="false">'-'!#ref!</definedName>
    <definedName function="false" hidden="false" localSheetId="6" name="ExternalData_365" vbProcedure="false">'-'!#ref!</definedName>
    <definedName function="false" hidden="false" localSheetId="6" name="ExternalData_366" vbProcedure="false">'-'!#ref!</definedName>
    <definedName function="false" hidden="false" localSheetId="6" name="ExternalData_367" vbProcedure="false">'-'!#ref!</definedName>
    <definedName function="false" hidden="false" localSheetId="6" name="ExternalData_368" vbProcedure="false">'-'!#ref!</definedName>
    <definedName function="false" hidden="false" localSheetId="6" name="ExternalData_369" vbProcedure="false">'-'!#ref!</definedName>
    <definedName function="false" hidden="false" localSheetId="6" name="ExternalData_37" vbProcedure="false">'-'!#ref!</definedName>
    <definedName function="false" hidden="false" localSheetId="6" name="ExternalData_370" vbProcedure="false">'-'!#ref!</definedName>
    <definedName function="false" hidden="false" localSheetId="6" name="ExternalData_371" vbProcedure="false">'-'!#ref!</definedName>
    <definedName function="false" hidden="false" localSheetId="6" name="ExternalData_372" vbProcedure="false">'-'!#ref!</definedName>
    <definedName function="false" hidden="false" localSheetId="6" name="ExternalData_373" vbProcedure="false">'-'!#ref!</definedName>
    <definedName function="false" hidden="false" localSheetId="6" name="ExternalData_374" vbProcedure="false">'-'!#ref!</definedName>
    <definedName function="false" hidden="false" localSheetId="6" name="ExternalData_375" vbProcedure="false">'-'!#ref!</definedName>
    <definedName function="false" hidden="false" localSheetId="6" name="ExternalData_376" vbProcedure="false">'-'!#ref!</definedName>
    <definedName function="false" hidden="false" localSheetId="6" name="ExternalData_377" vbProcedure="false">'-'!#ref!</definedName>
    <definedName function="false" hidden="false" localSheetId="6" name="ExternalData_378" vbProcedure="false">'-'!#ref!</definedName>
    <definedName function="false" hidden="false" localSheetId="6" name="ExternalData_379" vbProcedure="false">'-'!#ref!</definedName>
    <definedName function="false" hidden="false" localSheetId="6" name="ExternalData_38" vbProcedure="false">'-'!#ref!</definedName>
    <definedName function="false" hidden="false" localSheetId="6" name="ExternalData_380" vbProcedure="false">'-'!#ref!</definedName>
    <definedName function="false" hidden="false" localSheetId="6" name="ExternalData_381" vbProcedure="false">'-'!#ref!</definedName>
    <definedName function="false" hidden="false" localSheetId="6" name="ExternalData_382" vbProcedure="false">'-'!#ref!</definedName>
    <definedName function="false" hidden="false" localSheetId="6" name="ExternalData_383" vbProcedure="false">'-'!#ref!</definedName>
    <definedName function="false" hidden="false" localSheetId="6" name="ExternalData_384" vbProcedure="false">'-'!#ref!</definedName>
    <definedName function="false" hidden="false" localSheetId="6" name="ExternalData_385" vbProcedure="false">'-'!#ref!</definedName>
    <definedName function="false" hidden="false" localSheetId="6" name="ExternalData_386" vbProcedure="false">'-'!#ref!</definedName>
    <definedName function="false" hidden="false" localSheetId="6" name="ExternalData_387" vbProcedure="false">'-'!#ref!</definedName>
    <definedName function="false" hidden="false" localSheetId="6" name="ExternalData_388" vbProcedure="false">'-'!#ref!</definedName>
    <definedName function="false" hidden="false" localSheetId="6" name="ExternalData_389" vbProcedure="false">'-'!#ref!</definedName>
    <definedName function="false" hidden="false" localSheetId="6" name="ExternalData_39" vbProcedure="false">'-'!#ref!</definedName>
    <definedName function="false" hidden="false" localSheetId="6" name="ExternalData_390" vbProcedure="false">'-'!#ref!</definedName>
    <definedName function="false" hidden="false" localSheetId="6" name="ExternalData_391" vbProcedure="false">'-'!#ref!</definedName>
    <definedName function="false" hidden="false" localSheetId="6" name="ExternalData_392" vbProcedure="false">'-'!#ref!</definedName>
    <definedName function="false" hidden="false" localSheetId="6" name="ExternalData_393" vbProcedure="false">'-'!#ref!</definedName>
    <definedName function="false" hidden="false" localSheetId="6" name="ExternalData_394" vbProcedure="false">'-'!#ref!</definedName>
    <definedName function="false" hidden="false" localSheetId="6" name="ExternalData_395" vbProcedure="false">'-'!#ref!</definedName>
    <definedName function="false" hidden="false" localSheetId="6" name="ExternalData_396" vbProcedure="false">'-'!#ref!</definedName>
    <definedName function="false" hidden="false" localSheetId="6" name="ExternalData_397" vbProcedure="false">'-'!#ref!</definedName>
    <definedName function="false" hidden="false" localSheetId="6" name="ExternalData_398" vbProcedure="false">'-'!#ref!</definedName>
    <definedName function="false" hidden="false" localSheetId="6" name="ExternalData_399" vbProcedure="false">'-'!#ref!</definedName>
    <definedName function="false" hidden="false" localSheetId="6" name="ExternalData_4" vbProcedure="false">'-'!#ref!</definedName>
    <definedName function="false" hidden="false" localSheetId="6" name="ExternalData_40" vbProcedure="false">'-'!#ref!</definedName>
    <definedName function="false" hidden="false" localSheetId="6" name="ExternalData_400" vbProcedure="false">'-'!#ref!</definedName>
    <definedName function="false" hidden="false" localSheetId="6" name="ExternalData_401" vbProcedure="false">'-'!#ref!</definedName>
    <definedName function="false" hidden="false" localSheetId="6" name="ExternalData_402" vbProcedure="false">'-'!#ref!</definedName>
    <definedName function="false" hidden="false" localSheetId="6" name="ExternalData_403" vbProcedure="false">'-'!#ref!</definedName>
    <definedName function="false" hidden="false" localSheetId="6" name="ExternalData_404" vbProcedure="false">'-'!#ref!</definedName>
    <definedName function="false" hidden="false" localSheetId="6" name="ExternalData_405" vbProcedure="false">'-'!#ref!</definedName>
    <definedName function="false" hidden="false" localSheetId="6" name="ExternalData_406" vbProcedure="false">'-'!#ref!</definedName>
    <definedName function="false" hidden="false" localSheetId="6" name="ExternalData_407" vbProcedure="false">'-'!#ref!</definedName>
    <definedName function="false" hidden="false" localSheetId="6" name="ExternalData_408" vbProcedure="false">'-'!#ref!</definedName>
    <definedName function="false" hidden="false" localSheetId="6" name="ExternalData_409" vbProcedure="false">'-'!#ref!</definedName>
    <definedName function="false" hidden="false" localSheetId="6" name="ExternalData_41" vbProcedure="false">'-'!#ref!</definedName>
    <definedName function="false" hidden="false" localSheetId="6" name="ExternalData_410" vbProcedure="false">'-'!#ref!</definedName>
    <definedName function="false" hidden="false" localSheetId="6" name="ExternalData_411" vbProcedure="false">'-'!#ref!</definedName>
    <definedName function="false" hidden="false" localSheetId="6" name="ExternalData_412" vbProcedure="false">'-'!#ref!</definedName>
    <definedName function="false" hidden="false" localSheetId="6" name="ExternalData_413" vbProcedure="false">'-'!#ref!</definedName>
    <definedName function="false" hidden="false" localSheetId="6" name="ExternalData_414" vbProcedure="false">'-'!#ref!</definedName>
    <definedName function="false" hidden="false" localSheetId="6" name="ExternalData_415" vbProcedure="false">'-'!#ref!</definedName>
    <definedName function="false" hidden="false" localSheetId="6" name="ExternalData_416" vbProcedure="false">'-'!#ref!</definedName>
    <definedName function="false" hidden="false" localSheetId="6" name="ExternalData_417" vbProcedure="false">'-'!#ref!</definedName>
    <definedName function="false" hidden="false" localSheetId="6" name="ExternalData_418" vbProcedure="false">'-'!#ref!</definedName>
    <definedName function="false" hidden="false" localSheetId="6" name="ExternalData_419" vbProcedure="false">'-'!#ref!</definedName>
    <definedName function="false" hidden="false" localSheetId="6" name="ExternalData_42" vbProcedure="false">'-'!#ref!</definedName>
    <definedName function="false" hidden="false" localSheetId="6" name="ExternalData_420" vbProcedure="false">'-'!#ref!</definedName>
    <definedName function="false" hidden="false" localSheetId="6" name="ExternalData_421" vbProcedure="false">'-'!#ref!</definedName>
    <definedName function="false" hidden="false" localSheetId="6" name="ExternalData_422" vbProcedure="false">'-'!#ref!</definedName>
    <definedName function="false" hidden="false" localSheetId="6" name="ExternalData_423" vbProcedure="false">'-'!#ref!</definedName>
    <definedName function="false" hidden="false" localSheetId="6" name="ExternalData_424" vbProcedure="false">'-'!#ref!</definedName>
    <definedName function="false" hidden="false" localSheetId="6" name="ExternalData_425" vbProcedure="false">'-'!#ref!</definedName>
    <definedName function="false" hidden="false" localSheetId="6" name="ExternalData_426" vbProcedure="false">'-'!#ref!</definedName>
    <definedName function="false" hidden="false" localSheetId="6" name="ExternalData_427" vbProcedure="false">'-'!#ref!</definedName>
    <definedName function="false" hidden="false" localSheetId="6" name="ExternalData_428" vbProcedure="false">'-'!#ref!</definedName>
    <definedName function="false" hidden="false" localSheetId="6" name="ExternalData_429" vbProcedure="false">'-'!#ref!</definedName>
    <definedName function="false" hidden="false" localSheetId="6" name="ExternalData_43" vbProcedure="false">'-'!#ref!</definedName>
    <definedName function="false" hidden="false" localSheetId="6" name="ExternalData_430" vbProcedure="false">'-'!#ref!</definedName>
    <definedName function="false" hidden="false" localSheetId="6" name="ExternalData_431" vbProcedure="false">'-'!#ref!</definedName>
    <definedName function="false" hidden="false" localSheetId="6" name="ExternalData_432" vbProcedure="false">'-'!#ref!</definedName>
    <definedName function="false" hidden="false" localSheetId="6" name="ExternalData_433" vbProcedure="false">'-'!#ref!</definedName>
    <definedName function="false" hidden="false" localSheetId="6" name="ExternalData_434" vbProcedure="false">'-'!#ref!</definedName>
    <definedName function="false" hidden="false" localSheetId="6" name="ExternalData_435" vbProcedure="false">'-'!#ref!</definedName>
    <definedName function="false" hidden="false" localSheetId="6" name="ExternalData_436" vbProcedure="false">'-'!#ref!</definedName>
    <definedName function="false" hidden="false" localSheetId="6" name="ExternalData_437" vbProcedure="false">'-'!#ref!</definedName>
    <definedName function="false" hidden="false" localSheetId="6" name="ExternalData_438" vbProcedure="false">'-'!#ref!</definedName>
    <definedName function="false" hidden="false" localSheetId="6" name="ExternalData_439" vbProcedure="false">'-'!#ref!</definedName>
    <definedName function="false" hidden="false" localSheetId="6" name="ExternalData_44" vbProcedure="false">'-'!#ref!</definedName>
    <definedName function="false" hidden="false" localSheetId="6" name="ExternalData_440" vbProcedure="false">'-'!#ref!</definedName>
    <definedName function="false" hidden="false" localSheetId="6" name="ExternalData_441" vbProcedure="false">'-'!#ref!</definedName>
    <definedName function="false" hidden="false" localSheetId="6" name="ExternalData_442" vbProcedure="false">'-'!#ref!</definedName>
    <definedName function="false" hidden="false" localSheetId="6" name="ExternalData_443" vbProcedure="false">'-'!#ref!</definedName>
    <definedName function="false" hidden="false" localSheetId="6" name="ExternalData_444" vbProcedure="false">'-'!#ref!</definedName>
    <definedName function="false" hidden="false" localSheetId="6" name="ExternalData_445" vbProcedure="false">'-'!#ref!</definedName>
    <definedName function="false" hidden="false" localSheetId="6" name="ExternalData_446" vbProcedure="false">'-'!#ref!</definedName>
    <definedName function="false" hidden="false" localSheetId="6" name="ExternalData_447" vbProcedure="false">'-'!#ref!</definedName>
    <definedName function="false" hidden="false" localSheetId="6" name="ExternalData_448" vbProcedure="false">'-'!#ref!</definedName>
    <definedName function="false" hidden="false" localSheetId="6" name="ExternalData_449" vbProcedure="false">'-'!#ref!</definedName>
    <definedName function="false" hidden="false" localSheetId="6" name="ExternalData_45" vbProcedure="false">'-'!#ref!</definedName>
    <definedName function="false" hidden="false" localSheetId="6" name="ExternalData_450" vbProcedure="false">'-'!#ref!</definedName>
    <definedName function="false" hidden="false" localSheetId="6" name="ExternalData_451" vbProcedure="false">'-'!#ref!</definedName>
    <definedName function="false" hidden="false" localSheetId="6" name="ExternalData_452" vbProcedure="false">'-'!#ref!</definedName>
    <definedName function="false" hidden="false" localSheetId="6" name="ExternalData_453" vbProcedure="false">'-'!#ref!</definedName>
    <definedName function="false" hidden="false" localSheetId="6" name="ExternalData_454" vbProcedure="false">'-'!#ref!</definedName>
    <definedName function="false" hidden="false" localSheetId="6" name="ExternalData_455" vbProcedure="false">'-'!#ref!</definedName>
    <definedName function="false" hidden="false" localSheetId="6" name="ExternalData_456" vbProcedure="false">'-'!#ref!</definedName>
    <definedName function="false" hidden="false" localSheetId="6" name="ExternalData_457" vbProcedure="false">'-'!#ref!</definedName>
    <definedName function="false" hidden="false" localSheetId="6" name="ExternalData_458" vbProcedure="false">'-'!#ref!</definedName>
    <definedName function="false" hidden="false" localSheetId="6" name="ExternalData_459" vbProcedure="false">'-'!#ref!</definedName>
    <definedName function="false" hidden="false" localSheetId="6" name="ExternalData_46" vbProcedure="false">'-'!#ref!</definedName>
    <definedName function="false" hidden="false" localSheetId="6" name="ExternalData_460" vbProcedure="false">'-'!#ref!</definedName>
    <definedName function="false" hidden="false" localSheetId="6" name="ExternalData_461" vbProcedure="false">'-'!#ref!</definedName>
    <definedName function="false" hidden="false" localSheetId="6" name="ExternalData_462" vbProcedure="false">'-'!#ref!</definedName>
    <definedName function="false" hidden="false" localSheetId="6" name="ExternalData_463" vbProcedure="false">'-'!#ref!</definedName>
    <definedName function="false" hidden="false" localSheetId="6" name="ExternalData_464" vbProcedure="false">'-'!#ref!</definedName>
    <definedName function="false" hidden="false" localSheetId="6" name="ExternalData_465" vbProcedure="false">'-'!#ref!</definedName>
    <definedName function="false" hidden="false" localSheetId="6" name="ExternalData_466" vbProcedure="false">'-'!#ref!</definedName>
    <definedName function="false" hidden="false" localSheetId="6" name="ExternalData_467" vbProcedure="false">'-'!#ref!</definedName>
    <definedName function="false" hidden="false" localSheetId="6" name="ExternalData_468" vbProcedure="false">'-'!#ref!</definedName>
    <definedName function="false" hidden="false" localSheetId="6" name="ExternalData_469" vbProcedure="false">'-'!#ref!</definedName>
    <definedName function="false" hidden="false" localSheetId="6" name="ExternalData_47" vbProcedure="false">'-'!#ref!</definedName>
    <definedName function="false" hidden="false" localSheetId="6" name="ExternalData_470" vbProcedure="false">'-'!#ref!</definedName>
    <definedName function="false" hidden="false" localSheetId="6" name="ExternalData_471" vbProcedure="false">'-'!#ref!</definedName>
    <definedName function="false" hidden="false" localSheetId="6" name="ExternalData_472" vbProcedure="false">'-'!#ref!</definedName>
    <definedName function="false" hidden="false" localSheetId="6" name="ExternalData_473" vbProcedure="false">'-'!#ref!</definedName>
    <definedName function="false" hidden="false" localSheetId="6" name="ExternalData_474" vbProcedure="false">'-'!#ref!</definedName>
    <definedName function="false" hidden="false" localSheetId="6" name="ExternalData_475" vbProcedure="false">'-'!#ref!</definedName>
    <definedName function="false" hidden="false" localSheetId="6" name="ExternalData_476" vbProcedure="false">'-'!#ref!</definedName>
    <definedName function="false" hidden="false" localSheetId="6" name="ExternalData_477" vbProcedure="false">'-'!#ref!</definedName>
    <definedName function="false" hidden="false" localSheetId="6" name="ExternalData_478" vbProcedure="false">'-'!#ref!</definedName>
    <definedName function="false" hidden="false" localSheetId="6" name="ExternalData_479" vbProcedure="false">'-'!#ref!</definedName>
    <definedName function="false" hidden="false" localSheetId="6" name="ExternalData_48" vbProcedure="false">'-'!#ref!</definedName>
    <definedName function="false" hidden="false" localSheetId="6" name="ExternalData_480" vbProcedure="false">'-'!#ref!</definedName>
    <definedName function="false" hidden="false" localSheetId="6" name="ExternalData_481" vbProcedure="false">'-'!#ref!</definedName>
    <definedName function="false" hidden="false" localSheetId="6" name="ExternalData_482" vbProcedure="false">'-'!#ref!</definedName>
    <definedName function="false" hidden="false" localSheetId="6" name="ExternalData_483" vbProcedure="false">'-'!#ref!</definedName>
    <definedName function="false" hidden="false" localSheetId="6" name="ExternalData_484" vbProcedure="false">'-'!#ref!</definedName>
    <definedName function="false" hidden="false" localSheetId="6" name="ExternalData_485" vbProcedure="false">'-'!#ref!</definedName>
    <definedName function="false" hidden="false" localSheetId="6" name="ExternalData_486" vbProcedure="false">'-'!#ref!</definedName>
    <definedName function="false" hidden="false" localSheetId="6" name="ExternalData_487" vbProcedure="false">'-'!#ref!</definedName>
    <definedName function="false" hidden="false" localSheetId="6" name="ExternalData_488" vbProcedure="false">'-'!#ref!</definedName>
    <definedName function="false" hidden="false" localSheetId="6" name="ExternalData_489" vbProcedure="false">'-'!#ref!</definedName>
    <definedName function="false" hidden="false" localSheetId="6" name="ExternalData_49" vbProcedure="false">'-'!#ref!</definedName>
    <definedName function="false" hidden="false" localSheetId="6" name="ExternalData_490" vbProcedure="false">'-'!#ref!</definedName>
    <definedName function="false" hidden="false" localSheetId="6" name="ExternalData_491" vbProcedure="false">'-'!#ref!</definedName>
    <definedName function="false" hidden="false" localSheetId="6" name="ExternalData_492" vbProcedure="false">'-'!#ref!</definedName>
    <definedName function="false" hidden="false" localSheetId="6" name="ExternalData_493" vbProcedure="false">'-'!#ref!</definedName>
    <definedName function="false" hidden="false" localSheetId="6" name="ExternalData_494" vbProcedure="false">'-'!#ref!</definedName>
    <definedName function="false" hidden="false" localSheetId="6" name="ExternalData_495" vbProcedure="false">'-'!#ref!</definedName>
    <definedName function="false" hidden="false" localSheetId="6" name="ExternalData_496" vbProcedure="false">'-'!#ref!</definedName>
    <definedName function="false" hidden="false" localSheetId="6" name="ExternalData_497" vbProcedure="false">'-'!#ref!</definedName>
    <definedName function="false" hidden="false" localSheetId="6" name="ExternalData_498" vbProcedure="false">'-'!#ref!</definedName>
    <definedName function="false" hidden="false" localSheetId="6" name="ExternalData_499" vbProcedure="false">'-'!#ref!</definedName>
    <definedName function="false" hidden="false" localSheetId="6" name="ExternalData_5" vbProcedure="false">'-'!#ref!</definedName>
    <definedName function="false" hidden="false" localSheetId="6" name="ExternalData_50" vbProcedure="false">'-'!#ref!</definedName>
    <definedName function="false" hidden="false" localSheetId="6" name="ExternalData_500" vbProcedure="false">'-'!#ref!</definedName>
    <definedName function="false" hidden="false" localSheetId="6" name="ExternalData_501" vbProcedure="false">'-'!#ref!</definedName>
    <definedName function="false" hidden="false" localSheetId="6" name="ExternalData_502" vbProcedure="false">'-'!#ref!</definedName>
    <definedName function="false" hidden="false" localSheetId="6" name="ExternalData_503" vbProcedure="false">'-'!#ref!</definedName>
    <definedName function="false" hidden="false" localSheetId="6" name="ExternalData_504" vbProcedure="false">'-'!#ref!</definedName>
    <definedName function="false" hidden="false" localSheetId="6" name="ExternalData_505" vbProcedure="false">'-'!#ref!</definedName>
    <definedName function="false" hidden="false" localSheetId="6" name="ExternalData_506" vbProcedure="false">'-'!#ref!</definedName>
    <definedName function="false" hidden="false" localSheetId="6" name="ExternalData_507" vbProcedure="false">'-'!#ref!</definedName>
    <definedName function="false" hidden="false" localSheetId="6" name="ExternalData_508" vbProcedure="false">'-'!#ref!</definedName>
    <definedName function="false" hidden="false" localSheetId="6" name="ExternalData_509" vbProcedure="false">'-'!#ref!</definedName>
    <definedName function="false" hidden="false" localSheetId="6" name="ExternalData_51" vbProcedure="false">'-'!#ref!</definedName>
    <definedName function="false" hidden="false" localSheetId="6" name="ExternalData_510" vbProcedure="false">'-'!#ref!</definedName>
    <definedName function="false" hidden="false" localSheetId="6" name="ExternalData_511" vbProcedure="false">'-'!#ref!</definedName>
    <definedName function="false" hidden="false" localSheetId="6" name="ExternalData_512" vbProcedure="false">'-'!#ref!</definedName>
    <definedName function="false" hidden="false" localSheetId="6" name="ExternalData_513" vbProcedure="false">'-'!#ref!</definedName>
    <definedName function="false" hidden="false" localSheetId="6" name="ExternalData_514" vbProcedure="false">'-'!#ref!</definedName>
    <definedName function="false" hidden="false" localSheetId="6" name="ExternalData_515" vbProcedure="false">'-'!#ref!</definedName>
    <definedName function="false" hidden="false" localSheetId="6" name="ExternalData_516" vbProcedure="false">'-'!#ref!</definedName>
    <definedName function="false" hidden="false" localSheetId="6" name="ExternalData_517" vbProcedure="false">'-'!#ref!</definedName>
    <definedName function="false" hidden="false" localSheetId="6" name="ExternalData_518" vbProcedure="false">'-'!#ref!</definedName>
    <definedName function="false" hidden="false" localSheetId="6" name="ExternalData_519" vbProcedure="false">'-'!#ref!</definedName>
    <definedName function="false" hidden="false" localSheetId="6" name="ExternalData_52" vbProcedure="false">'-'!#ref!</definedName>
    <definedName function="false" hidden="false" localSheetId="6" name="ExternalData_520" vbProcedure="false">'-'!#ref!</definedName>
    <definedName function="false" hidden="false" localSheetId="6" name="ExternalData_521" vbProcedure="false">'-'!#ref!</definedName>
    <definedName function="false" hidden="false" localSheetId="6" name="ExternalData_522" vbProcedure="false">'-'!#ref!</definedName>
    <definedName function="false" hidden="false" localSheetId="6" name="ExternalData_523" vbProcedure="false">'-'!#ref!</definedName>
    <definedName function="false" hidden="false" localSheetId="6" name="ExternalData_524" vbProcedure="false">'-'!#ref!</definedName>
    <definedName function="false" hidden="false" localSheetId="6" name="ExternalData_525" vbProcedure="false">'-'!#ref!</definedName>
    <definedName function="false" hidden="false" localSheetId="6" name="ExternalData_526" vbProcedure="false">'-'!#ref!</definedName>
    <definedName function="false" hidden="false" localSheetId="6" name="ExternalData_527" vbProcedure="false">'-'!#ref!</definedName>
    <definedName function="false" hidden="false" localSheetId="6" name="ExternalData_528" vbProcedure="false">'-'!#ref!</definedName>
    <definedName function="false" hidden="false" localSheetId="6" name="ExternalData_529" vbProcedure="false">'-'!#ref!</definedName>
    <definedName function="false" hidden="false" localSheetId="6" name="ExternalData_53" vbProcedure="false">'-'!#ref!</definedName>
    <definedName function="false" hidden="false" localSheetId="6" name="ExternalData_530" vbProcedure="false">'-'!#ref!</definedName>
    <definedName function="false" hidden="false" localSheetId="6" name="ExternalData_531" vbProcedure="false">'-'!#ref!</definedName>
    <definedName function="false" hidden="false" localSheetId="6" name="ExternalData_532" vbProcedure="false">'-'!#ref!</definedName>
    <definedName function="false" hidden="false" localSheetId="6" name="ExternalData_533" vbProcedure="false">'-'!#ref!</definedName>
    <definedName function="false" hidden="false" localSheetId="6" name="ExternalData_534" vbProcedure="false">'-'!#ref!</definedName>
    <definedName function="false" hidden="false" localSheetId="6" name="ExternalData_535" vbProcedure="false">'-'!#ref!</definedName>
    <definedName function="false" hidden="false" localSheetId="6" name="ExternalData_536" vbProcedure="false">'-'!#ref!</definedName>
    <definedName function="false" hidden="false" localSheetId="6" name="ExternalData_537" vbProcedure="false">'-'!#ref!</definedName>
    <definedName function="false" hidden="false" localSheetId="6" name="ExternalData_538" vbProcedure="false">'-'!#ref!</definedName>
    <definedName function="false" hidden="false" localSheetId="6" name="ExternalData_539" vbProcedure="false">'-'!#ref!</definedName>
    <definedName function="false" hidden="false" localSheetId="6" name="ExternalData_54" vbProcedure="false">'-'!#ref!</definedName>
    <definedName function="false" hidden="false" localSheetId="6" name="ExternalData_540" vbProcedure="false">'-'!#ref!</definedName>
    <definedName function="false" hidden="false" localSheetId="6" name="ExternalData_541" vbProcedure="false">'-'!#ref!</definedName>
    <definedName function="false" hidden="false" localSheetId="6" name="ExternalData_542" vbProcedure="false">'-'!#ref!</definedName>
    <definedName function="false" hidden="false" localSheetId="6" name="ExternalData_543" vbProcedure="false">'-'!#ref!</definedName>
    <definedName function="false" hidden="false" localSheetId="6" name="ExternalData_544" vbProcedure="false">'-'!#ref!</definedName>
    <definedName function="false" hidden="false" localSheetId="6" name="ExternalData_545" vbProcedure="false">'-'!#ref!</definedName>
    <definedName function="false" hidden="false" localSheetId="6" name="ExternalData_546" vbProcedure="false">'-'!#ref!</definedName>
    <definedName function="false" hidden="false" localSheetId="6" name="ExternalData_547" vbProcedure="false">'-'!#ref!</definedName>
    <definedName function="false" hidden="false" localSheetId="6" name="ExternalData_548" vbProcedure="false">'-'!#ref!</definedName>
    <definedName function="false" hidden="false" localSheetId="6" name="ExternalData_549" vbProcedure="false">'-'!#ref!</definedName>
    <definedName function="false" hidden="false" localSheetId="6" name="ExternalData_55" vbProcedure="false">'-'!#ref!</definedName>
    <definedName function="false" hidden="false" localSheetId="6" name="ExternalData_550" vbProcedure="false">'-'!#ref!</definedName>
    <definedName function="false" hidden="false" localSheetId="6" name="ExternalData_551" vbProcedure="false">'-'!#ref!</definedName>
    <definedName function="false" hidden="false" localSheetId="6" name="ExternalData_552" vbProcedure="false">'-'!#ref!</definedName>
    <definedName function="false" hidden="false" localSheetId="6" name="ExternalData_553" vbProcedure="false">'-'!#ref!</definedName>
    <definedName function="false" hidden="false" localSheetId="6" name="ExternalData_554" vbProcedure="false">'-'!#ref!</definedName>
    <definedName function="false" hidden="false" localSheetId="6" name="ExternalData_555" vbProcedure="false">'-'!#ref!</definedName>
    <definedName function="false" hidden="false" localSheetId="6" name="ExternalData_556" vbProcedure="false">'-'!#ref!</definedName>
    <definedName function="false" hidden="false" localSheetId="6" name="ExternalData_557" vbProcedure="false">'-'!#ref!</definedName>
    <definedName function="false" hidden="false" localSheetId="6" name="ExternalData_558" vbProcedure="false">'-'!#ref!</definedName>
    <definedName function="false" hidden="false" localSheetId="6" name="ExternalData_559" vbProcedure="false">'-'!#ref!</definedName>
    <definedName function="false" hidden="false" localSheetId="6" name="ExternalData_56" vbProcedure="false">'-'!#ref!</definedName>
    <definedName function="false" hidden="false" localSheetId="6" name="ExternalData_560" vbProcedure="false">'-'!#ref!</definedName>
    <definedName function="false" hidden="false" localSheetId="6" name="ExternalData_561" vbProcedure="false">'-'!#ref!</definedName>
    <definedName function="false" hidden="false" localSheetId="6" name="ExternalData_562" vbProcedure="false">'-'!#ref!</definedName>
    <definedName function="false" hidden="false" localSheetId="6" name="ExternalData_563" vbProcedure="false">'-'!#ref!</definedName>
    <definedName function="false" hidden="false" localSheetId="6" name="ExternalData_564" vbProcedure="false">'-'!#ref!</definedName>
    <definedName function="false" hidden="false" localSheetId="6" name="ExternalData_565" vbProcedure="false">'-'!#ref!</definedName>
    <definedName function="false" hidden="false" localSheetId="6" name="ExternalData_566" vbProcedure="false">'-'!#ref!</definedName>
    <definedName function="false" hidden="false" localSheetId="6" name="ExternalData_567" vbProcedure="false">'-'!#ref!</definedName>
    <definedName function="false" hidden="false" localSheetId="6" name="ExternalData_568" vbProcedure="false">'-'!#ref!</definedName>
    <definedName function="false" hidden="false" localSheetId="6" name="ExternalData_569" vbProcedure="false">'-'!#ref!</definedName>
    <definedName function="false" hidden="false" localSheetId="6" name="ExternalData_57" vbProcedure="false">'-'!#ref!</definedName>
    <definedName function="false" hidden="false" localSheetId="6" name="ExternalData_570" vbProcedure="false">'-'!#ref!</definedName>
    <definedName function="false" hidden="false" localSheetId="6" name="ExternalData_571" vbProcedure="false">'-'!#ref!</definedName>
    <definedName function="false" hidden="false" localSheetId="6" name="ExternalData_572" vbProcedure="false">'-'!#ref!</definedName>
    <definedName function="false" hidden="false" localSheetId="6" name="ExternalData_573" vbProcedure="false">'-'!#ref!</definedName>
    <definedName function="false" hidden="false" localSheetId="6" name="ExternalData_574" vbProcedure="false">'-'!#ref!</definedName>
    <definedName function="false" hidden="false" localSheetId="6" name="ExternalData_575" vbProcedure="false">'-'!#ref!</definedName>
    <definedName function="false" hidden="false" localSheetId="6" name="ExternalData_576" vbProcedure="false">'-'!#ref!</definedName>
    <definedName function="false" hidden="false" localSheetId="6" name="ExternalData_577" vbProcedure="false">'-'!#ref!</definedName>
    <definedName function="false" hidden="false" localSheetId="6" name="ExternalData_578" vbProcedure="false">'-'!#ref!</definedName>
    <definedName function="false" hidden="false" localSheetId="6" name="ExternalData_579" vbProcedure="false">'-'!#ref!</definedName>
    <definedName function="false" hidden="false" localSheetId="6" name="ExternalData_58" vbProcedure="false">'-'!#ref!</definedName>
    <definedName function="false" hidden="false" localSheetId="6" name="ExternalData_580" vbProcedure="false">'-'!#ref!</definedName>
    <definedName function="false" hidden="false" localSheetId="6" name="ExternalData_581" vbProcedure="false">'-'!#ref!</definedName>
    <definedName function="false" hidden="false" localSheetId="6" name="ExternalData_582" vbProcedure="false">'-'!#ref!</definedName>
    <definedName function="false" hidden="false" localSheetId="6" name="ExternalData_583" vbProcedure="false">'-'!#ref!</definedName>
    <definedName function="false" hidden="false" localSheetId="6" name="ExternalData_584" vbProcedure="false">'-'!#ref!</definedName>
    <definedName function="false" hidden="false" localSheetId="6" name="ExternalData_585" vbProcedure="false">'-'!#ref!</definedName>
    <definedName function="false" hidden="false" localSheetId="6" name="ExternalData_586" vbProcedure="false">'-'!#ref!</definedName>
    <definedName function="false" hidden="false" localSheetId="6" name="ExternalData_587" vbProcedure="false">'-'!#ref!</definedName>
    <definedName function="false" hidden="false" localSheetId="6" name="ExternalData_588" vbProcedure="false">'-'!#ref!</definedName>
    <definedName function="false" hidden="false" localSheetId="6" name="ExternalData_589" vbProcedure="false">'-'!#ref!</definedName>
    <definedName function="false" hidden="false" localSheetId="6" name="ExternalData_59" vbProcedure="false">'-'!#ref!</definedName>
    <definedName function="false" hidden="false" localSheetId="6" name="ExternalData_590" vbProcedure="false">'-'!#ref!</definedName>
    <definedName function="false" hidden="false" localSheetId="6" name="ExternalData_591" vbProcedure="false">'-'!#ref!</definedName>
    <definedName function="false" hidden="false" localSheetId="6" name="ExternalData_592" vbProcedure="false">'-'!#ref!</definedName>
    <definedName function="false" hidden="false" localSheetId="6" name="ExternalData_593" vbProcedure="false">'-'!#ref!</definedName>
    <definedName function="false" hidden="false" localSheetId="6" name="ExternalData_594" vbProcedure="false">'-'!#ref!</definedName>
    <definedName function="false" hidden="false" localSheetId="6" name="ExternalData_595" vbProcedure="false">'-'!#ref!</definedName>
    <definedName function="false" hidden="false" localSheetId="6" name="ExternalData_596" vbProcedure="false">'-'!#ref!</definedName>
    <definedName function="false" hidden="false" localSheetId="6" name="ExternalData_597" vbProcedure="false">'-'!#ref!</definedName>
    <definedName function="false" hidden="false" localSheetId="6" name="ExternalData_598" vbProcedure="false">'-'!#ref!</definedName>
    <definedName function="false" hidden="false" localSheetId="6" name="ExternalData_599" vbProcedure="false">'-'!#ref!</definedName>
    <definedName function="false" hidden="false" localSheetId="6" name="ExternalData_6" vbProcedure="false">'-'!#ref!</definedName>
    <definedName function="false" hidden="false" localSheetId="6" name="ExternalData_60" vbProcedure="false">'-'!#ref!</definedName>
    <definedName function="false" hidden="false" localSheetId="6" name="ExternalData_600" vbProcedure="false">'-'!#ref!</definedName>
    <definedName function="false" hidden="false" localSheetId="6" name="ExternalData_601" vbProcedure="false">'-'!#ref!</definedName>
    <definedName function="false" hidden="false" localSheetId="6" name="ExternalData_602" vbProcedure="false">'-'!#ref!</definedName>
    <definedName function="false" hidden="false" localSheetId="6" name="ExternalData_603" vbProcedure="false">'-'!#ref!</definedName>
    <definedName function="false" hidden="false" localSheetId="6" name="ExternalData_604" vbProcedure="false">'-'!#ref!</definedName>
    <definedName function="false" hidden="false" localSheetId="6" name="ExternalData_605" vbProcedure="false">'-'!#ref!</definedName>
    <definedName function="false" hidden="false" localSheetId="6" name="ExternalData_606" vbProcedure="false">'-'!#ref!</definedName>
    <definedName function="false" hidden="false" localSheetId="6" name="ExternalData_607" vbProcedure="false">'-'!#ref!</definedName>
    <definedName function="false" hidden="false" localSheetId="6" name="ExternalData_608" vbProcedure="false">'-'!#ref!</definedName>
    <definedName function="false" hidden="false" localSheetId="6" name="ExternalData_609" vbProcedure="false">'-'!#ref!</definedName>
    <definedName function="false" hidden="false" localSheetId="6" name="ExternalData_61" vbProcedure="false">'-'!#ref!</definedName>
    <definedName function="false" hidden="false" localSheetId="6" name="ExternalData_610" vbProcedure="false">'-'!#ref!</definedName>
    <definedName function="false" hidden="false" localSheetId="6" name="ExternalData_611" vbProcedure="false">'-'!#ref!</definedName>
    <definedName function="false" hidden="false" localSheetId="6" name="ExternalData_612" vbProcedure="false">'-'!#ref!</definedName>
    <definedName function="false" hidden="false" localSheetId="6" name="ExternalData_613" vbProcedure="false">'-'!#ref!</definedName>
    <definedName function="false" hidden="false" localSheetId="6" name="ExternalData_614" vbProcedure="false">'-'!#ref!</definedName>
    <definedName function="false" hidden="false" localSheetId="6" name="ExternalData_615" vbProcedure="false">'-'!#ref!</definedName>
    <definedName function="false" hidden="false" localSheetId="6" name="ExternalData_616" vbProcedure="false">'-'!#ref!</definedName>
    <definedName function="false" hidden="false" localSheetId="6" name="ExternalData_617" vbProcedure="false">'-'!#ref!</definedName>
    <definedName function="false" hidden="false" localSheetId="6" name="ExternalData_618" vbProcedure="false">'-'!#ref!</definedName>
    <definedName function="false" hidden="false" localSheetId="6" name="ExternalData_619" vbProcedure="false">'-'!#ref!</definedName>
    <definedName function="false" hidden="false" localSheetId="6" name="ExternalData_62" vbProcedure="false">'-'!#ref!</definedName>
    <definedName function="false" hidden="false" localSheetId="6" name="ExternalData_620" vbProcedure="false">'-'!#ref!</definedName>
    <definedName function="false" hidden="false" localSheetId="6" name="ExternalData_621" vbProcedure="false">'-'!#ref!</definedName>
    <definedName function="false" hidden="false" localSheetId="6" name="ExternalData_622" vbProcedure="false">'-'!#ref!</definedName>
    <definedName function="false" hidden="false" localSheetId="6" name="ExternalData_623" vbProcedure="false">'-'!#ref!</definedName>
    <definedName function="false" hidden="false" localSheetId="6" name="ExternalData_624" vbProcedure="false">'-'!#ref!</definedName>
    <definedName function="false" hidden="false" localSheetId="6" name="ExternalData_625" vbProcedure="false">'-'!#ref!</definedName>
    <definedName function="false" hidden="false" localSheetId="6" name="ExternalData_626" vbProcedure="false">'-'!#ref!</definedName>
    <definedName function="false" hidden="false" localSheetId="6" name="ExternalData_627" vbProcedure="false">'-'!#ref!</definedName>
    <definedName function="false" hidden="false" localSheetId="6" name="ExternalData_628" vbProcedure="false">'-'!#ref!</definedName>
    <definedName function="false" hidden="false" localSheetId="6" name="ExternalData_629" vbProcedure="false">'-'!#ref!</definedName>
    <definedName function="false" hidden="false" localSheetId="6" name="ExternalData_63" vbProcedure="false">'-'!#ref!</definedName>
    <definedName function="false" hidden="false" localSheetId="6" name="ExternalData_630" vbProcedure="false">'-'!#ref!</definedName>
    <definedName function="false" hidden="false" localSheetId="6" name="ExternalData_631" vbProcedure="false">'-'!#ref!</definedName>
    <definedName function="false" hidden="false" localSheetId="6" name="ExternalData_632" vbProcedure="false">'-'!#ref!</definedName>
    <definedName function="false" hidden="false" localSheetId="6" name="ExternalData_633" vbProcedure="false">'-'!#ref!</definedName>
    <definedName function="false" hidden="false" localSheetId="6" name="ExternalData_634" vbProcedure="false">'-'!#ref!</definedName>
    <definedName function="false" hidden="false" localSheetId="6" name="ExternalData_635" vbProcedure="false">'-'!#ref!</definedName>
    <definedName function="false" hidden="false" localSheetId="6" name="ExternalData_636" vbProcedure="false">'-'!#ref!</definedName>
    <definedName function="false" hidden="false" localSheetId="6" name="ExternalData_637" vbProcedure="false">'-'!#ref!</definedName>
    <definedName function="false" hidden="false" localSheetId="6" name="ExternalData_638" vbProcedure="false">'-'!#ref!</definedName>
    <definedName function="false" hidden="false" localSheetId="6" name="ExternalData_639" vbProcedure="false">'-'!#ref!</definedName>
    <definedName function="false" hidden="false" localSheetId="6" name="ExternalData_64" vbProcedure="false">'-'!#ref!</definedName>
    <definedName function="false" hidden="false" localSheetId="6" name="ExternalData_640" vbProcedure="false">'-'!#ref!</definedName>
    <definedName function="false" hidden="false" localSheetId="6" name="ExternalData_641" vbProcedure="false">'-'!#ref!</definedName>
    <definedName function="false" hidden="false" localSheetId="6" name="ExternalData_642" vbProcedure="false">'-'!#ref!</definedName>
    <definedName function="false" hidden="false" localSheetId="6" name="ExternalData_643" vbProcedure="false">'-'!#ref!</definedName>
    <definedName function="false" hidden="false" localSheetId="6" name="ExternalData_644" vbProcedure="false">'-'!#ref!</definedName>
    <definedName function="false" hidden="false" localSheetId="6" name="ExternalData_645" vbProcedure="false">'-'!#ref!</definedName>
    <definedName function="false" hidden="false" localSheetId="6" name="ExternalData_646" vbProcedure="false">'-'!#ref!</definedName>
    <definedName function="false" hidden="false" localSheetId="6" name="ExternalData_647" vbProcedure="false">'-'!#ref!</definedName>
    <definedName function="false" hidden="false" localSheetId="6" name="ExternalData_648" vbProcedure="false">'-'!#ref!</definedName>
    <definedName function="false" hidden="false" localSheetId="6" name="ExternalData_649" vbProcedure="false">'-'!#ref!</definedName>
    <definedName function="false" hidden="false" localSheetId="6" name="ExternalData_65" vbProcedure="false">'-'!#ref!</definedName>
    <definedName function="false" hidden="false" localSheetId="6" name="ExternalData_650" vbProcedure="false">'-'!#ref!</definedName>
    <definedName function="false" hidden="false" localSheetId="6" name="ExternalData_651" vbProcedure="false">'-'!#ref!</definedName>
    <definedName function="false" hidden="false" localSheetId="6" name="ExternalData_652" vbProcedure="false">'-'!#ref!</definedName>
    <definedName function="false" hidden="false" localSheetId="6" name="ExternalData_653" vbProcedure="false">'-'!#ref!</definedName>
    <definedName function="false" hidden="false" localSheetId="6" name="ExternalData_654" vbProcedure="false">'-'!#ref!</definedName>
    <definedName function="false" hidden="false" localSheetId="6" name="ExternalData_655" vbProcedure="false">'-'!#ref!</definedName>
    <definedName function="false" hidden="false" localSheetId="6" name="ExternalData_656" vbProcedure="false">'-'!#ref!</definedName>
    <definedName function="false" hidden="false" localSheetId="6" name="ExternalData_657" vbProcedure="false">'-'!#ref!</definedName>
    <definedName function="false" hidden="false" localSheetId="6" name="ExternalData_658" vbProcedure="false">'-'!#ref!</definedName>
    <definedName function="false" hidden="false" localSheetId="6" name="ExternalData_659" vbProcedure="false">'-'!#ref!</definedName>
    <definedName function="false" hidden="false" localSheetId="6" name="ExternalData_66" vbProcedure="false">'-'!#ref!</definedName>
    <definedName function="false" hidden="false" localSheetId="6" name="ExternalData_660" vbProcedure="false">'-'!#ref!</definedName>
    <definedName function="false" hidden="false" localSheetId="6" name="ExternalData_661" vbProcedure="false">'-'!#ref!</definedName>
    <definedName function="false" hidden="false" localSheetId="6" name="ExternalData_662" vbProcedure="false">'-'!#ref!</definedName>
    <definedName function="false" hidden="false" localSheetId="6" name="ExternalData_663" vbProcedure="false">'-'!#ref!</definedName>
    <definedName function="false" hidden="false" localSheetId="6" name="ExternalData_664" vbProcedure="false">'-'!#ref!</definedName>
    <definedName function="false" hidden="false" localSheetId="6" name="ExternalData_665" vbProcedure="false">'-'!#ref!</definedName>
    <definedName function="false" hidden="false" localSheetId="6" name="ExternalData_666" vbProcedure="false">'-'!#ref!</definedName>
    <definedName function="false" hidden="false" localSheetId="6" name="ExternalData_667" vbProcedure="false">'-'!#ref!</definedName>
    <definedName function="false" hidden="false" localSheetId="6" name="ExternalData_668" vbProcedure="false">'-'!#ref!</definedName>
    <definedName function="false" hidden="false" localSheetId="6" name="ExternalData_669" vbProcedure="false">'-'!#ref!</definedName>
    <definedName function="false" hidden="false" localSheetId="6" name="ExternalData_67" vbProcedure="false">'-'!#ref!</definedName>
    <definedName function="false" hidden="false" localSheetId="6" name="ExternalData_670" vbProcedure="false">'-'!#ref!</definedName>
    <definedName function="false" hidden="false" localSheetId="6" name="ExternalData_671" vbProcedure="false">'-'!#ref!</definedName>
    <definedName function="false" hidden="false" localSheetId="6" name="ExternalData_672" vbProcedure="false">'-'!#ref!</definedName>
    <definedName function="false" hidden="false" localSheetId="6" name="ExternalData_673" vbProcedure="false">'-'!#ref!</definedName>
    <definedName function="false" hidden="false" localSheetId="6" name="ExternalData_674" vbProcedure="false">'-'!#ref!</definedName>
    <definedName function="false" hidden="false" localSheetId="6" name="ExternalData_675" vbProcedure="false">'-'!#ref!</definedName>
    <definedName function="false" hidden="false" localSheetId="6" name="ExternalData_676" vbProcedure="false">'-'!#ref!</definedName>
    <definedName function="false" hidden="false" localSheetId="6" name="ExternalData_677" vbProcedure="false">'-'!#ref!</definedName>
    <definedName function="false" hidden="false" localSheetId="6" name="ExternalData_678" vbProcedure="false">'-'!#ref!</definedName>
    <definedName function="false" hidden="false" localSheetId="6" name="ExternalData_679" vbProcedure="false">'-'!#ref!</definedName>
    <definedName function="false" hidden="false" localSheetId="6" name="ExternalData_68" vbProcedure="false">'-'!#ref!</definedName>
    <definedName function="false" hidden="false" localSheetId="6" name="ExternalData_680" vbProcedure="false">'-'!#ref!</definedName>
    <definedName function="false" hidden="false" localSheetId="6" name="ExternalData_681" vbProcedure="false">'-'!#ref!</definedName>
    <definedName function="false" hidden="false" localSheetId="6" name="ExternalData_682" vbProcedure="false">'-'!#ref!</definedName>
    <definedName function="false" hidden="false" localSheetId="6" name="ExternalData_683" vbProcedure="false">'-'!#ref!</definedName>
    <definedName function="false" hidden="false" localSheetId="6" name="ExternalData_684" vbProcedure="false">'-'!#ref!</definedName>
    <definedName function="false" hidden="false" localSheetId="6" name="ExternalData_685" vbProcedure="false">'-'!#ref!</definedName>
    <definedName function="false" hidden="false" localSheetId="6" name="ExternalData_686" vbProcedure="false">'-'!#ref!</definedName>
    <definedName function="false" hidden="false" localSheetId="6" name="ExternalData_687" vbProcedure="false">'-'!#ref!</definedName>
    <definedName function="false" hidden="false" localSheetId="6" name="ExternalData_688" vbProcedure="false">'-'!#ref!</definedName>
    <definedName function="false" hidden="false" localSheetId="6" name="ExternalData_689" vbProcedure="false">'-'!#ref!</definedName>
    <definedName function="false" hidden="false" localSheetId="6" name="ExternalData_69" vbProcedure="false">'-'!#ref!</definedName>
    <definedName function="false" hidden="false" localSheetId="6" name="ExternalData_690" vbProcedure="false">'-'!#ref!</definedName>
    <definedName function="false" hidden="false" localSheetId="6" name="ExternalData_691" vbProcedure="false">'-'!#ref!</definedName>
    <definedName function="false" hidden="false" localSheetId="6" name="ExternalData_692" vbProcedure="false">'-'!#ref!</definedName>
    <definedName function="false" hidden="false" localSheetId="6" name="ExternalData_693" vbProcedure="false">'-'!#ref!</definedName>
    <definedName function="false" hidden="false" localSheetId="6" name="ExternalData_694" vbProcedure="false">'-'!#ref!</definedName>
    <definedName function="false" hidden="false" localSheetId="6" name="ExternalData_695" vbProcedure="false">'-'!#ref!</definedName>
    <definedName function="false" hidden="false" localSheetId="6" name="ExternalData_696" vbProcedure="false">'-'!#ref!</definedName>
    <definedName function="false" hidden="false" localSheetId="6" name="ExternalData_697" vbProcedure="false">'-'!#ref!</definedName>
    <definedName function="false" hidden="false" localSheetId="6" name="ExternalData_698" vbProcedure="false">'-'!#ref!</definedName>
    <definedName function="false" hidden="false" localSheetId="6" name="ExternalData_699" vbProcedure="false">'-'!#ref!</definedName>
    <definedName function="false" hidden="false" localSheetId="6" name="ExternalData_7" vbProcedure="false">'-'!#ref!</definedName>
    <definedName function="false" hidden="false" localSheetId="6" name="ExternalData_70" vbProcedure="false">'-'!#ref!</definedName>
    <definedName function="false" hidden="false" localSheetId="6" name="ExternalData_700" vbProcedure="false">'-'!#ref!</definedName>
    <definedName function="false" hidden="false" localSheetId="6" name="ExternalData_701" vbProcedure="false">'-'!#ref!</definedName>
    <definedName function="false" hidden="false" localSheetId="6" name="ExternalData_702" vbProcedure="false">'-'!#ref!</definedName>
    <definedName function="false" hidden="false" localSheetId="6" name="ExternalData_703" vbProcedure="false">'-'!#ref!</definedName>
    <definedName function="false" hidden="false" localSheetId="6" name="ExternalData_704" vbProcedure="false">'-'!#ref!</definedName>
    <definedName function="false" hidden="false" localSheetId="6" name="ExternalData_705" vbProcedure="false">'-'!#ref!</definedName>
    <definedName function="false" hidden="false" localSheetId="6" name="ExternalData_706" vbProcedure="false">'-'!#ref!</definedName>
    <definedName function="false" hidden="false" localSheetId="6" name="ExternalData_707" vbProcedure="false">'-'!#ref!</definedName>
    <definedName function="false" hidden="false" localSheetId="6" name="ExternalData_708" vbProcedure="false">'-'!#ref!</definedName>
    <definedName function="false" hidden="false" localSheetId="6" name="ExternalData_709" vbProcedure="false">'-'!#ref!</definedName>
    <definedName function="false" hidden="false" localSheetId="6" name="ExternalData_71" vbProcedure="false">'-'!#ref!</definedName>
    <definedName function="false" hidden="false" localSheetId="6" name="ExternalData_710" vbProcedure="false">'-'!#ref!</definedName>
    <definedName function="false" hidden="false" localSheetId="6" name="ExternalData_711" vbProcedure="false">'-'!#ref!</definedName>
    <definedName function="false" hidden="false" localSheetId="6" name="ExternalData_712" vbProcedure="false">'-'!#ref!</definedName>
    <definedName function="false" hidden="false" localSheetId="6" name="ExternalData_713" vbProcedure="false">'-'!#ref!</definedName>
    <definedName function="false" hidden="false" localSheetId="6" name="ExternalData_714" vbProcedure="false">'-'!#ref!</definedName>
    <definedName function="false" hidden="false" localSheetId="6" name="ExternalData_715" vbProcedure="false">'-'!#ref!</definedName>
    <definedName function="false" hidden="false" localSheetId="6" name="ExternalData_716" vbProcedure="false">'-'!#ref!</definedName>
    <definedName function="false" hidden="false" localSheetId="6" name="ExternalData_717" vbProcedure="false">'-'!#ref!</definedName>
    <definedName function="false" hidden="false" localSheetId="6" name="ExternalData_718" vbProcedure="false">'-'!#ref!</definedName>
    <definedName function="false" hidden="false" localSheetId="6" name="ExternalData_719" vbProcedure="false">'-'!#ref!</definedName>
    <definedName function="false" hidden="false" localSheetId="6" name="ExternalData_72" vbProcedure="false">'-'!#ref!</definedName>
    <definedName function="false" hidden="false" localSheetId="6" name="ExternalData_720" vbProcedure="false">'-'!#ref!</definedName>
    <definedName function="false" hidden="false" localSheetId="6" name="ExternalData_721" vbProcedure="false">'-'!#ref!</definedName>
    <definedName function="false" hidden="false" localSheetId="6" name="ExternalData_722" vbProcedure="false">'-'!#ref!</definedName>
    <definedName function="false" hidden="false" localSheetId="6" name="ExternalData_723" vbProcedure="false">'-'!#ref!</definedName>
    <definedName function="false" hidden="false" localSheetId="6" name="ExternalData_724" vbProcedure="false">'-'!#ref!</definedName>
    <definedName function="false" hidden="false" localSheetId="6" name="ExternalData_725" vbProcedure="false">'-'!#ref!</definedName>
    <definedName function="false" hidden="false" localSheetId="6" name="ExternalData_726" vbProcedure="false">'-'!#ref!</definedName>
    <definedName function="false" hidden="false" localSheetId="6" name="ExternalData_727" vbProcedure="false">'-'!#ref!</definedName>
    <definedName function="false" hidden="false" localSheetId="6" name="ExternalData_728" vbProcedure="false">'-'!#ref!</definedName>
    <definedName function="false" hidden="false" localSheetId="6" name="ExternalData_729" vbProcedure="false">'-'!#ref!</definedName>
    <definedName function="false" hidden="false" localSheetId="6" name="ExternalData_73" vbProcedure="false">'-'!#ref!</definedName>
    <definedName function="false" hidden="false" localSheetId="6" name="ExternalData_730" vbProcedure="false">'-'!#ref!</definedName>
    <definedName function="false" hidden="false" localSheetId="6" name="ExternalData_731" vbProcedure="false">'-'!#ref!</definedName>
    <definedName function="false" hidden="false" localSheetId="6" name="ExternalData_732" vbProcedure="false">'-'!#ref!</definedName>
    <definedName function="false" hidden="false" localSheetId="6" name="ExternalData_733" vbProcedure="false">'-'!#ref!</definedName>
    <definedName function="false" hidden="false" localSheetId="6" name="ExternalData_734" vbProcedure="false">'-'!#ref!</definedName>
    <definedName function="false" hidden="false" localSheetId="6" name="ExternalData_735" vbProcedure="false">'-'!#ref!</definedName>
    <definedName function="false" hidden="false" localSheetId="6" name="ExternalData_736" vbProcedure="false">'-'!#ref!</definedName>
    <definedName function="false" hidden="false" localSheetId="6" name="ExternalData_737" vbProcedure="false">'-'!#ref!</definedName>
    <definedName function="false" hidden="false" localSheetId="6" name="ExternalData_738" vbProcedure="false">'-'!#ref!</definedName>
    <definedName function="false" hidden="false" localSheetId="6" name="ExternalData_739" vbProcedure="false">'-'!#ref!</definedName>
    <definedName function="false" hidden="false" localSheetId="6" name="ExternalData_74" vbProcedure="false">'-'!#ref!</definedName>
    <definedName function="false" hidden="false" localSheetId="6" name="ExternalData_740" vbProcedure="false">'-'!#ref!</definedName>
    <definedName function="false" hidden="false" localSheetId="6" name="ExternalData_741" vbProcedure="false">'-'!#ref!</definedName>
    <definedName function="false" hidden="false" localSheetId="6" name="ExternalData_742" vbProcedure="false">'-'!#ref!</definedName>
    <definedName function="false" hidden="false" localSheetId="6" name="ExternalData_743" vbProcedure="false">'-'!#ref!</definedName>
    <definedName function="false" hidden="false" localSheetId="6" name="ExternalData_744" vbProcedure="false">'-'!#ref!</definedName>
    <definedName function="false" hidden="false" localSheetId="6" name="ExternalData_745" vbProcedure="false">'-'!#ref!</definedName>
    <definedName function="false" hidden="false" localSheetId="6" name="ExternalData_746" vbProcedure="false">'-'!#ref!</definedName>
    <definedName function="false" hidden="false" localSheetId="6" name="ExternalData_747" vbProcedure="false">'-'!#ref!</definedName>
    <definedName function="false" hidden="false" localSheetId="6" name="ExternalData_748" vbProcedure="false">'-'!#ref!</definedName>
    <definedName function="false" hidden="false" localSheetId="6" name="ExternalData_749" vbProcedure="false">'-'!#ref!</definedName>
    <definedName function="false" hidden="false" localSheetId="6" name="ExternalData_75" vbProcedure="false">'-'!#ref!</definedName>
    <definedName function="false" hidden="false" localSheetId="6" name="ExternalData_750" vbProcedure="false">'-'!#ref!</definedName>
    <definedName function="false" hidden="false" localSheetId="6" name="ExternalData_751" vbProcedure="false">'-'!#ref!</definedName>
    <definedName function="false" hidden="false" localSheetId="6" name="ExternalData_752" vbProcedure="false">'-'!#ref!</definedName>
    <definedName function="false" hidden="false" localSheetId="6" name="ExternalData_753" vbProcedure="false">'-'!#ref!</definedName>
    <definedName function="false" hidden="false" localSheetId="6" name="ExternalData_754" vbProcedure="false">'-'!#ref!</definedName>
    <definedName function="false" hidden="false" localSheetId="6" name="ExternalData_755" vbProcedure="false">'-'!#ref!</definedName>
    <definedName function="false" hidden="false" localSheetId="6" name="ExternalData_756" vbProcedure="false">'-'!#ref!</definedName>
    <definedName function="false" hidden="false" localSheetId="6" name="ExternalData_757" vbProcedure="false">'-'!#ref!</definedName>
    <definedName function="false" hidden="false" localSheetId="6" name="ExternalData_758" vbProcedure="false">'-'!#ref!</definedName>
    <definedName function="false" hidden="false" localSheetId="6" name="ExternalData_759" vbProcedure="false">'-'!#ref!</definedName>
    <definedName function="false" hidden="false" localSheetId="6" name="ExternalData_76" vbProcedure="false">'-'!#ref!</definedName>
    <definedName function="false" hidden="false" localSheetId="6" name="ExternalData_760" vbProcedure="false">'-'!#ref!</definedName>
    <definedName function="false" hidden="false" localSheetId="6" name="ExternalData_761" vbProcedure="false">'-'!#ref!</definedName>
    <definedName function="false" hidden="false" localSheetId="6" name="ExternalData_762" vbProcedure="false">'-'!#ref!</definedName>
    <definedName function="false" hidden="false" localSheetId="6" name="ExternalData_763" vbProcedure="false">'-'!#ref!</definedName>
    <definedName function="false" hidden="false" localSheetId="6" name="ExternalData_764" vbProcedure="false">'-'!#ref!</definedName>
    <definedName function="false" hidden="false" localSheetId="6" name="ExternalData_765" vbProcedure="false">'-'!#ref!</definedName>
    <definedName function="false" hidden="false" localSheetId="6" name="ExternalData_766" vbProcedure="false">'-'!#ref!</definedName>
    <definedName function="false" hidden="false" localSheetId="6" name="ExternalData_767" vbProcedure="false">'-'!#ref!</definedName>
    <definedName function="false" hidden="false" localSheetId="6" name="ExternalData_768" vbProcedure="false">'-'!#ref!</definedName>
    <definedName function="false" hidden="false" localSheetId="6" name="ExternalData_769" vbProcedure="false">'-'!#ref!</definedName>
    <definedName function="false" hidden="false" localSheetId="6" name="ExternalData_77" vbProcedure="false">'-'!#ref!</definedName>
    <definedName function="false" hidden="false" localSheetId="6" name="ExternalData_770" vbProcedure="false">'-'!#ref!</definedName>
    <definedName function="false" hidden="false" localSheetId="6" name="ExternalData_771" vbProcedure="false">'-'!#ref!</definedName>
    <definedName function="false" hidden="false" localSheetId="6" name="ExternalData_772" vbProcedure="false">'-'!#ref!</definedName>
    <definedName function="false" hidden="false" localSheetId="6" name="ExternalData_773" vbProcedure="false">'-'!#ref!</definedName>
    <definedName function="false" hidden="false" localSheetId="6" name="ExternalData_774" vbProcedure="false">'-'!#ref!</definedName>
    <definedName function="false" hidden="false" localSheetId="6" name="ExternalData_775" vbProcedure="false">'-'!#ref!</definedName>
    <definedName function="false" hidden="false" localSheetId="6" name="ExternalData_776" vbProcedure="false">'-'!#ref!</definedName>
    <definedName function="false" hidden="false" localSheetId="6" name="ExternalData_777" vbProcedure="false">'-'!#ref!</definedName>
    <definedName function="false" hidden="false" localSheetId="6" name="ExternalData_778" vbProcedure="false">'-'!#ref!</definedName>
    <definedName function="false" hidden="false" localSheetId="6" name="ExternalData_779" vbProcedure="false">'-'!#ref!</definedName>
    <definedName function="false" hidden="false" localSheetId="6" name="ExternalData_78" vbProcedure="false">'-'!#ref!</definedName>
    <definedName function="false" hidden="false" localSheetId="6" name="ExternalData_780" vbProcedure="false">'-'!#ref!</definedName>
    <definedName function="false" hidden="false" localSheetId="6" name="ExternalData_781" vbProcedure="false">'-'!#ref!</definedName>
    <definedName function="false" hidden="false" localSheetId="6" name="ExternalData_782" vbProcedure="false">'-'!#ref!</definedName>
    <definedName function="false" hidden="false" localSheetId="6" name="ExternalData_783" vbProcedure="false">'-'!#ref!</definedName>
    <definedName function="false" hidden="false" localSheetId="6" name="ExternalData_784" vbProcedure="false">'-'!#ref!</definedName>
    <definedName function="false" hidden="false" localSheetId="6" name="ExternalData_785" vbProcedure="false">'-'!#ref!</definedName>
    <definedName function="false" hidden="false" localSheetId="6" name="ExternalData_786" vbProcedure="false">'-'!#ref!</definedName>
    <definedName function="false" hidden="false" localSheetId="6" name="ExternalData_787" vbProcedure="false">'-'!#ref!</definedName>
    <definedName function="false" hidden="false" localSheetId="6" name="ExternalData_788" vbProcedure="false">'-'!#ref!</definedName>
    <definedName function="false" hidden="false" localSheetId="6" name="ExternalData_789" vbProcedure="false">'-'!#ref!</definedName>
    <definedName function="false" hidden="false" localSheetId="6" name="ExternalData_79" vbProcedure="false">'-'!#ref!</definedName>
    <definedName function="false" hidden="false" localSheetId="6" name="ExternalData_790" vbProcedure="false">'-'!#ref!</definedName>
    <definedName function="false" hidden="false" localSheetId="6" name="ExternalData_791" vbProcedure="false">'-'!#ref!</definedName>
    <definedName function="false" hidden="false" localSheetId="6" name="ExternalData_792" vbProcedure="false">'-'!#ref!</definedName>
    <definedName function="false" hidden="false" localSheetId="6" name="ExternalData_793" vbProcedure="false">'-'!#ref!</definedName>
    <definedName function="false" hidden="false" localSheetId="6" name="ExternalData_794" vbProcedure="false">'-'!#ref!</definedName>
    <definedName function="false" hidden="false" localSheetId="6" name="ExternalData_795" vbProcedure="false">'-'!#ref!</definedName>
    <definedName function="false" hidden="false" localSheetId="6" name="ExternalData_796" vbProcedure="false">'-'!#ref!</definedName>
    <definedName function="false" hidden="false" localSheetId="6" name="ExternalData_797" vbProcedure="false">'-'!#ref!</definedName>
    <definedName function="false" hidden="false" localSheetId="6" name="ExternalData_798" vbProcedure="false">'-'!#ref!</definedName>
    <definedName function="false" hidden="false" localSheetId="6" name="ExternalData_799" vbProcedure="false">'-'!#ref!</definedName>
    <definedName function="false" hidden="false" localSheetId="6" name="ExternalData_8" vbProcedure="false">'-'!#ref!</definedName>
    <definedName function="false" hidden="false" localSheetId="6" name="ExternalData_80" vbProcedure="false">'-'!#ref!</definedName>
    <definedName function="false" hidden="false" localSheetId="6" name="ExternalData_800" vbProcedure="false">'-'!#ref!</definedName>
    <definedName function="false" hidden="false" localSheetId="6" name="ExternalData_801" vbProcedure="false">'-'!#ref!</definedName>
    <definedName function="false" hidden="false" localSheetId="6" name="ExternalData_802" vbProcedure="false">'-'!#ref!</definedName>
    <definedName function="false" hidden="false" localSheetId="6" name="ExternalData_803" vbProcedure="false">'-'!#ref!</definedName>
    <definedName function="false" hidden="false" localSheetId="6" name="ExternalData_804" vbProcedure="false">'-'!#ref!</definedName>
    <definedName function="false" hidden="false" localSheetId="6" name="ExternalData_805" vbProcedure="false">'-'!#ref!</definedName>
    <definedName function="false" hidden="false" localSheetId="6" name="ExternalData_806" vbProcedure="false">'-'!#ref!</definedName>
    <definedName function="false" hidden="false" localSheetId="6" name="ExternalData_807" vbProcedure="false">'-'!#ref!</definedName>
    <definedName function="false" hidden="false" localSheetId="6" name="ExternalData_808" vbProcedure="false">'-'!#ref!</definedName>
    <definedName function="false" hidden="false" localSheetId="6" name="ExternalData_809" vbProcedure="false">'-'!#ref!</definedName>
    <definedName function="false" hidden="false" localSheetId="6" name="ExternalData_81" vbProcedure="false">'-'!#ref!</definedName>
    <definedName function="false" hidden="false" localSheetId="6" name="ExternalData_810" vbProcedure="false">'-'!#ref!</definedName>
    <definedName function="false" hidden="false" localSheetId="6" name="ExternalData_811" vbProcedure="false">'-'!#ref!</definedName>
    <definedName function="false" hidden="false" localSheetId="6" name="ExternalData_812" vbProcedure="false">'-'!#ref!</definedName>
    <definedName function="false" hidden="false" localSheetId="6" name="ExternalData_813" vbProcedure="false">'-'!#ref!</definedName>
    <definedName function="false" hidden="false" localSheetId="6" name="ExternalData_814" vbProcedure="false">'-'!#ref!</definedName>
    <definedName function="false" hidden="false" localSheetId="6" name="ExternalData_815" vbProcedure="false">'-'!#ref!</definedName>
    <definedName function="false" hidden="false" localSheetId="6" name="ExternalData_816" vbProcedure="false">'-'!#ref!</definedName>
    <definedName function="false" hidden="false" localSheetId="6" name="ExternalData_817" vbProcedure="false">'-'!#ref!</definedName>
    <definedName function="false" hidden="false" localSheetId="6" name="ExternalData_818" vbProcedure="false">'-'!#ref!</definedName>
    <definedName function="false" hidden="false" localSheetId="6" name="ExternalData_819" vbProcedure="false">'-'!#ref!</definedName>
    <definedName function="false" hidden="false" localSheetId="6" name="ExternalData_82" vbProcedure="false">'-'!#ref!</definedName>
    <definedName function="false" hidden="false" localSheetId="6" name="ExternalData_820" vbProcedure="false">'-'!#ref!</definedName>
    <definedName function="false" hidden="false" localSheetId="6" name="ExternalData_821" vbProcedure="false">'-'!#ref!</definedName>
    <definedName function="false" hidden="false" localSheetId="6" name="ExternalData_822" vbProcedure="false">'-'!#ref!</definedName>
    <definedName function="false" hidden="false" localSheetId="6" name="ExternalData_823" vbProcedure="false">'-'!#ref!</definedName>
    <definedName function="false" hidden="false" localSheetId="6" name="ExternalData_824" vbProcedure="false">'-'!#ref!</definedName>
    <definedName function="false" hidden="false" localSheetId="6" name="ExternalData_825" vbProcedure="false">'-'!#ref!</definedName>
    <definedName function="false" hidden="false" localSheetId="6" name="ExternalData_826" vbProcedure="false">'-'!#ref!</definedName>
    <definedName function="false" hidden="false" localSheetId="6" name="ExternalData_827" vbProcedure="false">'-'!#ref!</definedName>
    <definedName function="false" hidden="false" localSheetId="6" name="ExternalData_828" vbProcedure="false">'-'!#ref!</definedName>
    <definedName function="false" hidden="false" localSheetId="6" name="ExternalData_829" vbProcedure="false">'-'!#ref!</definedName>
    <definedName function="false" hidden="false" localSheetId="6" name="ExternalData_83" vbProcedure="false">'-'!#ref!</definedName>
    <definedName function="false" hidden="false" localSheetId="6" name="ExternalData_830" vbProcedure="false">'-'!#ref!</definedName>
    <definedName function="false" hidden="false" localSheetId="6" name="ExternalData_831" vbProcedure="false">'-'!#ref!</definedName>
    <definedName function="false" hidden="false" localSheetId="6" name="ExternalData_832" vbProcedure="false">'-'!#ref!</definedName>
    <definedName function="false" hidden="false" localSheetId="6" name="ExternalData_833" vbProcedure="false">'-'!#ref!</definedName>
    <definedName function="false" hidden="false" localSheetId="6" name="ExternalData_834" vbProcedure="false">'-'!#ref!</definedName>
    <definedName function="false" hidden="false" localSheetId="6" name="ExternalData_835" vbProcedure="false">'-'!#ref!</definedName>
    <definedName function="false" hidden="false" localSheetId="6" name="ExternalData_836" vbProcedure="false">'-'!#ref!</definedName>
    <definedName function="false" hidden="false" localSheetId="6" name="ExternalData_837" vbProcedure="false">'-'!#ref!</definedName>
    <definedName function="false" hidden="false" localSheetId="6" name="ExternalData_838" vbProcedure="false">'-'!#ref!</definedName>
    <definedName function="false" hidden="false" localSheetId="6" name="ExternalData_839" vbProcedure="false">'-'!#ref!</definedName>
    <definedName function="false" hidden="false" localSheetId="6" name="ExternalData_84" vbProcedure="false">'-'!#ref!</definedName>
    <definedName function="false" hidden="false" localSheetId="6" name="ExternalData_840" vbProcedure="false">'-'!#ref!</definedName>
    <definedName function="false" hidden="false" localSheetId="6" name="ExternalData_841" vbProcedure="false">'-'!#ref!</definedName>
    <definedName function="false" hidden="false" localSheetId="6" name="ExternalData_842" vbProcedure="false">'-'!#ref!</definedName>
    <definedName function="false" hidden="false" localSheetId="6" name="ExternalData_843" vbProcedure="false">'-'!#ref!</definedName>
    <definedName function="false" hidden="false" localSheetId="6" name="ExternalData_844" vbProcedure="false">'-'!#ref!</definedName>
    <definedName function="false" hidden="false" localSheetId="6" name="ExternalData_845" vbProcedure="false">'-'!#ref!</definedName>
    <definedName function="false" hidden="false" localSheetId="6" name="ExternalData_846" vbProcedure="false">'-'!#ref!</definedName>
    <definedName function="false" hidden="false" localSheetId="6" name="ExternalData_847" vbProcedure="false">'-'!#ref!</definedName>
    <definedName function="false" hidden="false" localSheetId="6" name="ExternalData_848" vbProcedure="false">'-'!#ref!</definedName>
    <definedName function="false" hidden="false" localSheetId="6" name="ExternalData_849" vbProcedure="false">'-'!#ref!</definedName>
    <definedName function="false" hidden="false" localSheetId="6" name="ExternalData_85" vbProcedure="false">'-'!#ref!</definedName>
    <definedName function="false" hidden="false" localSheetId="6" name="ExternalData_850" vbProcedure="false">'-'!#ref!</definedName>
    <definedName function="false" hidden="false" localSheetId="6" name="ExternalData_851" vbProcedure="false">'-'!#ref!</definedName>
    <definedName function="false" hidden="false" localSheetId="6" name="ExternalData_852" vbProcedure="false">'-'!#ref!</definedName>
    <definedName function="false" hidden="false" localSheetId="6" name="ExternalData_853" vbProcedure="false">'-'!#ref!</definedName>
    <definedName function="false" hidden="false" localSheetId="6" name="ExternalData_854" vbProcedure="false">'-'!#ref!</definedName>
    <definedName function="false" hidden="false" localSheetId="6" name="ExternalData_855" vbProcedure="false">'-'!#ref!</definedName>
    <definedName function="false" hidden="false" localSheetId="6" name="ExternalData_856" vbProcedure="false">'-'!#ref!</definedName>
    <definedName function="false" hidden="false" localSheetId="6" name="ExternalData_857" vbProcedure="false">'-'!#ref!</definedName>
    <definedName function="false" hidden="false" localSheetId="6" name="ExternalData_858" vbProcedure="false">'-'!#ref!</definedName>
    <definedName function="false" hidden="false" localSheetId="6" name="ExternalData_859" vbProcedure="false">'-'!#ref!</definedName>
    <definedName function="false" hidden="false" localSheetId="6" name="ExternalData_86" vbProcedure="false">'-'!#ref!</definedName>
    <definedName function="false" hidden="false" localSheetId="6" name="ExternalData_860" vbProcedure="false">'-'!#ref!</definedName>
    <definedName function="false" hidden="false" localSheetId="6" name="ExternalData_861" vbProcedure="false">'-'!#ref!</definedName>
    <definedName function="false" hidden="false" localSheetId="6" name="ExternalData_862" vbProcedure="false">'-'!#ref!</definedName>
    <definedName function="false" hidden="false" localSheetId="6" name="ExternalData_863" vbProcedure="false">'-'!#ref!</definedName>
    <definedName function="false" hidden="false" localSheetId="6" name="ExternalData_864" vbProcedure="false">'-'!#ref!</definedName>
    <definedName function="false" hidden="false" localSheetId="6" name="ExternalData_865" vbProcedure="false">'-'!#ref!</definedName>
    <definedName function="false" hidden="false" localSheetId="6" name="ExternalData_866" vbProcedure="false">'-'!#ref!</definedName>
    <definedName function="false" hidden="false" localSheetId="6" name="ExternalData_867" vbProcedure="false">'-'!#ref!</definedName>
    <definedName function="false" hidden="false" localSheetId="6" name="ExternalData_868" vbProcedure="false">'-'!#ref!</definedName>
    <definedName function="false" hidden="false" localSheetId="6" name="ExternalData_869" vbProcedure="false">'-'!#ref!</definedName>
    <definedName function="false" hidden="false" localSheetId="6" name="ExternalData_87" vbProcedure="false">'-'!#ref!</definedName>
    <definedName function="false" hidden="false" localSheetId="6" name="ExternalData_870" vbProcedure="false">'-'!#ref!</definedName>
    <definedName function="false" hidden="false" localSheetId="6" name="ExternalData_871" vbProcedure="false">'-'!#ref!</definedName>
    <definedName function="false" hidden="false" localSheetId="6" name="ExternalData_872" vbProcedure="false">'-'!#ref!</definedName>
    <definedName function="false" hidden="false" localSheetId="6" name="ExternalData_873" vbProcedure="false">'-'!#ref!</definedName>
    <definedName function="false" hidden="false" localSheetId="6" name="ExternalData_874" vbProcedure="false">'-'!#ref!</definedName>
    <definedName function="false" hidden="false" localSheetId="6" name="ExternalData_875" vbProcedure="false">'-'!#ref!</definedName>
    <definedName function="false" hidden="false" localSheetId="6" name="ExternalData_876" vbProcedure="false">'-'!#ref!</definedName>
    <definedName function="false" hidden="false" localSheetId="6" name="ExternalData_877" vbProcedure="false">'-'!#ref!</definedName>
    <definedName function="false" hidden="false" localSheetId="6" name="ExternalData_878" vbProcedure="false">'-'!#ref!</definedName>
    <definedName function="false" hidden="false" localSheetId="6" name="ExternalData_879" vbProcedure="false">'-'!#ref!</definedName>
    <definedName function="false" hidden="false" localSheetId="6" name="ExternalData_88" vbProcedure="false">'-'!#ref!</definedName>
    <definedName function="false" hidden="false" localSheetId="6" name="ExternalData_880" vbProcedure="false">'-'!#ref!</definedName>
    <definedName function="false" hidden="false" localSheetId="6" name="ExternalData_881" vbProcedure="false">'-'!#ref!</definedName>
    <definedName function="false" hidden="false" localSheetId="6" name="ExternalData_882" vbProcedure="false">'-'!#ref!</definedName>
    <definedName function="false" hidden="false" localSheetId="6" name="ExternalData_883" vbProcedure="false">'-'!#ref!</definedName>
    <definedName function="false" hidden="false" localSheetId="6" name="ExternalData_884" vbProcedure="false">'-'!#ref!</definedName>
    <definedName function="false" hidden="false" localSheetId="6" name="ExternalData_885" vbProcedure="false">'-'!#ref!</definedName>
    <definedName function="false" hidden="false" localSheetId="6" name="ExternalData_886" vbProcedure="false">'-'!#ref!</definedName>
    <definedName function="false" hidden="false" localSheetId="6" name="ExternalData_887" vbProcedure="false">'-'!#ref!</definedName>
    <definedName function="false" hidden="false" localSheetId="6" name="ExternalData_888" vbProcedure="false">'-'!#ref!</definedName>
    <definedName function="false" hidden="false" localSheetId="6" name="ExternalData_889" vbProcedure="false">'-'!#ref!</definedName>
    <definedName function="false" hidden="false" localSheetId="6" name="ExternalData_89" vbProcedure="false">'-'!#ref!</definedName>
    <definedName function="false" hidden="false" localSheetId="6" name="ExternalData_890" vbProcedure="false">'-'!#ref!</definedName>
    <definedName function="false" hidden="false" localSheetId="6" name="ExternalData_891" vbProcedure="false">'-'!#ref!</definedName>
    <definedName function="false" hidden="false" localSheetId="6" name="ExternalData_892" vbProcedure="false">'-'!#ref!</definedName>
    <definedName function="false" hidden="false" localSheetId="6" name="ExternalData_893" vbProcedure="false">'-'!#ref!</definedName>
    <definedName function="false" hidden="false" localSheetId="6" name="ExternalData_894" vbProcedure="false">'-'!#ref!</definedName>
    <definedName function="false" hidden="false" localSheetId="6" name="ExternalData_895" vbProcedure="false">'-'!#ref!</definedName>
    <definedName function="false" hidden="false" localSheetId="6" name="ExternalData_896" vbProcedure="false">'-'!#ref!</definedName>
    <definedName function="false" hidden="false" localSheetId="6" name="ExternalData_897" vbProcedure="false">'-'!#ref!</definedName>
    <definedName function="false" hidden="false" localSheetId="6" name="ExternalData_898" vbProcedure="false">'-'!#ref!</definedName>
    <definedName function="false" hidden="false" localSheetId="6" name="ExternalData_899" vbProcedure="false">'-'!#ref!</definedName>
    <definedName function="false" hidden="false" localSheetId="6" name="ExternalData_9" vbProcedure="false">'-'!#ref!</definedName>
    <definedName function="false" hidden="false" localSheetId="6" name="ExternalData_90" vbProcedure="false">'-'!#ref!</definedName>
    <definedName function="false" hidden="false" localSheetId="6" name="ExternalData_900" vbProcedure="false">'-'!#ref!</definedName>
    <definedName function="false" hidden="false" localSheetId="6" name="ExternalData_901" vbProcedure="false">'-'!#ref!</definedName>
    <definedName function="false" hidden="false" localSheetId="6" name="ExternalData_902" vbProcedure="false">'-'!#ref!</definedName>
    <definedName function="false" hidden="false" localSheetId="6" name="ExternalData_903" vbProcedure="false">'-'!#ref!</definedName>
    <definedName function="false" hidden="false" localSheetId="6" name="ExternalData_904" vbProcedure="false">'-'!#ref!</definedName>
    <definedName function="false" hidden="false" localSheetId="6" name="ExternalData_905" vbProcedure="false">'-'!#ref!</definedName>
    <definedName function="false" hidden="false" localSheetId="6" name="ExternalData_906" vbProcedure="false">'-'!#ref!</definedName>
    <definedName function="false" hidden="false" localSheetId="6" name="ExternalData_907" vbProcedure="false">'-'!#ref!</definedName>
    <definedName function="false" hidden="false" localSheetId="6" name="ExternalData_908" vbProcedure="false">'-'!#ref!</definedName>
    <definedName function="false" hidden="false" localSheetId="6" name="ExternalData_909" vbProcedure="false">'-'!#ref!</definedName>
    <definedName function="false" hidden="false" localSheetId="6" name="ExternalData_91" vbProcedure="false">'-'!#ref!</definedName>
    <definedName function="false" hidden="false" localSheetId="6" name="ExternalData_910" vbProcedure="false">'-'!#ref!</definedName>
    <definedName function="false" hidden="false" localSheetId="6" name="ExternalData_911" vbProcedure="false">'-'!#ref!</definedName>
    <definedName function="false" hidden="false" localSheetId="6" name="ExternalData_912" vbProcedure="false">'-'!#ref!</definedName>
    <definedName function="false" hidden="false" localSheetId="6" name="ExternalData_913" vbProcedure="false">'-'!#ref!</definedName>
    <definedName function="false" hidden="false" localSheetId="6" name="ExternalData_914" vbProcedure="false">'-'!#ref!</definedName>
    <definedName function="false" hidden="false" localSheetId="6" name="ExternalData_915" vbProcedure="false">'-'!#ref!</definedName>
    <definedName function="false" hidden="false" localSheetId="6" name="ExternalData_916" vbProcedure="false">'-'!#ref!</definedName>
    <definedName function="false" hidden="false" localSheetId="6" name="ExternalData_917" vbProcedure="false">'-'!#ref!</definedName>
    <definedName function="false" hidden="false" localSheetId="6" name="ExternalData_918" vbProcedure="false">'-'!#ref!</definedName>
    <definedName function="false" hidden="false" localSheetId="6" name="ExternalData_919" vbProcedure="false">'-'!#ref!</definedName>
    <definedName function="false" hidden="false" localSheetId="6" name="ExternalData_92" vbProcedure="false">'-'!#ref!</definedName>
    <definedName function="false" hidden="false" localSheetId="6" name="ExternalData_920" vbProcedure="false">'-'!#ref!</definedName>
    <definedName function="false" hidden="false" localSheetId="6" name="ExternalData_921" vbProcedure="false">'-'!#ref!</definedName>
    <definedName function="false" hidden="false" localSheetId="6" name="ExternalData_922" vbProcedure="false">'-'!#ref!</definedName>
    <definedName function="false" hidden="false" localSheetId="6" name="ExternalData_923" vbProcedure="false">'-'!#ref!</definedName>
    <definedName function="false" hidden="false" localSheetId="6" name="ExternalData_924" vbProcedure="false">'-'!#ref!</definedName>
    <definedName function="false" hidden="false" localSheetId="6" name="ExternalData_925" vbProcedure="false">'-'!#ref!</definedName>
    <definedName function="false" hidden="false" localSheetId="6" name="ExternalData_926" vbProcedure="false">'-'!#ref!</definedName>
    <definedName function="false" hidden="false" localSheetId="6" name="ExternalData_927" vbProcedure="false">'-'!#ref!</definedName>
    <definedName function="false" hidden="false" localSheetId="6" name="ExternalData_928" vbProcedure="false">'-'!#ref!</definedName>
    <definedName function="false" hidden="false" localSheetId="6" name="ExternalData_929" vbProcedure="false">'-'!#ref!</definedName>
    <definedName function="false" hidden="false" localSheetId="6" name="ExternalData_93" vbProcedure="false">'-'!#ref!</definedName>
    <definedName function="false" hidden="false" localSheetId="6" name="ExternalData_930" vbProcedure="false">'-'!#ref!</definedName>
    <definedName function="false" hidden="false" localSheetId="6" name="ExternalData_931" vbProcedure="false">'-'!#ref!</definedName>
    <definedName function="false" hidden="false" localSheetId="6" name="ExternalData_932" vbProcedure="false">'-'!#ref!</definedName>
    <definedName function="false" hidden="false" localSheetId="6" name="ExternalData_933" vbProcedure="false">'-'!#ref!</definedName>
    <definedName function="false" hidden="false" localSheetId="6" name="ExternalData_934" vbProcedure="false">'-'!#ref!</definedName>
    <definedName function="false" hidden="false" localSheetId="6" name="ExternalData_935" vbProcedure="false">'-'!#ref!</definedName>
    <definedName function="false" hidden="false" localSheetId="6" name="ExternalData_936" vbProcedure="false">'-'!#ref!</definedName>
    <definedName function="false" hidden="false" localSheetId="6" name="ExternalData_937" vbProcedure="false">'-'!#ref!</definedName>
    <definedName function="false" hidden="false" localSheetId="6" name="ExternalData_938" vbProcedure="false">'-'!#ref!</definedName>
    <definedName function="false" hidden="false" localSheetId="6" name="ExternalData_939" vbProcedure="false">'-'!#ref!</definedName>
    <definedName function="false" hidden="false" localSheetId="6" name="ExternalData_94" vbProcedure="false">'-'!#ref!</definedName>
    <definedName function="false" hidden="false" localSheetId="6" name="ExternalData_940" vbProcedure="false">'-'!#ref!</definedName>
    <definedName function="false" hidden="false" localSheetId="6" name="ExternalData_941" vbProcedure="false">'-'!#ref!</definedName>
    <definedName function="false" hidden="false" localSheetId="6" name="ExternalData_942" vbProcedure="false">'-'!#ref!</definedName>
    <definedName function="false" hidden="false" localSheetId="6" name="ExternalData_943" vbProcedure="false">'-'!#ref!</definedName>
    <definedName function="false" hidden="false" localSheetId="6" name="ExternalData_944" vbProcedure="false">'-'!#ref!</definedName>
    <definedName function="false" hidden="false" localSheetId="6" name="ExternalData_945" vbProcedure="false">'-'!#ref!</definedName>
    <definedName function="false" hidden="false" localSheetId="6" name="ExternalData_946" vbProcedure="false">'-'!#ref!</definedName>
    <definedName function="false" hidden="false" localSheetId="6" name="ExternalData_947" vbProcedure="false">'-'!#ref!</definedName>
    <definedName function="false" hidden="false" localSheetId="6" name="ExternalData_948" vbProcedure="false">'-'!#ref!</definedName>
    <definedName function="false" hidden="false" localSheetId="6" name="ExternalData_949" vbProcedure="false">'-'!#ref!</definedName>
    <definedName function="false" hidden="false" localSheetId="6" name="ExternalData_95" vbProcedure="false">'-'!#ref!</definedName>
    <definedName function="false" hidden="false" localSheetId="6" name="ExternalData_950" vbProcedure="false">'-'!#ref!</definedName>
    <definedName function="false" hidden="false" localSheetId="6" name="ExternalData_951" vbProcedure="false">'-'!#ref!</definedName>
    <definedName function="false" hidden="false" localSheetId="6" name="ExternalData_952" vbProcedure="false">'-'!#ref!</definedName>
    <definedName function="false" hidden="false" localSheetId="6" name="ExternalData_953" vbProcedure="false">'-'!#ref!</definedName>
    <definedName function="false" hidden="false" localSheetId="6" name="ExternalData_954" vbProcedure="false">'-'!#ref!</definedName>
    <definedName function="false" hidden="false" localSheetId="6" name="ExternalData_955" vbProcedure="false">'-'!#ref!</definedName>
    <definedName function="false" hidden="false" localSheetId="6" name="ExternalData_956" vbProcedure="false">'-'!#ref!</definedName>
    <definedName function="false" hidden="false" localSheetId="6" name="ExternalData_957" vbProcedure="false">'-'!#ref!</definedName>
    <definedName function="false" hidden="false" localSheetId="6" name="ExternalData_958" vbProcedure="false">'-'!#ref!</definedName>
    <definedName function="false" hidden="false" localSheetId="6" name="ExternalData_959" vbProcedure="false">'-'!#ref!</definedName>
    <definedName function="false" hidden="false" localSheetId="6" name="ExternalData_96" vbProcedure="false">'-'!#ref!</definedName>
    <definedName function="false" hidden="false" localSheetId="6" name="ExternalData_960" vbProcedure="false">'-'!#ref!</definedName>
    <definedName function="false" hidden="false" localSheetId="6" name="ExternalData_961" vbProcedure="false">'-'!#ref!</definedName>
    <definedName function="false" hidden="false" localSheetId="6" name="ExternalData_962" vbProcedure="false">'-'!#ref!</definedName>
    <definedName function="false" hidden="false" localSheetId="6" name="ExternalData_963" vbProcedure="false">'-'!#ref!</definedName>
    <definedName function="false" hidden="false" localSheetId="6" name="ExternalData_964" vbProcedure="false">'-'!#ref!</definedName>
    <definedName function="false" hidden="false" localSheetId="6" name="ExternalData_965" vbProcedure="false">'-'!#ref!</definedName>
    <definedName function="false" hidden="false" localSheetId="6" name="ExternalData_966" vbProcedure="false">'-'!#ref!</definedName>
    <definedName function="false" hidden="false" localSheetId="6" name="ExternalData_967" vbProcedure="false">'-'!#ref!</definedName>
    <definedName function="false" hidden="false" localSheetId="6" name="ExternalData_968" vbProcedure="false">'-'!#ref!</definedName>
    <definedName function="false" hidden="false" localSheetId="6" name="ExternalData_969" vbProcedure="false">'-'!#ref!</definedName>
    <definedName function="false" hidden="false" localSheetId="6" name="ExternalData_97" vbProcedure="false">'-'!#ref!</definedName>
    <definedName function="false" hidden="false" localSheetId="6" name="ExternalData_970" vbProcedure="false">'-'!#ref!</definedName>
    <definedName function="false" hidden="false" localSheetId="6" name="ExternalData_971" vbProcedure="false">'-'!#ref!</definedName>
    <definedName function="false" hidden="false" localSheetId="6" name="ExternalData_972" vbProcedure="false">'-'!#ref!</definedName>
    <definedName function="false" hidden="false" localSheetId="6" name="ExternalData_973" vbProcedure="false">'-'!#ref!</definedName>
    <definedName function="false" hidden="false" localSheetId="6" name="ExternalData_974" vbProcedure="false">'-'!#ref!</definedName>
    <definedName function="false" hidden="false" localSheetId="6" name="ExternalData_975" vbProcedure="false">'-'!#ref!</definedName>
    <definedName function="false" hidden="false" localSheetId="6" name="ExternalData_976" vbProcedure="false">'-'!#ref!</definedName>
    <definedName function="false" hidden="false" localSheetId="6" name="ExternalData_977" vbProcedure="false">'-'!#ref!</definedName>
    <definedName function="false" hidden="false" localSheetId="6" name="ExternalData_978" vbProcedure="false">'-'!#ref!</definedName>
    <definedName function="false" hidden="false" localSheetId="6" name="ExternalData_979" vbProcedure="false">'-'!#ref!</definedName>
    <definedName function="false" hidden="false" localSheetId="6" name="ExternalData_98" vbProcedure="false">'-'!#ref!</definedName>
    <definedName function="false" hidden="false" localSheetId="6" name="ExternalData_980" vbProcedure="false">'-'!#ref!</definedName>
    <definedName function="false" hidden="false" localSheetId="6" name="ExternalData_981" vbProcedure="false">'-'!#ref!</definedName>
    <definedName function="false" hidden="false" localSheetId="6" name="ExternalData_982" vbProcedure="false">'-'!#ref!</definedName>
    <definedName function="false" hidden="false" localSheetId="6" name="ExternalData_983" vbProcedure="false">'-'!#ref!</definedName>
    <definedName function="false" hidden="false" localSheetId="6" name="ExternalData_984" vbProcedure="false">'-'!#ref!</definedName>
    <definedName function="false" hidden="false" localSheetId="6" name="ExternalData_985" vbProcedure="false">'-'!#ref!</definedName>
    <definedName function="false" hidden="false" localSheetId="6" name="ExternalData_986" vbProcedure="false">'-'!#ref!</definedName>
    <definedName function="false" hidden="false" localSheetId="6" name="ExternalData_987" vbProcedure="false">'-'!#ref!</definedName>
    <definedName function="false" hidden="false" localSheetId="6" name="ExternalData_988" vbProcedure="false">'-'!#ref!</definedName>
    <definedName function="false" hidden="false" localSheetId="6" name="ExternalData_989" vbProcedure="false">'-'!#ref!</definedName>
    <definedName function="false" hidden="false" localSheetId="6" name="ExternalData_99" vbProcedure="false">'-'!#ref!</definedName>
    <definedName function="false" hidden="false" localSheetId="6" name="ExternalData_990" vbProcedure="false">'-'!#ref!</definedName>
    <definedName function="false" hidden="false" localSheetId="6" name="ExternalData_991" vbProcedure="false">'-'!#ref!</definedName>
    <definedName function="false" hidden="false" localSheetId="6" name="ExternalData_992" vbProcedure="false">'-'!#ref!</definedName>
    <definedName function="false" hidden="false" localSheetId="6" name="ExternalData_993" vbProcedure="false">'-'!#ref!</definedName>
    <definedName function="false" hidden="false" localSheetId="6" name="ExternalData_994" vbProcedure="false">'-'!#ref!</definedName>
    <definedName function="false" hidden="false" localSheetId="6" name="ExternalData_995" vbProcedure="false">'-'!#ref!</definedName>
    <definedName function="false" hidden="false" localSheetId="6" name="ExternalData_996" vbProcedure="false">'-'!#ref!</definedName>
    <definedName function="false" hidden="false" localSheetId="6" name="ExternalData_997" vbProcedure="false">'-'!#ref!</definedName>
    <definedName function="false" hidden="false" localSheetId="6" name="ExternalData_998" vbProcedure="false">'-'!#ref!</definedName>
    <definedName function="false" hidden="false" localSheetId="6" name="ExternalData_999" vbProcedure="false">'-'!#ref!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<sst xmlns="http://schemas.openxmlformats.org/spreadsheetml/2006/main" count="4175" uniqueCount="911">
  <si>
    <t xml:space="preserve">GeoSPhere</t>
  </si>
  <si>
    <t xml:space="preserve">Form 13F Guided File Preparation</t>
  </si>
  <si>
    <t xml:space="preserve">SEC 13F Data Table Import Procedure</t>
  </si>
  <si>
    <t xml:space="preserve">IMPORTANT INFORMATION - 13F Data Table</t>
  </si>
  <si>
    <t xml:space="preserve">Double click the field below to select the appropriate 13F Table. Click apply to import it into this workbook.</t>
  </si>
  <si>
    <t xml:space="preserve">Only a Titan Regulation &amp; Advisory 13F Table and an EOD Data Price List are Guaranteed to Work Properly! Use other data sources at your own risk.</t>
  </si>
  <si>
    <t xml:space="preserve">Step 1:</t>
  </si>
  <si>
    <t xml:space="preserve">Double click the field below to select the EOD Data Pricing file. Click apply to import it into this workbook.</t>
  </si>
  <si>
    <t xml:space="preserve">Step 2:</t>
  </si>
  <si>
    <r>
      <rPr>
        <b val="true"/>
        <sz val="11"/>
        <color rgb="FF000000"/>
        <rFont val="Calibri"/>
        <family val="2"/>
        <charset val="1"/>
      </rPr>
      <t xml:space="preserve">NOTE</t>
    </r>
    <r>
      <rPr>
        <sz val="11"/>
        <color rgb="FF000000"/>
        <rFont val="Calibri"/>
        <family val="2"/>
        <charset val="1"/>
      </rPr>
      <t xml:space="preserve">: IF YOU SEE ANY WINDOWS THAT LOOK LIKE THIS--------------------------------------&gt;</t>
    </r>
  </si>
  <si>
    <t xml:space="preserve">Double click the field below to select the Client Data file. Click apply to import it into this workbook.</t>
  </si>
  <si>
    <t xml:space="preserve">CLICK "END"--------------------------------------------------------</t>
  </si>
  <si>
    <t xml:space="preserve">----------^</t>
  </si>
  <si>
    <t xml:space="preserve">Step 3:</t>
  </si>
  <si>
    <t xml:space="preserve">if you don't click end…things are going to break.</t>
  </si>
  <si>
    <t xml:space="preserve">NOTE: Make sure the CLIENT DATA table is RECTANGULAR IN SHAPE.</t>
  </si>
  <si>
    <t xml:space="preserve">Working Sheet Creation Procedure and Tools</t>
  </si>
  <si>
    <t xml:space="preserve">IMPORTANT INFORMATION - Client Data Table</t>
  </si>
  <si>
    <t xml:space="preserve">IMPORTANT: WHEN PROMPTED, ONLY CLICK THE FIRST VALUE UNDER THE COLUMN HEADER, IF ANY. 
IF THE REQUESTED DATA DOES NOT EXIST, CLICK A BLANK COLUMN IN THE SAME ROW AS YOUR CUSIPS.</t>
  </si>
  <si>
    <r>
      <rPr>
        <sz val="11"/>
        <color rgb="FF000000"/>
        <rFont val="Calibri"/>
        <family val="2"/>
        <charset val="1"/>
      </rPr>
      <t xml:space="preserve"> •  Remove short positions and aggregate positions prior to import.
 •  Only the first sheet in a workbook will be imported. Others are ignored.
 •  Make sure you know whether the client's options quantities are calculated by 
     number of contracts or number of underlying shares (contracts x 100).
 •  If the client supplies </t>
    </r>
    <r>
      <rPr>
        <b val="true"/>
        <sz val="11"/>
        <color rgb="FF000000"/>
        <rFont val="Calibri"/>
        <family val="2"/>
        <charset val="1"/>
      </rPr>
      <t xml:space="preserve">TICKERS</t>
    </r>
    <r>
      <rPr>
        <sz val="11"/>
        <color rgb="FF000000"/>
        <rFont val="Calibri"/>
        <family val="2"/>
        <charset val="1"/>
      </rPr>
      <t xml:space="preserve">, this sheet will look up their </t>
    </r>
    <r>
      <rPr>
        <b val="true"/>
        <sz val="11"/>
        <color rgb="FF000000"/>
        <rFont val="Calibri"/>
        <family val="2"/>
        <charset val="1"/>
      </rPr>
      <t xml:space="preserve">CUSIP</t>
    </r>
    <r>
      <rPr>
        <sz val="11"/>
        <color rgb="FF000000"/>
        <rFont val="Calibri"/>
        <family val="2"/>
        <charset val="1"/>
      </rPr>
      <t xml:space="preserve">s.
 •  If the client supplies </t>
    </r>
    <r>
      <rPr>
        <b val="true"/>
        <sz val="11"/>
        <color rgb="FF000000"/>
        <rFont val="Calibri"/>
        <family val="2"/>
        <charset val="1"/>
      </rPr>
      <t xml:space="preserve">CUSIPS</t>
    </r>
    <r>
      <rPr>
        <sz val="11"/>
        <color rgb="FF000000"/>
        <rFont val="Calibri"/>
        <family val="2"/>
        <charset val="1"/>
      </rPr>
      <t xml:space="preserve">, this sheet will look up their </t>
    </r>
    <r>
      <rPr>
        <b val="true"/>
        <sz val="11"/>
        <color rgb="FF000000"/>
        <rFont val="Calibri"/>
        <family val="2"/>
        <charset val="1"/>
      </rPr>
      <t xml:space="preserve">TICKER</t>
    </r>
    <r>
      <rPr>
        <sz val="11"/>
        <color rgb="FF000000"/>
        <rFont val="Calibri"/>
        <family val="2"/>
        <charset val="1"/>
      </rPr>
      <t xml:space="preserve">s.</t>
    </r>
  </si>
  <si>
    <t xml:space="preserve">Step 5:</t>
  </si>
  <si>
    <r>
      <rPr>
        <sz val="11"/>
        <color rgb="FF000000"/>
        <rFont val="Calibri"/>
        <family val="2"/>
        <charset val="1"/>
      </rPr>
      <t xml:space="preserve">If the Client Data table provides </t>
    </r>
    <r>
      <rPr>
        <b val="true"/>
        <sz val="11"/>
        <color rgb="FF000000"/>
        <rFont val="Calibri"/>
        <family val="2"/>
        <charset val="1"/>
      </rPr>
      <t xml:space="preserve">CUSIPs</t>
    </r>
    <r>
      <rPr>
        <sz val="11"/>
        <color rgb="FF000000"/>
        <rFont val="Calibri"/>
        <family val="2"/>
        <charset val="1"/>
      </rPr>
      <t xml:space="preserve">,  click the </t>
    </r>
    <r>
      <rPr>
        <b val="true"/>
        <sz val="11"/>
        <color rgb="FF000000"/>
        <rFont val="Calibri"/>
        <family val="2"/>
        <charset val="1"/>
      </rPr>
      <t xml:space="preserve">CUSIPs</t>
    </r>
    <r>
      <rPr>
        <sz val="11"/>
        <color rgb="FF000000"/>
        <rFont val="Calibri"/>
        <family val="2"/>
        <charset val="1"/>
      </rPr>
      <t xml:space="preserve"> button to start.</t>
    </r>
  </si>
  <si>
    <r>
      <rPr>
        <sz val="11"/>
        <color rgb="FF000000"/>
        <rFont val="Calibri"/>
        <family val="2"/>
        <charset val="1"/>
      </rPr>
      <t xml:space="preserve">If the Client Data table has </t>
    </r>
    <r>
      <rPr>
        <b val="true"/>
        <sz val="11"/>
        <color rgb="FF000000"/>
        <rFont val="Calibri"/>
        <family val="2"/>
        <charset val="1"/>
      </rPr>
      <t xml:space="preserve">TICKERS</t>
    </r>
    <r>
      <rPr>
        <sz val="11"/>
        <color rgb="FF000000"/>
        <rFont val="Calibri"/>
        <family val="2"/>
        <charset val="1"/>
      </rPr>
      <t xml:space="preserve">, but no CUSIPs,  click the </t>
    </r>
    <r>
      <rPr>
        <b val="true"/>
        <sz val="11"/>
        <color rgb="FF000000"/>
        <rFont val="Calibri"/>
        <family val="2"/>
        <charset val="1"/>
      </rPr>
      <t xml:space="preserve">TICKERs</t>
    </r>
    <r>
      <rPr>
        <sz val="11"/>
        <color rgb="FF000000"/>
        <rFont val="Calibri"/>
        <family val="2"/>
        <charset val="1"/>
      </rPr>
      <t xml:space="preserve"> button to start.</t>
    </r>
  </si>
  <si>
    <t xml:space="preserve">Step 6:</t>
  </si>
  <si>
    <t xml:space="preserve">Complete any missing data on the Working Sheet.</t>
  </si>
  <si>
    <t xml:space="preserve">Step 7:</t>
  </si>
  <si>
    <t xml:space="preserve">The workbook will highlight potential errors. Reconcile, adjust, review data until no colored cells remain.</t>
  </si>
  <si>
    <t xml:space="preserve">Create 13F Table for Filing</t>
  </si>
  <si>
    <t xml:space="preserve">IMPORTANT INFORMATION - Output</t>
  </si>
  <si>
    <t xml:space="preserve">Where possible, data exported to the Output sheet are sourced from the SEC list, namely the CUSIPs, issuer names, and share class information.</t>
  </si>
  <si>
    <t xml:space="preserve">Step 8:</t>
  </si>
  <si>
    <t xml:space="preserve">Click the "Generate" button to create the 13F table ready for filing.</t>
  </si>
  <si>
    <t xml:space="preserve">Step 9:</t>
  </si>
  <si>
    <t xml:space="preserve">Click the "Export" button to export the output sheet into its own workbook.</t>
  </si>
  <si>
    <t xml:space="preserve">=SUBSTITUTE($A1,"","")</t>
  </si>
  <si>
    <t xml:space="preserve">ListedOption</t>
  </si>
  <si>
    <t xml:space="preserve">Issuer</t>
  </si>
  <si>
    <t xml:space="preserve">Class</t>
  </si>
  <si>
    <t xml:space="preserve">Status</t>
  </si>
  <si>
    <t xml:space="preserve">Instrument Type</t>
  </si>
  <si>
    <t xml:space="preserve">Underlying CUSIP</t>
  </si>
  <si>
    <t xml:space="preserve">Option Type</t>
  </si>
  <si>
    <t xml:space="preserve">Sum of ADJ $ NMV</t>
  </si>
  <si>
    <t xml:space="preserve">Sum of Nominal Quantity</t>
  </si>
  <si>
    <t xml:space="preserve">PUT/CALL</t>
  </si>
  <si>
    <t xml:space="preserve">3M Co</t>
  </si>
  <si>
    <t xml:space="preserve">Equity</t>
  </si>
  <si>
    <t xml:space="preserve">88579Y101</t>
  </si>
  <si>
    <t xml:space="preserve">(blank)</t>
  </si>
  <si>
    <t xml:space="preserve">Listed Option</t>
  </si>
  <si>
    <t xml:space="preserve">Put</t>
  </si>
  <si>
    <t xml:space="preserve">Abbott Laboratories</t>
  </si>
  <si>
    <t xml:space="preserve">002824100</t>
  </si>
  <si>
    <t xml:space="preserve">Call</t>
  </si>
  <si>
    <t xml:space="preserve">Abbvie Inc</t>
  </si>
  <si>
    <t xml:space="preserve">00287Y109</t>
  </si>
  <si>
    <t xml:space="preserve">Academy Sports and Outdoors Inc</t>
  </si>
  <si>
    <t xml:space="preserve">00402L107</t>
  </si>
  <si>
    <t xml:space="preserve">Accenture PLC</t>
  </si>
  <si>
    <t xml:space="preserve">00B4BNMY3</t>
  </si>
  <si>
    <t xml:space="preserve">ACCO Brands Corp</t>
  </si>
  <si>
    <t xml:space="preserve">00081T108</t>
  </si>
  <si>
    <t xml:space="preserve">Adobe Inc</t>
  </si>
  <si>
    <t xml:space="preserve">00724F101</t>
  </si>
  <si>
    <t xml:space="preserve">Advance Auto Parts Inc</t>
  </si>
  <si>
    <t xml:space="preserve">00751Y106</t>
  </si>
  <si>
    <t xml:space="preserve">Advanced Energy Industries Inc</t>
  </si>
  <si>
    <t xml:space="preserve">Bond</t>
  </si>
  <si>
    <t xml:space="preserve">007973AD2</t>
  </si>
  <si>
    <t xml:space="preserve">007973100</t>
  </si>
  <si>
    <t xml:space="preserve">Advanced Micro Devices Inc</t>
  </si>
  <si>
    <t xml:space="preserve">007903107</t>
  </si>
  <si>
    <t xml:space="preserve">AES Corp</t>
  </si>
  <si>
    <t xml:space="preserve">00130H105</t>
  </si>
  <si>
    <t xml:space="preserve">Agenus Inc</t>
  </si>
  <si>
    <t xml:space="preserve">00847G705</t>
  </si>
  <si>
    <t xml:space="preserve">Air Transport Services Group Inc</t>
  </si>
  <si>
    <t xml:space="preserve">00922R105</t>
  </si>
  <si>
    <t xml:space="preserve">Airbnb Inc</t>
  </si>
  <si>
    <t xml:space="preserve">009066AB7</t>
  </si>
  <si>
    <t xml:space="preserve">009066101</t>
  </si>
  <si>
    <t xml:space="preserve">Alarm.com Holdings Inc</t>
  </si>
  <si>
    <t xml:space="preserve">011642AB1</t>
  </si>
  <si>
    <t xml:space="preserve">Albemarle Corp</t>
  </si>
  <si>
    <t xml:space="preserve">012653101</t>
  </si>
  <si>
    <t xml:space="preserve">Albertsons Companies Inc</t>
  </si>
  <si>
    <t xml:space="preserve">013091103</t>
  </si>
  <si>
    <t xml:space="preserve">Alnylam Pharmaceuticals Inc</t>
  </si>
  <si>
    <t xml:space="preserve">02043QAB3</t>
  </si>
  <si>
    <t xml:space="preserve">Alphabet Inc</t>
  </si>
  <si>
    <t xml:space="preserve">02079K107</t>
  </si>
  <si>
    <t xml:space="preserve">02079K305</t>
  </si>
  <si>
    <t xml:space="preserve">Alphatec Holdings Inc</t>
  </si>
  <si>
    <t xml:space="preserve">02081GAB8</t>
  </si>
  <si>
    <t xml:space="preserve">Altair Engineering Inc</t>
  </si>
  <si>
    <t xml:space="preserve">021369AC7</t>
  </si>
  <si>
    <t xml:space="preserve">AltC Acquisition Corp</t>
  </si>
  <si>
    <t xml:space="preserve">02156V109</t>
  </si>
  <si>
    <t xml:space="preserve">Altice USA Inc</t>
  </si>
  <si>
    <t xml:space="preserve">02156K103</t>
  </si>
  <si>
    <t xml:space="preserve">Amazon.com Inc</t>
  </si>
  <si>
    <t xml:space="preserve">023135106</t>
  </si>
  <si>
    <t xml:space="preserve">AMC Networks Inc</t>
  </si>
  <si>
    <t xml:space="preserve">00164V103</t>
  </si>
  <si>
    <t xml:space="preserve">American Airlines Group Inc</t>
  </si>
  <si>
    <t xml:space="preserve">02376R102</t>
  </si>
  <si>
    <t xml:space="preserve">American Axle &amp; Manufacturing Holdings Inc</t>
  </si>
  <si>
    <t xml:space="preserve">024061103</t>
  </si>
  <si>
    <t xml:space="preserve">American Electric Power Company Inc</t>
  </si>
  <si>
    <t xml:space="preserve">025537101</t>
  </si>
  <si>
    <t xml:space="preserve">American Express Co</t>
  </si>
  <si>
    <t xml:space="preserve">025816109</t>
  </si>
  <si>
    <t xml:space="preserve">American Tower Corp</t>
  </si>
  <si>
    <t xml:space="preserve">03027X100</t>
  </si>
  <si>
    <t xml:space="preserve">Amgen Inc</t>
  </si>
  <si>
    <t xml:space="preserve">031162100</t>
  </si>
  <si>
    <t xml:space="preserve">Amkor Technology Inc</t>
  </si>
  <si>
    <t xml:space="preserve">031652100</t>
  </si>
  <si>
    <t xml:space="preserve">Amphastar Pharmaceuticals Inc</t>
  </si>
  <si>
    <t xml:space="preserve">03209RAA1</t>
  </si>
  <si>
    <t xml:space="preserve">Amplitude Inc</t>
  </si>
  <si>
    <t xml:space="preserve">03213A104</t>
  </si>
  <si>
    <t xml:space="preserve">Analog Devices Inc</t>
  </si>
  <si>
    <t xml:space="preserve">032654105</t>
  </si>
  <si>
    <t xml:space="preserve">ANSYS Inc</t>
  </si>
  <si>
    <t xml:space="preserve">03662Q105</t>
  </si>
  <si>
    <t xml:space="preserve">Antero Resources Corp</t>
  </si>
  <si>
    <t xml:space="preserve">03674X106</t>
  </si>
  <si>
    <t xml:space="preserve">Anywhere Real Estate Inc</t>
  </si>
  <si>
    <t xml:space="preserve">75605Y106</t>
  </si>
  <si>
    <t xml:space="preserve">APA Corp (US)</t>
  </si>
  <si>
    <t xml:space="preserve">03743Q108</t>
  </si>
  <si>
    <t xml:space="preserve">Apollo Global Management Inc</t>
  </si>
  <si>
    <t xml:space="preserve">03769M106</t>
  </si>
  <si>
    <t xml:space="preserve">Apple Inc</t>
  </si>
  <si>
    <t xml:space="preserve">037833100</t>
  </si>
  <si>
    <t xml:space="preserve">Applied Materials Inc</t>
  </si>
  <si>
    <t xml:space="preserve">038222105</t>
  </si>
  <si>
    <t xml:space="preserve">Aptiv PLC</t>
  </si>
  <si>
    <t xml:space="preserve">00B783TY6</t>
  </si>
  <si>
    <t xml:space="preserve">Arch Resources Inc</t>
  </si>
  <si>
    <t xml:space="preserve">03940R107</t>
  </si>
  <si>
    <t xml:space="preserve">Array Technologies Inc</t>
  </si>
  <si>
    <t xml:space="preserve">04271TAB6</t>
  </si>
  <si>
    <t xml:space="preserve">Artivion Inc</t>
  </si>
  <si>
    <t xml:space="preserve">228903AB6</t>
  </si>
  <si>
    <t xml:space="preserve">Ascendis Pharma A/S</t>
  </si>
  <si>
    <t xml:space="preserve">04351PAD3</t>
  </si>
  <si>
    <t xml:space="preserve">ASML Holding NV</t>
  </si>
  <si>
    <t xml:space="preserve">N07059210</t>
  </si>
  <si>
    <t xml:space="preserve">AstraZeneca PLC</t>
  </si>
  <si>
    <t xml:space="preserve">046353108</t>
  </si>
  <si>
    <t xml:space="preserve">AT&amp;T Inc</t>
  </si>
  <si>
    <t xml:space="preserve">00206R102</t>
  </si>
  <si>
    <t xml:space="preserve">Autodesk Inc</t>
  </si>
  <si>
    <t xml:space="preserve">052769106</t>
  </si>
  <si>
    <t xml:space="preserve">Automatic Data Processing Inc</t>
  </si>
  <si>
    <t xml:space="preserve">053015103</t>
  </si>
  <si>
    <t xml:space="preserve">Autozone Inc</t>
  </si>
  <si>
    <t xml:space="preserve">053332102</t>
  </si>
  <si>
    <t xml:space="preserve">Avantor Inc</t>
  </si>
  <si>
    <t xml:space="preserve">05352A100</t>
  </si>
  <si>
    <t xml:space="preserve">B&amp;G Foods Inc</t>
  </si>
  <si>
    <t xml:space="preserve">05508R106</t>
  </si>
  <si>
    <t xml:space="preserve">Baker Hughes Co</t>
  </si>
  <si>
    <t xml:space="preserve">05722G100</t>
  </si>
  <si>
    <t xml:space="preserve">Bally's Corp</t>
  </si>
  <si>
    <t xml:space="preserve">05875B106</t>
  </si>
  <si>
    <t xml:space="preserve">Bank of America Corp</t>
  </si>
  <si>
    <t xml:space="preserve">060505104</t>
  </si>
  <si>
    <t xml:space="preserve">Bausch Health Companies Inc</t>
  </si>
  <si>
    <t xml:space="preserve">071734107</t>
  </si>
  <si>
    <t xml:space="preserve">Bellring Brands Inc</t>
  </si>
  <si>
    <t xml:space="preserve">07831C103</t>
  </si>
  <si>
    <t xml:space="preserve">Bentley Systems Inc</t>
  </si>
  <si>
    <t xml:space="preserve">08265TAD1</t>
  </si>
  <si>
    <t xml:space="preserve">Berkshire Hathaway Inc</t>
  </si>
  <si>
    <t xml:space="preserve">084670702</t>
  </si>
  <si>
    <t xml:space="preserve">Best Buy Co Inc</t>
  </si>
  <si>
    <t xml:space="preserve">086516101</t>
  </si>
  <si>
    <t xml:space="preserve">BILL Holdings Inc</t>
  </si>
  <si>
    <t xml:space="preserve">090043100</t>
  </si>
  <si>
    <t xml:space="preserve">Biomarin Pharmaceutical Inc</t>
  </si>
  <si>
    <t xml:space="preserve">09061G101</t>
  </si>
  <si>
    <t xml:space="preserve">Blackline Inc</t>
  </si>
  <si>
    <t xml:space="preserve">09239BAD1</t>
  </si>
  <si>
    <t xml:space="preserve">09239B109</t>
  </si>
  <si>
    <t xml:space="preserve">BlackRock Inc</t>
  </si>
  <si>
    <t xml:space="preserve">09247X101</t>
  </si>
  <si>
    <t xml:space="preserve">Blackstone Inc</t>
  </si>
  <si>
    <t xml:space="preserve">09260D107</t>
  </si>
  <si>
    <t xml:space="preserve">Blueprint Medicines Corp</t>
  </si>
  <si>
    <t xml:space="preserve">09627Y109</t>
  </si>
  <si>
    <t xml:space="preserve">Boeing Co</t>
  </si>
  <si>
    <t xml:space="preserve">097023105</t>
  </si>
  <si>
    <t xml:space="preserve">Booking Holdings Inc</t>
  </si>
  <si>
    <t xml:space="preserve">09857L108</t>
  </si>
  <si>
    <t xml:space="preserve">Bread Financial Holdings Inc</t>
  </si>
  <si>
    <t xml:space="preserve">018581108</t>
  </si>
  <si>
    <t xml:space="preserve">Bristol-Myers Squibb Co</t>
  </si>
  <si>
    <t xml:space="preserve">110122108</t>
  </si>
  <si>
    <t xml:space="preserve">Broadcom Inc</t>
  </si>
  <si>
    <t xml:space="preserve">11135F101</t>
  </si>
  <si>
    <t xml:space="preserve">Builders FirstSource Inc</t>
  </si>
  <si>
    <t xml:space="preserve">12008R107</t>
  </si>
  <si>
    <t xml:space="preserve">Cadence Design Systems Inc</t>
  </si>
  <si>
    <t xml:space="preserve">127387108</t>
  </si>
  <si>
    <t xml:space="preserve">Caesars Entertainment Inc</t>
  </si>
  <si>
    <t xml:space="preserve">12769G100</t>
  </si>
  <si>
    <t xml:space="preserve">Callon Petroleum Co</t>
  </si>
  <si>
    <t xml:space="preserve">13123X508</t>
  </si>
  <si>
    <t xml:space="preserve">Capital One Financial Corp</t>
  </si>
  <si>
    <t xml:space="preserve">14040H105</t>
  </si>
  <si>
    <t xml:space="preserve">Capri Holdings Ltd</t>
  </si>
  <si>
    <t xml:space="preserve">G1890L107</t>
  </si>
  <si>
    <t xml:space="preserve">Carmax Inc</t>
  </si>
  <si>
    <t xml:space="preserve">143130102</t>
  </si>
  <si>
    <t xml:space="preserve">Carnival Corp</t>
  </si>
  <si>
    <t xml:space="preserve">143658300</t>
  </si>
  <si>
    <t xml:space="preserve">Carrier Global Corp</t>
  </si>
  <si>
    <t xml:space="preserve">14448C104</t>
  </si>
  <si>
    <t xml:space="preserve">Carvana Co</t>
  </si>
  <si>
    <t xml:space="preserve">146869102</t>
  </si>
  <si>
    <t xml:space="preserve">Caseys General Stores Inc</t>
  </si>
  <si>
    <t xml:space="preserve">147528103</t>
  </si>
  <si>
    <t xml:space="preserve">Catalent Inc</t>
  </si>
  <si>
    <t xml:space="preserve">148806102</t>
  </si>
  <si>
    <t xml:space="preserve">Caterpillar Inc</t>
  </si>
  <si>
    <t xml:space="preserve">149123101</t>
  </si>
  <si>
    <t xml:space="preserve">Celsius Holdings Inc</t>
  </si>
  <si>
    <t xml:space="preserve">15118V207</t>
  </si>
  <si>
    <t xml:space="preserve">Cenovus Energy Inc</t>
  </si>
  <si>
    <t xml:space="preserve">15135U109</t>
  </si>
  <si>
    <t xml:space="preserve">Century Aluminum Co</t>
  </si>
  <si>
    <t xml:space="preserve">156431AQ1</t>
  </si>
  <si>
    <t xml:space="preserve">Cerence Inc</t>
  </si>
  <si>
    <t xml:space="preserve">156727AC3</t>
  </si>
  <si>
    <t xml:space="preserve">Cerevel Therapeutics Holdings Inc</t>
  </si>
  <si>
    <t xml:space="preserve">15678UAA0</t>
  </si>
  <si>
    <t xml:space="preserve">Charles Schwab Corp</t>
  </si>
  <si>
    <t xml:space="preserve">808513105</t>
  </si>
  <si>
    <t xml:space="preserve">Chart Industries Inc</t>
  </si>
  <si>
    <t xml:space="preserve">16115Q308</t>
  </si>
  <si>
    <t xml:space="preserve">Chefs' Warehouse Inc</t>
  </si>
  <si>
    <t xml:space="preserve">163086AE1</t>
  </si>
  <si>
    <t xml:space="preserve">Chesapeake Energy Corp</t>
  </si>
  <si>
    <t xml:space="preserve">165167735</t>
  </si>
  <si>
    <t xml:space="preserve">Chevron Corp</t>
  </si>
  <si>
    <t xml:space="preserve">166764100</t>
  </si>
  <si>
    <t xml:space="preserve">Chipotle Mexican Grill Inc</t>
  </si>
  <si>
    <t xml:space="preserve">169656105</t>
  </si>
  <si>
    <t xml:space="preserve">Chord Energy Corp</t>
  </si>
  <si>
    <t xml:space="preserve">674215207</t>
  </si>
  <si>
    <t xml:space="preserve">Cigna Group</t>
  </si>
  <si>
    <t xml:space="preserve">125523100</t>
  </si>
  <si>
    <t xml:space="preserve">CIRQUE DU SOLEIL</t>
  </si>
  <si>
    <t xml:space="preserve">Warrant</t>
  </si>
  <si>
    <t xml:space="preserve">Cisco Systems Inc</t>
  </si>
  <si>
    <t xml:space="preserve">17275R102</t>
  </si>
  <si>
    <t xml:space="preserve">Citigroup Inc</t>
  </si>
  <si>
    <t xml:space="preserve">172967424</t>
  </si>
  <si>
    <t xml:space="preserve">Clear Channel Outdoor Holdings Inc</t>
  </si>
  <si>
    <t xml:space="preserve">18453H106</t>
  </si>
  <si>
    <t xml:space="preserve">Cloudflare Inc</t>
  </si>
  <si>
    <t xml:space="preserve">18915MAC1</t>
  </si>
  <si>
    <t xml:space="preserve">18915M107</t>
  </si>
  <si>
    <t xml:space="preserve">Coca-Cola Co</t>
  </si>
  <si>
    <t xml:space="preserve">191216100</t>
  </si>
  <si>
    <t xml:space="preserve">Comcast Corp</t>
  </si>
  <si>
    <t xml:space="preserve">20030N101</t>
  </si>
  <si>
    <t xml:space="preserve">Comstock Resources Inc</t>
  </si>
  <si>
    <t xml:space="preserve">205768302</t>
  </si>
  <si>
    <t xml:space="preserve">Conmed Corp</t>
  </si>
  <si>
    <t xml:space="preserve">207410AH4</t>
  </si>
  <si>
    <t xml:space="preserve">Conocophillips</t>
  </si>
  <si>
    <t xml:space="preserve">20825C104</t>
  </si>
  <si>
    <t xml:space="preserve">Costco Wholesale Corp</t>
  </si>
  <si>
    <t xml:space="preserve">22160K105</t>
  </si>
  <si>
    <t xml:space="preserve">Coterra Energy Inc</t>
  </si>
  <si>
    <t xml:space="preserve">127097103</t>
  </si>
  <si>
    <t xml:space="preserve">Couchbase Inc</t>
  </si>
  <si>
    <t xml:space="preserve">22207T101</t>
  </si>
  <si>
    <t xml:space="preserve">Crocs Inc</t>
  </si>
  <si>
    <t xml:space="preserve">227046109</t>
  </si>
  <si>
    <t xml:space="preserve">Crown Holdings Inc</t>
  </si>
  <si>
    <t xml:space="preserve">228368106</t>
  </si>
  <si>
    <t xml:space="preserve">CSG Systems International Inc</t>
  </si>
  <si>
    <t xml:space="preserve">126349AG4</t>
  </si>
  <si>
    <t xml:space="preserve">CSX Corp</t>
  </si>
  <si>
    <t xml:space="preserve">126408103</t>
  </si>
  <si>
    <t xml:space="preserve">Cushman &amp; Wakefield PLC</t>
  </si>
  <si>
    <t xml:space="preserve">00BFZ4N46</t>
  </si>
  <si>
    <t xml:space="preserve">Cutera Inc</t>
  </si>
  <si>
    <t xml:space="preserve">232109AG3</t>
  </si>
  <si>
    <t xml:space="preserve">CVS Health Corp</t>
  </si>
  <si>
    <t xml:space="preserve">126650100</t>
  </si>
  <si>
    <t xml:space="preserve">Cytokinetics Inc</t>
  </si>
  <si>
    <t xml:space="preserve">23282WAC4</t>
  </si>
  <si>
    <t xml:space="preserve">23282W605</t>
  </si>
  <si>
    <t xml:space="preserve">Danaher Corp</t>
  </si>
  <si>
    <t xml:space="preserve">235851102</t>
  </si>
  <si>
    <t xml:space="preserve">Darden Restaurants Inc</t>
  </si>
  <si>
    <t xml:space="preserve">237194105</t>
  </si>
  <si>
    <t xml:space="preserve">Dayforce Inc</t>
  </si>
  <si>
    <t xml:space="preserve">15677JAD0</t>
  </si>
  <si>
    <t xml:space="preserve">Deckers Outdoor Corp</t>
  </si>
  <si>
    <t xml:space="preserve">243537107</t>
  </si>
  <si>
    <t xml:space="preserve">Deere &amp; Co</t>
  </si>
  <si>
    <t xml:space="preserve">244199105</t>
  </si>
  <si>
    <t xml:space="preserve">Dell Technologies Inc</t>
  </si>
  <si>
    <t xml:space="preserve">24703L202</t>
  </si>
  <si>
    <t xml:space="preserve">Desktop Metal Inc</t>
  </si>
  <si>
    <t xml:space="preserve">25058XAC9</t>
  </si>
  <si>
    <t xml:space="preserve">25058X105</t>
  </si>
  <si>
    <t xml:space="preserve">Dexcom Inc</t>
  </si>
  <si>
    <t xml:space="preserve">252131107</t>
  </si>
  <si>
    <t xml:space="preserve">Domino's Pizza Inc</t>
  </si>
  <si>
    <t xml:space="preserve">25754A201</t>
  </si>
  <si>
    <t xml:space="preserve">DR Horton Inc</t>
  </si>
  <si>
    <t xml:space="preserve">23331A109</t>
  </si>
  <si>
    <t xml:space="preserve">Duke Energy Corp</t>
  </si>
  <si>
    <t xml:space="preserve">26441C204</t>
  </si>
  <si>
    <t xml:space="preserve">Dynavax Technologies Corp</t>
  </si>
  <si>
    <t xml:space="preserve">268158AD4</t>
  </si>
  <si>
    <t xml:space="preserve">Eaton Corporation PLC</t>
  </si>
  <si>
    <t xml:space="preserve">00B8KQN82</t>
  </si>
  <si>
    <t xml:space="preserve">eBay Inc</t>
  </si>
  <si>
    <t xml:space="preserve">278642103</t>
  </si>
  <si>
    <t xml:space="preserve">EchoStar Corp</t>
  </si>
  <si>
    <t xml:space="preserve">25470MAF6</t>
  </si>
  <si>
    <t xml:space="preserve">Elevance Health Inc</t>
  </si>
  <si>
    <t xml:space="preserve">036752103</t>
  </si>
  <si>
    <t xml:space="preserve">elf Beauty Inc</t>
  </si>
  <si>
    <t xml:space="preserve">26856L103</t>
  </si>
  <si>
    <t xml:space="preserve">Eli Lilly and Co</t>
  </si>
  <si>
    <t xml:space="preserve">532457108</t>
  </si>
  <si>
    <t xml:space="preserve">EMCOR Group Inc</t>
  </si>
  <si>
    <t xml:space="preserve">29084Q100</t>
  </si>
  <si>
    <t xml:space="preserve">Energy Select Sector SPDR Fund</t>
  </si>
  <si>
    <t xml:space="preserve">81369Y506</t>
  </si>
  <si>
    <t xml:space="preserve">Enfusion Inc</t>
  </si>
  <si>
    <t xml:space="preserve">292812104</t>
  </si>
  <si>
    <t xml:space="preserve">Enovis Corp</t>
  </si>
  <si>
    <t xml:space="preserve">194014AA4</t>
  </si>
  <si>
    <t xml:space="preserve">Enovix Corp</t>
  </si>
  <si>
    <t xml:space="preserve">293594AC1</t>
  </si>
  <si>
    <t xml:space="preserve">Enphase Energy Inc</t>
  </si>
  <si>
    <t xml:space="preserve">29355AAK3</t>
  </si>
  <si>
    <t xml:space="preserve">Entegris Inc</t>
  </si>
  <si>
    <t xml:space="preserve">29362U104</t>
  </si>
  <si>
    <t xml:space="preserve">Envestnet Inc</t>
  </si>
  <si>
    <t xml:space="preserve">29404KAG1</t>
  </si>
  <si>
    <t xml:space="preserve">Enviri Corp</t>
  </si>
  <si>
    <t xml:space="preserve">415864107</t>
  </si>
  <si>
    <t xml:space="preserve">EOG Resources Inc</t>
  </si>
  <si>
    <t xml:space="preserve">26875P101</t>
  </si>
  <si>
    <t xml:space="preserve">Equinix Inc</t>
  </si>
  <si>
    <t xml:space="preserve">29444U700</t>
  </si>
  <si>
    <t xml:space="preserve">Esperion Therapeutics Inc</t>
  </si>
  <si>
    <t xml:space="preserve">29664WAB1</t>
  </si>
  <si>
    <t xml:space="preserve">Estee Lauder Companies Inc</t>
  </si>
  <si>
    <t xml:space="preserve">518439104</t>
  </si>
  <si>
    <t xml:space="preserve">ETSY Inc</t>
  </si>
  <si>
    <t xml:space="preserve">29786AAN6</t>
  </si>
  <si>
    <t xml:space="preserve">Evergy Inc</t>
  </si>
  <si>
    <t xml:space="preserve">30034WAC0</t>
  </si>
  <si>
    <t xml:space="preserve">Evolent Health Inc</t>
  </si>
  <si>
    <t xml:space="preserve">30050BAG6</t>
  </si>
  <si>
    <t xml:space="preserve">Exact Sciences Corp</t>
  </si>
  <si>
    <t xml:space="preserve">30063PAC9</t>
  </si>
  <si>
    <t xml:space="preserve">30063PAD7</t>
  </si>
  <si>
    <t xml:space="preserve">Expedia Group Inc</t>
  </si>
  <si>
    <t xml:space="preserve">30212P303</t>
  </si>
  <si>
    <t xml:space="preserve">Exxon Mobil Corp</t>
  </si>
  <si>
    <t xml:space="preserve">30231G102</t>
  </si>
  <si>
    <t xml:space="preserve">EZCORP Inc</t>
  </si>
  <si>
    <t xml:space="preserve">302301AG1</t>
  </si>
  <si>
    <t xml:space="preserve">FARO Technologies Inc</t>
  </si>
  <si>
    <t xml:space="preserve">311642AA0</t>
  </si>
  <si>
    <t xml:space="preserve">Federal Home Loan Mortgage Corp</t>
  </si>
  <si>
    <t xml:space="preserve">313400624</t>
  </si>
  <si>
    <t xml:space="preserve">313400640</t>
  </si>
  <si>
    <t xml:space="preserve">313400657</t>
  </si>
  <si>
    <t xml:space="preserve">313400665</t>
  </si>
  <si>
    <t xml:space="preserve">313400673</t>
  </si>
  <si>
    <t xml:space="preserve">313400723</t>
  </si>
  <si>
    <t xml:space="preserve">313400772</t>
  </si>
  <si>
    <t xml:space="preserve">313400889</t>
  </si>
  <si>
    <t xml:space="preserve">Federal National Mortgage Association</t>
  </si>
  <si>
    <t xml:space="preserve">313586752</t>
  </si>
  <si>
    <t xml:space="preserve">Financial Select Sector SPDR Fund</t>
  </si>
  <si>
    <t xml:space="preserve">81369Y605</t>
  </si>
  <si>
    <t xml:space="preserve">Fiserv Inc</t>
  </si>
  <si>
    <t xml:space="preserve">337738108</t>
  </si>
  <si>
    <t xml:space="preserve">Five Point Holdings LLC</t>
  </si>
  <si>
    <t xml:space="preserve">33833Q106</t>
  </si>
  <si>
    <t xml:space="preserve">Ford Motor Co</t>
  </si>
  <si>
    <t xml:space="preserve">345370860</t>
  </si>
  <si>
    <t xml:space="preserve">Fortinet Inc</t>
  </si>
  <si>
    <t xml:space="preserve">34959E109</t>
  </si>
  <si>
    <t xml:space="preserve">Freeport-McMoRan Inc</t>
  </si>
  <si>
    <t xml:space="preserve">35671D857</t>
  </si>
  <si>
    <t xml:space="preserve">Freshpet Inc</t>
  </si>
  <si>
    <t xml:space="preserve">358039AA3</t>
  </si>
  <si>
    <t xml:space="preserve">Garmin Ltd</t>
  </si>
  <si>
    <t xml:space="preserve">011440532</t>
  </si>
  <si>
    <t xml:space="preserve">Generac Holdings Inc</t>
  </si>
  <si>
    <t xml:space="preserve">368736104</t>
  </si>
  <si>
    <t xml:space="preserve">General Electric Co</t>
  </si>
  <si>
    <t xml:space="preserve">369604301</t>
  </si>
  <si>
    <t xml:space="preserve">General Motors Co</t>
  </si>
  <si>
    <t xml:space="preserve">37045V100</t>
  </si>
  <si>
    <t xml:space="preserve">Genuine Parts Co</t>
  </si>
  <si>
    <t xml:space="preserve">372460105</t>
  </si>
  <si>
    <t xml:space="preserve">Gilead Sciences Inc</t>
  </si>
  <si>
    <t xml:space="preserve">375558103</t>
  </si>
  <si>
    <t xml:space="preserve">Globalfoundries Inc</t>
  </si>
  <si>
    <t xml:space="preserve">G39387108</t>
  </si>
  <si>
    <t xml:space="preserve">Goldman Sachs Group Inc</t>
  </si>
  <si>
    <t xml:space="preserve">38141G104</t>
  </si>
  <si>
    <t xml:space="preserve">Goodyear Tire &amp; Rubber Co</t>
  </si>
  <si>
    <t xml:space="preserve">382550101</t>
  </si>
  <si>
    <t xml:space="preserve">Granite Construction Inc</t>
  </si>
  <si>
    <t xml:space="preserve">387328AC1</t>
  </si>
  <si>
    <t xml:space="preserve">Gray Television Inc</t>
  </si>
  <si>
    <t xml:space="preserve">389375106</t>
  </si>
  <si>
    <t xml:space="preserve">Guidewire Software Inc</t>
  </si>
  <si>
    <t xml:space="preserve">40171V100</t>
  </si>
  <si>
    <t xml:space="preserve">GXO Logistics Inc</t>
  </si>
  <si>
    <t xml:space="preserve">36262G101</t>
  </si>
  <si>
    <t xml:space="preserve">Haemonetics Corp</t>
  </si>
  <si>
    <t xml:space="preserve">405024AB6</t>
  </si>
  <si>
    <t xml:space="preserve">Halliburton Co</t>
  </si>
  <si>
    <t xml:space="preserve">406216101</t>
  </si>
  <si>
    <t xml:space="preserve">Halozyme Therapeutics Inc</t>
  </si>
  <si>
    <t xml:space="preserve">40637HAF6</t>
  </si>
  <si>
    <t xml:space="preserve">40637HAD1</t>
  </si>
  <si>
    <t xml:space="preserve">Hawaiian Holdings Inc</t>
  </si>
  <si>
    <t xml:space="preserve">419879101</t>
  </si>
  <si>
    <t xml:space="preserve">HCA Healthcare Inc</t>
  </si>
  <si>
    <t xml:space="preserve">40412C101</t>
  </si>
  <si>
    <t xml:space="preserve">Herbalife Ltd</t>
  </si>
  <si>
    <t xml:space="preserve">G4412G101</t>
  </si>
  <si>
    <t xml:space="preserve">Hess Corp</t>
  </si>
  <si>
    <t xml:space="preserve">42809H107</t>
  </si>
  <si>
    <t xml:space="preserve">HF Sinclair Corp</t>
  </si>
  <si>
    <t xml:space="preserve">403949100</t>
  </si>
  <si>
    <t xml:space="preserve">Hilton Worldwide Holdings Inc</t>
  </si>
  <si>
    <t xml:space="preserve">43300A203</t>
  </si>
  <si>
    <t xml:space="preserve">Home Depot Inc</t>
  </si>
  <si>
    <t xml:space="preserve">437076102</t>
  </si>
  <si>
    <t xml:space="preserve">Honeywell International Inc</t>
  </si>
  <si>
    <t xml:space="preserve">438516106</t>
  </si>
  <si>
    <t xml:space="preserve">HP Inc</t>
  </si>
  <si>
    <t xml:space="preserve">40434L105</t>
  </si>
  <si>
    <t xml:space="preserve">ICON PLC</t>
  </si>
  <si>
    <t xml:space="preserve">000571120</t>
  </si>
  <si>
    <t xml:space="preserve">iHeartMedia Inc</t>
  </si>
  <si>
    <t xml:space="preserve">45174J509</t>
  </si>
  <si>
    <t xml:space="preserve">Illinois Tool Works Inc</t>
  </si>
  <si>
    <t xml:space="preserve">452308109</t>
  </si>
  <si>
    <t xml:space="preserve">Imax Corp</t>
  </si>
  <si>
    <t xml:space="preserve">45245EAJ8</t>
  </si>
  <si>
    <t xml:space="preserve">ImmunoGen Inc</t>
  </si>
  <si>
    <t xml:space="preserve">45253H101</t>
  </si>
  <si>
    <t xml:space="preserve">Impinj Inc</t>
  </si>
  <si>
    <t xml:space="preserve">453204AD1</t>
  </si>
  <si>
    <t xml:space="preserve">indie Semiconductor Inc</t>
  </si>
  <si>
    <t xml:space="preserve">45569UAA9</t>
  </si>
  <si>
    <t xml:space="preserve">Inhibrx Inc</t>
  </si>
  <si>
    <t xml:space="preserve">45720L107</t>
  </si>
  <si>
    <t xml:space="preserve">Innoviva Inc</t>
  </si>
  <si>
    <t xml:space="preserve">45781MAB7</t>
  </si>
  <si>
    <t xml:space="preserve">Insmed Inc</t>
  </si>
  <si>
    <t xml:space="preserve">457669AB5</t>
  </si>
  <si>
    <t xml:space="preserve">Intel Corp</t>
  </si>
  <si>
    <t xml:space="preserve">458140100</t>
  </si>
  <si>
    <t xml:space="preserve">International Business Machines Corp</t>
  </si>
  <si>
    <t xml:space="preserve">459200101</t>
  </si>
  <si>
    <t xml:space="preserve">Intuit Inc</t>
  </si>
  <si>
    <t xml:space="preserve">461202103</t>
  </si>
  <si>
    <t xml:space="preserve">Intuitive Surgical Inc</t>
  </si>
  <si>
    <t xml:space="preserve">46120E602</t>
  </si>
  <si>
    <t xml:space="preserve">Invesco QQQ Trust Series 1</t>
  </si>
  <si>
    <t xml:space="preserve">46090E103</t>
  </si>
  <si>
    <t xml:space="preserve">Ionis Pharmaceuticals Inc</t>
  </si>
  <si>
    <t xml:space="preserve">462222AE0</t>
  </si>
  <si>
    <t xml:space="preserve">Ironwood Pharmaceuticals Inc</t>
  </si>
  <si>
    <t xml:space="preserve">46333XAH1</t>
  </si>
  <si>
    <t xml:space="preserve">iShares Russell 2000 ETF</t>
  </si>
  <si>
    <t xml:space="preserve">464287655</t>
  </si>
  <si>
    <t xml:space="preserve">Iteos Therapeutics Inc</t>
  </si>
  <si>
    <t xml:space="preserve">46565G104</t>
  </si>
  <si>
    <t xml:space="preserve">Itron Inc</t>
  </si>
  <si>
    <t xml:space="preserve">465741AN6</t>
  </si>
  <si>
    <t xml:space="preserve">JD.Com Inc</t>
  </si>
  <si>
    <t xml:space="preserve">47215P106</t>
  </si>
  <si>
    <t xml:space="preserve">Johnson &amp; Johnson</t>
  </si>
  <si>
    <t xml:space="preserve">478160104</t>
  </si>
  <si>
    <t xml:space="preserve">JPMorgan Chase &amp; Co</t>
  </si>
  <si>
    <t xml:space="preserve">46625H100</t>
  </si>
  <si>
    <t xml:space="preserve">Kenvue Inc</t>
  </si>
  <si>
    <t xml:space="preserve">49177J102</t>
  </si>
  <si>
    <t xml:space="preserve">Kirby Corp</t>
  </si>
  <si>
    <t xml:space="preserve">497266106</t>
  </si>
  <si>
    <t xml:space="preserve">KLA Corp</t>
  </si>
  <si>
    <t xml:space="preserve">482480100</t>
  </si>
  <si>
    <t xml:space="preserve">Lam Research Corp</t>
  </si>
  <si>
    <t xml:space="preserve">512807108</t>
  </si>
  <si>
    <t xml:space="preserve">Lantheus Holdings Inc</t>
  </si>
  <si>
    <t xml:space="preserve">516544AB9</t>
  </si>
  <si>
    <t xml:space="preserve">Las Vegas Sands Corp</t>
  </si>
  <si>
    <t xml:space="preserve">517834107</t>
  </si>
  <si>
    <t xml:space="preserve">Lennar Corp</t>
  </si>
  <si>
    <t xml:space="preserve">526057104</t>
  </si>
  <si>
    <t xml:space="preserve">Lennox International Inc</t>
  </si>
  <si>
    <t xml:space="preserve">526107107</t>
  </si>
  <si>
    <t xml:space="preserve">Liberty Media Corp</t>
  </si>
  <si>
    <t xml:space="preserve">531229789</t>
  </si>
  <si>
    <t xml:space="preserve">Linde PLC</t>
  </si>
  <si>
    <t xml:space="preserve">000S9YS76</t>
  </si>
  <si>
    <t xml:space="preserve">LKQ Corp</t>
  </si>
  <si>
    <t xml:space="preserve">501889208</t>
  </si>
  <si>
    <t xml:space="preserve">Lockheed Martin Corp</t>
  </si>
  <si>
    <t xml:space="preserve">539830109</t>
  </si>
  <si>
    <t xml:space="preserve">Lowe's Companies Inc</t>
  </si>
  <si>
    <t xml:space="preserve">548661107</t>
  </si>
  <si>
    <t xml:space="preserve">Lululemon Athletica Inc</t>
  </si>
  <si>
    <t xml:space="preserve">550021109</t>
  </si>
  <si>
    <t xml:space="preserve">Macy's Inc</t>
  </si>
  <si>
    <t xml:space="preserve">55616P104</t>
  </si>
  <si>
    <t xml:space="preserve">Manhattan Associates Inc</t>
  </si>
  <si>
    <t xml:space="preserve">562750109</t>
  </si>
  <si>
    <t xml:space="preserve">Marathon Petroleum Corp</t>
  </si>
  <si>
    <t xml:space="preserve">56585A102</t>
  </si>
  <si>
    <t xml:space="preserve">Marriott International Inc</t>
  </si>
  <si>
    <t xml:space="preserve">571903202</t>
  </si>
  <si>
    <t xml:space="preserve">Marsh &amp; McLennan Companies Inc</t>
  </si>
  <si>
    <t xml:space="preserve">571748102</t>
  </si>
  <si>
    <t xml:space="preserve">Masimo Corp</t>
  </si>
  <si>
    <t xml:space="preserve">574795100</t>
  </si>
  <si>
    <t xml:space="preserve">Mastercard Inc</t>
  </si>
  <si>
    <t xml:space="preserve">57636Q104</t>
  </si>
  <si>
    <t xml:space="preserve">Match Group Inc</t>
  </si>
  <si>
    <t xml:space="preserve">57667L107</t>
  </si>
  <si>
    <t xml:space="preserve">McDonald's Corp</t>
  </si>
  <si>
    <t xml:space="preserve">580135101</t>
  </si>
  <si>
    <t xml:space="preserve">Mckesson Corp</t>
  </si>
  <si>
    <t xml:space="preserve">58155Q103</t>
  </si>
  <si>
    <t xml:space="preserve">Medtronic PLC</t>
  </si>
  <si>
    <t xml:space="preserve">00BTN1Y11</t>
  </si>
  <si>
    <t xml:space="preserve">MercadoLibre Inc</t>
  </si>
  <si>
    <t xml:space="preserve">58733R102</t>
  </si>
  <si>
    <t xml:space="preserve">Mercer International Inc</t>
  </si>
  <si>
    <t xml:space="preserve">588056101</t>
  </si>
  <si>
    <t xml:space="preserve">Merck &amp; Co Inc</t>
  </si>
  <si>
    <t xml:space="preserve">58933Y105</t>
  </si>
  <si>
    <t xml:space="preserve">Merit Medical Systems Inc</t>
  </si>
  <si>
    <t xml:space="preserve">589889AA2</t>
  </si>
  <si>
    <t xml:space="preserve">Mersana Therapeutics Inc</t>
  </si>
  <si>
    <t xml:space="preserve">59045L106</t>
  </si>
  <si>
    <t xml:space="preserve">Mesa Laboratories Inc</t>
  </si>
  <si>
    <t xml:space="preserve">59064RAA7</t>
  </si>
  <si>
    <t xml:space="preserve">Meta Platforms Inc</t>
  </si>
  <si>
    <t xml:space="preserve">30303M102</t>
  </si>
  <si>
    <t xml:space="preserve">MetLife Inc</t>
  </si>
  <si>
    <t xml:space="preserve">59156R108</t>
  </si>
  <si>
    <t xml:space="preserve">MGM Resorts International</t>
  </si>
  <si>
    <t xml:space="preserve">552953101</t>
  </si>
  <si>
    <t xml:space="preserve">Microchip Technology Inc</t>
  </si>
  <si>
    <t xml:space="preserve">595017104</t>
  </si>
  <si>
    <t xml:space="preserve">Micron Technology Inc</t>
  </si>
  <si>
    <t xml:space="preserve">595112103</t>
  </si>
  <si>
    <t xml:space="preserve">Microsoft Corp</t>
  </si>
  <si>
    <t xml:space="preserve">594918104</t>
  </si>
  <si>
    <t xml:space="preserve">Mirum Pharmaceuticals Inc</t>
  </si>
  <si>
    <t xml:space="preserve">604749AA9</t>
  </si>
  <si>
    <t xml:space="preserve">Mitek Systems Inc</t>
  </si>
  <si>
    <t xml:space="preserve">606710AA9</t>
  </si>
  <si>
    <t xml:space="preserve">Model N Inc</t>
  </si>
  <si>
    <t xml:space="preserve">607525AC6</t>
  </si>
  <si>
    <t xml:space="preserve">ModivCare Inc</t>
  </si>
  <si>
    <t xml:space="preserve">60783X104</t>
  </si>
  <si>
    <t xml:space="preserve">Mondelez International Inc</t>
  </si>
  <si>
    <t xml:space="preserve">609207105</t>
  </si>
  <si>
    <t xml:space="preserve">MongoDB Inc</t>
  </si>
  <si>
    <t xml:space="preserve">60937P106</t>
  </si>
  <si>
    <t xml:space="preserve">Monster Beverage Corp</t>
  </si>
  <si>
    <t xml:space="preserve">61174X109</t>
  </si>
  <si>
    <t xml:space="preserve">Morgan Stanley</t>
  </si>
  <si>
    <t xml:space="preserve">617446448</t>
  </si>
  <si>
    <t xml:space="preserve">Nabors Industries Ltd</t>
  </si>
  <si>
    <t xml:space="preserve">G6359F137</t>
  </si>
  <si>
    <t xml:space="preserve">nCino Inc</t>
  </si>
  <si>
    <t xml:space="preserve">63947X101</t>
  </si>
  <si>
    <t xml:space="preserve">NetApp Inc</t>
  </si>
  <si>
    <t xml:space="preserve">64110D104</t>
  </si>
  <si>
    <t xml:space="preserve">Netflix Inc</t>
  </si>
  <si>
    <t xml:space="preserve">64110L106</t>
  </si>
  <si>
    <t xml:space="preserve">Newmont Corporation</t>
  </si>
  <si>
    <t xml:space="preserve">651639106</t>
  </si>
  <si>
    <t xml:space="preserve">Nextera Energy Inc</t>
  </si>
  <si>
    <t xml:space="preserve">65339F101</t>
  </si>
  <si>
    <t xml:space="preserve">Nike Inc</t>
  </si>
  <si>
    <t xml:space="preserve">654106103</t>
  </si>
  <si>
    <t xml:space="preserve">Norfolk Southern Corp</t>
  </si>
  <si>
    <t xml:space="preserve">655844108</t>
  </si>
  <si>
    <t xml:space="preserve">Novavax Inc</t>
  </si>
  <si>
    <t xml:space="preserve">670002AC8</t>
  </si>
  <si>
    <t xml:space="preserve">NVIDIA Corp</t>
  </si>
  <si>
    <t xml:space="preserve">67066G104</t>
  </si>
  <si>
    <t xml:space="preserve">NXP Semiconductors NV</t>
  </si>
  <si>
    <t xml:space="preserve">000953878</t>
  </si>
  <si>
    <t xml:space="preserve">ON Semiconductor Corp</t>
  </si>
  <si>
    <t xml:space="preserve">682189AT2</t>
  </si>
  <si>
    <t xml:space="preserve">Opendoor Technologies Inc</t>
  </si>
  <si>
    <t xml:space="preserve">683712103</t>
  </si>
  <si>
    <t xml:space="preserve">Oracle Corp</t>
  </si>
  <si>
    <t xml:space="preserve">68389X105</t>
  </si>
  <si>
    <t xml:space="preserve">O'Reilly Automotive Inc</t>
  </si>
  <si>
    <t xml:space="preserve">67103H107</t>
  </si>
  <si>
    <t xml:space="preserve">Organon &amp; Co</t>
  </si>
  <si>
    <t xml:space="preserve">68622V106</t>
  </si>
  <si>
    <t xml:space="preserve">Ormat Technologies Inc</t>
  </si>
  <si>
    <t xml:space="preserve">686688AB8</t>
  </si>
  <si>
    <t xml:space="preserve">PagerDuty Inc</t>
  </si>
  <si>
    <t xml:space="preserve">69553PAC4</t>
  </si>
  <si>
    <t xml:space="preserve">69553P100</t>
  </si>
  <si>
    <t xml:space="preserve">Palo Alto Networks Inc</t>
  </si>
  <si>
    <t xml:space="preserve">697435105</t>
  </si>
  <si>
    <t xml:space="preserve">PAR Technology Corp</t>
  </si>
  <si>
    <t xml:space="preserve">698884AE3</t>
  </si>
  <si>
    <t xml:space="preserve">Paramount Global</t>
  </si>
  <si>
    <t xml:space="preserve">92556H206</t>
  </si>
  <si>
    <t xml:space="preserve">Parker-Hannifin Corp</t>
  </si>
  <si>
    <t xml:space="preserve">701094104</t>
  </si>
  <si>
    <t xml:space="preserve">Paychex Inc</t>
  </si>
  <si>
    <t xml:space="preserve">704326107</t>
  </si>
  <si>
    <t xml:space="preserve">PayPal Holdings Inc</t>
  </si>
  <si>
    <t xml:space="preserve">70450Y103</t>
  </si>
  <si>
    <t xml:space="preserve">PDD Holdings Inc</t>
  </si>
  <si>
    <t xml:space="preserve">722304102</t>
  </si>
  <si>
    <t xml:space="preserve">Peabody Energy Corp</t>
  </si>
  <si>
    <t xml:space="preserve">704551AD2</t>
  </si>
  <si>
    <t xml:space="preserve">Peloton Interactive Inc</t>
  </si>
  <si>
    <t xml:space="preserve">70614W100</t>
  </si>
  <si>
    <t xml:space="preserve">PENN Entertainment Inc</t>
  </si>
  <si>
    <t xml:space="preserve">707569109</t>
  </si>
  <si>
    <t xml:space="preserve">PepsiCo Inc</t>
  </si>
  <si>
    <t xml:space="preserve">713448108</t>
  </si>
  <si>
    <t xml:space="preserve">Perficient Inc</t>
  </si>
  <si>
    <t xml:space="preserve">71375UAF8</t>
  </si>
  <si>
    <t xml:space="preserve">Pfizer Inc</t>
  </si>
  <si>
    <t xml:space="preserve">717081103</t>
  </si>
  <si>
    <t xml:space="preserve">PG&amp;E Corp</t>
  </si>
  <si>
    <t xml:space="preserve">69331CAK4</t>
  </si>
  <si>
    <t xml:space="preserve">Philip Morris International Inc</t>
  </si>
  <si>
    <t xml:space="preserve">718172109</t>
  </si>
  <si>
    <t xml:space="preserve">Pioneer Natural Resources Co</t>
  </si>
  <si>
    <t xml:space="preserve">723787107</t>
  </si>
  <si>
    <t xml:space="preserve">Plains GP Holdings LP</t>
  </si>
  <si>
    <t xml:space="preserve">72651A207</t>
  </si>
  <si>
    <t xml:space="preserve">PNC Financial Services Group Inc</t>
  </si>
  <si>
    <t xml:space="preserve">693475105</t>
  </si>
  <si>
    <t xml:space="preserve">Pool Corp</t>
  </si>
  <si>
    <t xml:space="preserve">73278L105</t>
  </si>
  <si>
    <t xml:space="preserve">Post Holdings Inc</t>
  </si>
  <si>
    <t xml:space="preserve">737446104</t>
  </si>
  <si>
    <t xml:space="preserve">Procter &amp; Gamble Co</t>
  </si>
  <si>
    <t xml:space="preserve">742718109</t>
  </si>
  <si>
    <t xml:space="preserve">Progressive Corp</t>
  </si>
  <si>
    <t xml:space="preserve">743315103</t>
  </si>
  <si>
    <t xml:space="preserve">Prologis Inc</t>
  </si>
  <si>
    <t xml:space="preserve">74340W103</t>
  </si>
  <si>
    <t xml:space="preserve">Pros Holdings Inc</t>
  </si>
  <si>
    <t xml:space="preserve">74346YAG8</t>
  </si>
  <si>
    <t xml:space="preserve">Protagonist Therapeutics Inc</t>
  </si>
  <si>
    <t xml:space="preserve">74366E102</t>
  </si>
  <si>
    <t xml:space="preserve">PTC Therapeutics Inc</t>
  </si>
  <si>
    <t xml:space="preserve">69366JAD3</t>
  </si>
  <si>
    <t xml:space="preserve">Public Storage</t>
  </si>
  <si>
    <t xml:space="preserve">74460D109</t>
  </si>
  <si>
    <t xml:space="preserve">Pultegroup Inc</t>
  </si>
  <si>
    <t xml:space="preserve">745867101</t>
  </si>
  <si>
    <t xml:space="preserve">Qualcomm Inc</t>
  </si>
  <si>
    <t xml:space="preserve">747525103</t>
  </si>
  <si>
    <t xml:space="preserve">Range Resources Corp</t>
  </si>
  <si>
    <t xml:space="preserve">75281A109</t>
  </si>
  <si>
    <t xml:space="preserve">Rapid7 Inc</t>
  </si>
  <si>
    <t xml:space="preserve">753422AG9</t>
  </si>
  <si>
    <t xml:space="preserve">Regeneron Pharmaceuticals Inc</t>
  </si>
  <si>
    <t xml:space="preserve">75886F107</t>
  </si>
  <si>
    <t xml:space="preserve">Repligen Corp</t>
  </si>
  <si>
    <t xml:space="preserve">759916AC3</t>
  </si>
  <si>
    <t xml:space="preserve">RingCentral Inc</t>
  </si>
  <si>
    <t xml:space="preserve">76680R206</t>
  </si>
  <si>
    <t xml:space="preserve">Rivian Automotive Inc</t>
  </si>
  <si>
    <t xml:space="preserve">76954AAA1</t>
  </si>
  <si>
    <t xml:space="preserve">76954AAC7</t>
  </si>
  <si>
    <t xml:space="preserve">Robert Half Inc</t>
  </si>
  <si>
    <t xml:space="preserve">770323103</t>
  </si>
  <si>
    <t xml:space="preserve">Roblox Corp</t>
  </si>
  <si>
    <t xml:space="preserve">771049103</t>
  </si>
  <si>
    <t xml:space="preserve">Ross Stores Inc</t>
  </si>
  <si>
    <t xml:space="preserve">778296103</t>
  </si>
  <si>
    <t xml:space="preserve">Royal Caribbean Cruises Ltd</t>
  </si>
  <si>
    <t xml:space="preserve">000886286</t>
  </si>
  <si>
    <t xml:space="preserve">RTX Corp</t>
  </si>
  <si>
    <t xml:space="preserve">75513E101</t>
  </si>
  <si>
    <t xml:space="preserve">Rxsight Inc</t>
  </si>
  <si>
    <t xml:space="preserve">78349D107</t>
  </si>
  <si>
    <t xml:space="preserve">S&amp;P Global Inc</t>
  </si>
  <si>
    <t xml:space="preserve">78409V104</t>
  </si>
  <si>
    <t xml:space="preserve">Salesforce Inc</t>
  </si>
  <si>
    <t xml:space="preserve">79466L302</t>
  </si>
  <si>
    <t xml:space="preserve">Samsara Inc</t>
  </si>
  <si>
    <t xml:space="preserve">79589L106</t>
  </si>
  <si>
    <t xml:space="preserve">Sarepta Therapeutics Inc</t>
  </si>
  <si>
    <t xml:space="preserve">803607AD2</t>
  </si>
  <si>
    <t xml:space="preserve">Schlumberger NV</t>
  </si>
  <si>
    <t xml:space="preserve">806857108</t>
  </si>
  <si>
    <t xml:space="preserve">Semtech Corp</t>
  </si>
  <si>
    <t xml:space="preserve">816850AG6</t>
  </si>
  <si>
    <t xml:space="preserve">SentinelOne Inc</t>
  </si>
  <si>
    <t xml:space="preserve">81730H109</t>
  </si>
  <si>
    <t xml:space="preserve">ServiceNow Inc</t>
  </si>
  <si>
    <t xml:space="preserve">81762P102</t>
  </si>
  <si>
    <t xml:space="preserve">Shake Shack Inc</t>
  </si>
  <si>
    <t xml:space="preserve">819047AB7</t>
  </si>
  <si>
    <t xml:space="preserve">Shockwave Medical Inc</t>
  </si>
  <si>
    <t xml:space="preserve">82489TAA2</t>
  </si>
  <si>
    <t xml:space="preserve">Sirius XM Holdings Inc</t>
  </si>
  <si>
    <t xml:space="preserve">82968B103</t>
  </si>
  <si>
    <t xml:space="preserve">SM Energy Co</t>
  </si>
  <si>
    <t xml:space="preserve">78454L100</t>
  </si>
  <si>
    <t xml:space="preserve">Snap Inc</t>
  </si>
  <si>
    <t xml:space="preserve">83304AAH9</t>
  </si>
  <si>
    <t xml:space="preserve">Snowflake Inc.</t>
  </si>
  <si>
    <t xml:space="preserve">833445109</t>
  </si>
  <si>
    <t xml:space="preserve">Solaredge Technologies Inc</t>
  </si>
  <si>
    <t xml:space="preserve">83417MAD6</t>
  </si>
  <si>
    <t xml:space="preserve">83417M104</t>
  </si>
  <si>
    <t xml:space="preserve">Southwest Airlines Co</t>
  </si>
  <si>
    <t xml:space="preserve">844741108</t>
  </si>
  <si>
    <t xml:space="preserve">Southwestern Energy Co</t>
  </si>
  <si>
    <t xml:space="preserve">845467109</t>
  </si>
  <si>
    <t xml:space="preserve">SPDR S&amp;P 500 ETF Trust</t>
  </si>
  <si>
    <t xml:space="preserve">78462F103</t>
  </si>
  <si>
    <t xml:space="preserve">Sphere Entertainment Co</t>
  </si>
  <si>
    <t xml:space="preserve">55826TAA0</t>
  </si>
  <si>
    <t xml:space="preserve">Spirit AeroSystems Holdings Inc</t>
  </si>
  <si>
    <t xml:space="preserve">848574109</t>
  </si>
  <si>
    <t xml:space="preserve">Spirit Airlines Inc</t>
  </si>
  <si>
    <t xml:space="preserve">848577102</t>
  </si>
  <si>
    <t xml:space="preserve">Splunk Inc</t>
  </si>
  <si>
    <t xml:space="preserve">848637104</t>
  </si>
  <si>
    <t xml:space="preserve">Spotify Technology SA</t>
  </si>
  <si>
    <t xml:space="preserve">84921RAB6</t>
  </si>
  <si>
    <t xml:space="preserve">Starbucks Corp</t>
  </si>
  <si>
    <t xml:space="preserve">855244109</t>
  </si>
  <si>
    <t xml:space="preserve">Stem Inc</t>
  </si>
  <si>
    <t xml:space="preserve">85859NAC6</t>
  </si>
  <si>
    <t xml:space="preserve">Stryker Corp</t>
  </si>
  <si>
    <t xml:space="preserve">863667101</t>
  </si>
  <si>
    <t xml:space="preserve">Suncor Energy Inc</t>
  </si>
  <si>
    <t xml:space="preserve">867224107</t>
  </si>
  <si>
    <t xml:space="preserve">Synopsys Inc</t>
  </si>
  <si>
    <t xml:space="preserve">871607107</t>
  </si>
  <si>
    <t xml:space="preserve">Targa Resources Corp</t>
  </si>
  <si>
    <t xml:space="preserve">87612G101</t>
  </si>
  <si>
    <t xml:space="preserve">Target Corp</t>
  </si>
  <si>
    <t xml:space="preserve">87612E106</t>
  </si>
  <si>
    <t xml:space="preserve">Tenable Holdings Inc</t>
  </si>
  <si>
    <t xml:space="preserve">88025T102</t>
  </si>
  <si>
    <t xml:space="preserve">Tenet Healthcare Corp</t>
  </si>
  <si>
    <t xml:space="preserve">88033G407</t>
  </si>
  <si>
    <t xml:space="preserve">Tesla Inc</t>
  </si>
  <si>
    <t xml:space="preserve">88160R101</t>
  </si>
  <si>
    <t xml:space="preserve">Tetra Tech Inc</t>
  </si>
  <si>
    <t xml:space="preserve">88162G103</t>
  </si>
  <si>
    <t xml:space="preserve">Texas Instruments Inc</t>
  </si>
  <si>
    <t xml:space="preserve">882508104</t>
  </si>
  <si>
    <t xml:space="preserve">Texas Roadhouse Inc</t>
  </si>
  <si>
    <t xml:space="preserve">882681109</t>
  </si>
  <si>
    <t xml:space="preserve">Thermo Fisher Scientific Inc</t>
  </si>
  <si>
    <t xml:space="preserve">883556102</t>
  </si>
  <si>
    <t xml:space="preserve">TJX Companies Inc</t>
  </si>
  <si>
    <t xml:space="preserve">872540109</t>
  </si>
  <si>
    <t xml:space="preserve">T-Mobile US Inc</t>
  </si>
  <si>
    <t xml:space="preserve">872590104</t>
  </si>
  <si>
    <t xml:space="preserve">TPI Composites Inc</t>
  </si>
  <si>
    <t xml:space="preserve">87266JAA2</t>
  </si>
  <si>
    <t xml:space="preserve">Tractor Supply Co</t>
  </si>
  <si>
    <t xml:space="preserve">892356106</t>
  </si>
  <si>
    <t xml:space="preserve">Transmedics Group Inc</t>
  </si>
  <si>
    <t xml:space="preserve">89377MAA7</t>
  </si>
  <si>
    <t xml:space="preserve">Travel + Leisure Co</t>
  </si>
  <si>
    <t xml:space="preserve">894164102</t>
  </si>
  <si>
    <t xml:space="preserve">Travere Therapeutics Inc</t>
  </si>
  <si>
    <t xml:space="preserve">89422GAA5</t>
  </si>
  <si>
    <t xml:space="preserve">Truist Financial Corp</t>
  </si>
  <si>
    <t xml:space="preserve">89832Q109</t>
  </si>
  <si>
    <t xml:space="preserve">Tyson Foods Inc</t>
  </si>
  <si>
    <t xml:space="preserve">902494103</t>
  </si>
  <si>
    <t xml:space="preserve">Uber Technologies Inc</t>
  </si>
  <si>
    <t xml:space="preserve">90353T100</t>
  </si>
  <si>
    <t xml:space="preserve">Ulta Beauty Inc</t>
  </si>
  <si>
    <t xml:space="preserve">90384S303</t>
  </si>
  <si>
    <t xml:space="preserve">Union Pacific Corp</t>
  </si>
  <si>
    <t xml:space="preserve">907818108</t>
  </si>
  <si>
    <t xml:space="preserve">United Parcel Service Inc</t>
  </si>
  <si>
    <t xml:space="preserve">911312106</t>
  </si>
  <si>
    <t xml:space="preserve">United Rentals Inc</t>
  </si>
  <si>
    <t xml:space="preserve">911363109</t>
  </si>
  <si>
    <t xml:space="preserve">United States Steel Corp</t>
  </si>
  <si>
    <t xml:space="preserve">912909108</t>
  </si>
  <si>
    <t xml:space="preserve">UnitedHealth Group Inc</t>
  </si>
  <si>
    <t xml:space="preserve">91324P102</t>
  </si>
  <si>
    <t xml:space="preserve">Unknown</t>
  </si>
  <si>
    <t xml:space="preserve">715ESC018</t>
  </si>
  <si>
    <t xml:space="preserve">US Bancorp</t>
  </si>
  <si>
    <t xml:space="preserve">902973304</t>
  </si>
  <si>
    <t xml:space="preserve">UTZ Brands Inc</t>
  </si>
  <si>
    <t xml:space="preserve">918090101</t>
  </si>
  <si>
    <t xml:space="preserve">Valero Energy Corp</t>
  </si>
  <si>
    <t xml:space="preserve">91913Y100</t>
  </si>
  <si>
    <t xml:space="preserve">Veradigm Inc</t>
  </si>
  <si>
    <t xml:space="preserve">01988PAF5</t>
  </si>
  <si>
    <t xml:space="preserve">Verizon Communications Inc</t>
  </si>
  <si>
    <t xml:space="preserve">92343V104</t>
  </si>
  <si>
    <t xml:space="preserve">Vertex Pharmaceuticals Inc</t>
  </si>
  <si>
    <t xml:space="preserve">92532F100</t>
  </si>
  <si>
    <t xml:space="preserve">Vertiv Holdings Co</t>
  </si>
  <si>
    <t xml:space="preserve">92537N108</t>
  </si>
  <si>
    <t xml:space="preserve">Victoria's Secret &amp; Co</t>
  </si>
  <si>
    <t xml:space="preserve">926400102</t>
  </si>
  <si>
    <t xml:space="preserve">Visa Inc</t>
  </si>
  <si>
    <t xml:space="preserve">92826C839</t>
  </si>
  <si>
    <t xml:space="preserve">Vizio Holding Corp</t>
  </si>
  <si>
    <t xml:space="preserve">92858V101</t>
  </si>
  <si>
    <t xml:space="preserve">Walmart Inc</t>
  </si>
  <si>
    <t xml:space="preserve">931142103</t>
  </si>
  <si>
    <t xml:space="preserve">Walt Disney Co</t>
  </si>
  <si>
    <t xml:space="preserve">254687106</t>
  </si>
  <si>
    <t xml:space="preserve">Warner Bros Discovery Inc</t>
  </si>
  <si>
    <t xml:space="preserve">934423104</t>
  </si>
  <si>
    <t xml:space="preserve">Wells Fargo &amp; Co</t>
  </si>
  <si>
    <t xml:space="preserve">949746101</t>
  </si>
  <si>
    <t xml:space="preserve">WestRock Co</t>
  </si>
  <si>
    <t xml:space="preserve">96145D105</t>
  </si>
  <si>
    <t xml:space="preserve">Whirlpool Corp</t>
  </si>
  <si>
    <t xml:space="preserve">963320106</t>
  </si>
  <si>
    <t xml:space="preserve">WideOpenWest Inc</t>
  </si>
  <si>
    <t xml:space="preserve">96758W101</t>
  </si>
  <si>
    <t xml:space="preserve">Williams Companies Inc</t>
  </si>
  <si>
    <t xml:space="preserve">969457100</t>
  </si>
  <si>
    <t xml:space="preserve">Wisdomtree Inc</t>
  </si>
  <si>
    <t xml:space="preserve">97717PAE4</t>
  </si>
  <si>
    <t xml:space="preserve">Wolfspeed Inc</t>
  </si>
  <si>
    <t xml:space="preserve">977852AD4</t>
  </si>
  <si>
    <t xml:space="preserve">Wolverine World Wide Inc</t>
  </si>
  <si>
    <t xml:space="preserve">978097103</t>
  </si>
  <si>
    <t xml:space="preserve">Workiva Inc</t>
  </si>
  <si>
    <t xml:space="preserve">98139AAC9</t>
  </si>
  <si>
    <t xml:space="preserve">Wynn Resorts Ltd</t>
  </si>
  <si>
    <t xml:space="preserve">983134107</t>
  </si>
  <si>
    <t xml:space="preserve">Xometry Inc</t>
  </si>
  <si>
    <t xml:space="preserve">98423FAB5</t>
  </si>
  <si>
    <t xml:space="preserve">Yum! Brands Inc</t>
  </si>
  <si>
    <t xml:space="preserve">988498101</t>
  </si>
  <si>
    <t xml:space="preserve">Zions Bancorporation NA</t>
  </si>
  <si>
    <t xml:space="preserve">989701107</t>
  </si>
  <si>
    <t xml:space="preserve">Zoominfo Technologies Inc</t>
  </si>
  <si>
    <t xml:space="preserve">98980F104</t>
  </si>
  <si>
    <t xml:space="preserve">TICKER</t>
  </si>
  <si>
    <t xml:space="preserve">CUSIP</t>
  </si>
  <si>
    <t xml:space="preserve">FIGI</t>
  </si>
  <si>
    <t xml:space="preserve">Issuer Name</t>
  </si>
  <si>
    <t xml:space="preserve">Type</t>
  </si>
  <si>
    <t xml:space="preserve">Market Value Calculations</t>
  </si>
  <si>
    <t xml:space="preserve">Investment Discretion</t>
  </si>
  <si>
    <t xml:space="preserve">Voting Authority</t>
  </si>
  <si>
    <t xml:space="preserve">FINAL CHECK</t>
  </si>
  <si>
    <t xml:space="preserve">Tickers
(Client)</t>
  </si>
  <si>
    <t xml:space="preserve">CUSIP
(Client)</t>
  </si>
  <si>
    <t xml:space="preserve">CUSIP
(SEC)</t>
  </si>
  <si>
    <t xml:space="preserve">Match?</t>
  </si>
  <si>
    <t xml:space="preserve">(N/A)</t>
  </si>
  <si>
    <t xml:space="preserve">Issuer Name
(SEC)</t>
  </si>
  <si>
    <t xml:space="preserve">Class
(SEC)</t>
  </si>
  <si>
    <t xml:space="preserve">SH/
PRN</t>
  </si>
  <si>
    <t xml:space="preserve">PUT
CALL</t>
  </si>
  <si>
    <t xml:space="preserve">Quantity</t>
  </si>
  <si>
    <t xml:space="preserve">Price</t>
  </si>
  <si>
    <t xml:space="preserve">Market Value 
(Quantity*Price)</t>
  </si>
  <si>
    <t xml:space="preserve">De Minimis?</t>
  </si>
  <si>
    <t xml:space="preserve">Discretion
Type</t>
  </si>
  <si>
    <t xml:space="preserve">Other 
Managers</t>
  </si>
  <si>
    <t xml:space="preserve">Sole</t>
  </si>
  <si>
    <t xml:space="preserve">Shared</t>
  </si>
  <si>
    <t xml:space="preserve">None</t>
  </si>
  <si>
    <t xml:space="preserve">Complete?</t>
  </si>
  <si>
    <t xml:space="preserve">UNTKQ*</t>
  </si>
  <si>
    <t xml:space="preserve">Investment</t>
  </si>
  <si>
    <t xml:space="preserve">Other</t>
  </si>
  <si>
    <t xml:space="preserve">Security Name</t>
  </si>
  <si>
    <t xml:space="preserve">Market Value</t>
  </si>
  <si>
    <t xml:space="preserve">Shares</t>
  </si>
  <si>
    <t xml:space="preserve">SH/PRN</t>
  </si>
  <si>
    <t xml:space="preserve">Discretion</t>
  </si>
  <si>
    <t xml:space="preserve">Managers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</si>
</sst>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@"/>
    <numFmt numFmtId="166" formatCode="m/d/yyyy"/>
    <numFmt numFmtId="167" formatCode="_(* #,##0.00_);_(* \(#,##0.00\);_(* \-??_);_(@_)"/>
    <numFmt numFmtId="168" formatCode="#,##0.00_);[RED]\(#,##0.00\)"/>
    <numFmt numFmtId="169" formatCode="0.00"/>
    <numFmt numFmtId="170" formatCode="0.00_);[RED]\(0.00\)"/>
    <numFmt numFmtId="171" formatCode="#,##0_);[RED]\(#,##0\)"/>
    <numFmt numFmtId="172" formatCode="#,##0"/>
    <numFmt numFmtId="173" formatCode="0%"/>
    <numFmt numFmtId="174" formatCode="0"/>
    <numFmt numFmtId="175" formatCode="General"/>
    <numFmt numFmtId="176" formatCode="_(\$* #,##0.00_);_(\$* \(#,##0.00\);_(\$* \-??_);_(@_)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0"/>
      <color rgb="FF000000"/>
      <name val="Calibri"/>
      <family val="0"/>
    </font>
    <font>
      <sz val="10"/>
      <color rgb="FF000000"/>
      <name val="Calibri"/>
      <family val="0"/>
      <charset val="1"/>
    </font>
    <font>
      <b val="true"/>
      <u val="single"/>
      <sz val="11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1"/>
      <name val="Calibri"/>
      <family val="2"/>
      <charset val="1"/>
    </font>
    <font>
      <sz val="11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FFF2CC"/>
      </patternFill>
    </fill>
    <fill>
      <patternFill patternType="solid">
        <fgColor rgb="FF8FAADC"/>
        <bgColor rgb="FF9DC3E6"/>
      </patternFill>
    </fill>
    <fill>
      <patternFill patternType="solid">
        <fgColor rgb="FF92D050"/>
        <bgColor rgb="FFC5E0B4"/>
      </patternFill>
    </fill>
    <fill>
      <patternFill patternType="solid">
        <fgColor rgb="FFBDD7EE"/>
        <bgColor rgb="FFD6DCE5"/>
      </patternFill>
    </fill>
    <fill>
      <patternFill patternType="solid">
        <fgColor rgb="FFFFFF00"/>
        <bgColor rgb="FFFFC000"/>
      </patternFill>
    </fill>
    <fill>
      <patternFill patternType="solid">
        <fgColor rgb="FFDAE3F3"/>
        <bgColor rgb="FFD6DCE5"/>
      </patternFill>
    </fill>
    <fill>
      <patternFill patternType="solid">
        <fgColor rgb="FFF4B183"/>
        <bgColor rgb="FFF8CBAD"/>
      </patternFill>
    </fill>
    <fill>
      <patternFill patternType="solid">
        <fgColor rgb="FFC5E0B4"/>
        <bgColor rgb="FFD6DCE5"/>
      </patternFill>
    </fill>
    <fill>
      <patternFill patternType="solid">
        <fgColor rgb="FFF8CBAD"/>
        <bgColor rgb="FFFFE699"/>
      </patternFill>
    </fill>
    <fill>
      <patternFill patternType="solid">
        <fgColor rgb="FFFFE699"/>
        <bgColor rgb="FFFFF2CC"/>
      </patternFill>
    </fill>
    <fill>
      <patternFill patternType="solid">
        <fgColor rgb="FFADB9CA"/>
        <bgColor rgb="FF9DC3E6"/>
      </patternFill>
    </fill>
    <fill>
      <patternFill patternType="solid">
        <fgColor rgb="FF2E75B6"/>
        <bgColor rgb="FF0066CC"/>
      </patternFill>
    </fill>
    <fill>
      <patternFill patternType="solid">
        <fgColor rgb="FFE2F0D9"/>
        <bgColor rgb="FFDAE3F3"/>
      </patternFill>
    </fill>
    <fill>
      <patternFill patternType="solid">
        <fgColor rgb="FFFBE5D6"/>
        <bgColor rgb="FFFFF2CC"/>
      </patternFill>
    </fill>
    <fill>
      <patternFill patternType="solid">
        <fgColor rgb="FFFFF2CC"/>
        <bgColor rgb="FFFBE5D6"/>
      </patternFill>
    </fill>
    <fill>
      <patternFill patternType="solid">
        <fgColor rgb="FFD6DCE5"/>
        <bgColor rgb="FFDAE3F3"/>
      </patternFill>
    </fill>
    <fill>
      <patternFill patternType="solid">
        <fgColor rgb="FF9DC3E6"/>
        <bgColor rgb="FFADB9CA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76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6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6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2" borderId="8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2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7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1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11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0" fillId="1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5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1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12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11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1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 patternType="solid">
          <fgColor rgb="00FFFFFF"/>
        </patternFill>
      </fill>
    </dxf>
    <dxf>
      <fill>
        <patternFill patternType="solid">
          <fgColor rgb="FF3D3D3D"/>
          <bgColor rgb="FFFFFFFF"/>
        </patternFill>
      </fill>
    </dxf>
    <dxf>
      <fill>
        <patternFill patternType="solid">
          <fgColor rgb="FFF8CBAD"/>
        </patternFill>
      </fill>
    </dxf>
    <dxf>
      <fill>
        <patternFill patternType="solid">
          <fgColor rgb="FFE2F0D9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FFDAE3F3"/>
        </patternFill>
      </fill>
    </dxf>
    <dxf>
      <fill>
        <patternFill patternType="solid">
          <fgColor rgb="FFFBE5D6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D6DCE5"/>
        </patternFill>
      </fill>
    </dxf>
    <dxf>
      <fill>
        <patternFill patternType="solid">
          <fgColor rgb="FF9DC3E6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DB9CA"/>
      <rgbColor rgb="FF808080"/>
      <rgbColor rgb="FF8FAADC"/>
      <rgbColor rgb="FF993366"/>
      <rgbColor rgb="FFFFF2CC"/>
      <rgbColor rgb="FFDAE3F3"/>
      <rgbColor rgb="FF660066"/>
      <rgbColor rgb="FFFF8080"/>
      <rgbColor rgb="FF0066CC"/>
      <rgbColor rgb="FFBDD7EE"/>
      <rgbColor rgb="FF000080"/>
      <rgbColor rgb="FFFF00FF"/>
      <rgbColor rgb="FFFBE5D6"/>
      <rgbColor rgb="FF00FFFF"/>
      <rgbColor rgb="FF800080"/>
      <rgbColor rgb="FF800000"/>
      <rgbColor rgb="FF008080"/>
      <rgbColor rgb="FF0000FF"/>
      <rgbColor rgb="FF00B0F0"/>
      <rgbColor rgb="FFD6DCE5"/>
      <rgbColor rgb="FFE2F0D9"/>
      <rgbColor rgb="FFFFE699"/>
      <rgbColor rgb="FF9DC3E6"/>
      <rgbColor rgb="FFF4B183"/>
      <rgbColor rgb="FFC5E0B4"/>
      <rgbColor rgb="FFF8CBAD"/>
      <rgbColor rgb="FF2E75B6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2.xml><?xml version="1.0" encoding="utf-8"?>
<formControlPr xmlns="http://schemas.microsoft.com/office/spreadsheetml/2009/9/main" objectType="Button" lockText="1"/>
</file>

<file path=xl/ctrlProps/ctrlProps13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28</xdr:col>
      <xdr:colOff>231480</xdr:colOff>
      <xdr:row>2</xdr:row>
      <xdr:rowOff>185040</xdr:rowOff>
    </xdr:from>
    <xdr:to>
      <xdr:col>32</xdr:col>
      <xdr:colOff>237600</xdr:colOff>
      <xdr:row>10</xdr:row>
      <xdr:rowOff>32760</xdr:rowOff>
    </xdr:to>
    <xdr:pic>
      <xdr:nvPicPr>
        <xdr:cNvPr id="0" name="Picture 17" descr=""/>
        <xdr:cNvPicPr/>
      </xdr:nvPicPr>
      <xdr:blipFill>
        <a:blip r:embed="rId1"/>
        <a:stretch/>
      </xdr:blipFill>
      <xdr:spPr>
        <a:xfrm>
          <a:off x="18697320" y="565920"/>
          <a:ext cx="3257280" cy="140040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9360</xdr:colOff>
      <xdr:row>6</xdr:row>
      <xdr:rowOff>9360</xdr:rowOff>
    </xdr:from>
    <xdr:to>
      <xdr:col>11</xdr:col>
      <xdr:colOff>561600</xdr:colOff>
      <xdr:row>7</xdr:row>
      <xdr:rowOff>9360</xdr:rowOff>
    </xdr:to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ommandButton1" descr="Appl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Apply</a:t>
              </a:r>
            </a:p>
          </xdr:txBody>
        </xdr:sp>
        <xdr:clientData/>
      </xdr:twoCellAnchor>
    </mc:Choice>
  </mc:AlternateContent>
  <xdr:twoCellAnchor editAs="absolute">
    <xdr:from>
      <xdr:col>2</xdr:col>
      <xdr:colOff>9360</xdr:colOff>
      <xdr:row>12</xdr:row>
      <xdr:rowOff>9360</xdr:rowOff>
    </xdr:from>
    <xdr:to>
      <xdr:col>13</xdr:col>
      <xdr:colOff>95040</xdr:colOff>
      <xdr:row>13</xdr:row>
      <xdr:rowOff>37800</xdr:rowOff>
    </xdr:to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CommandButton2" descr="Appl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Apply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29" descr="CUSIP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CUSIPs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52" descr="Generat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CommandButton3" descr="Cle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CommandButton4" descr="Cle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56" descr="Expo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Export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58" descr="Clear&#10;Working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
Working Sheet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60" descr="Clear Outpu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Output</a:t>
              </a:r>
            </a:p>
          </xdr:txBody>
        </xdr:sp>
        <xdr:clientData/>
      </xdr:twoCellAnchor>
    </mc:Choice>
  </mc:AlternateContent>
  <xdr:twoCellAnchor editAs="absolute">
    <xdr:from>
      <xdr:col>2</xdr:col>
      <xdr:colOff>0</xdr:colOff>
      <xdr:row>9</xdr:row>
      <xdr:rowOff>0</xdr:rowOff>
    </xdr:from>
    <xdr:to>
      <xdr:col>12</xdr:col>
      <xdr:colOff>123840</xdr:colOff>
      <xdr:row>10</xdr:row>
      <xdr:rowOff>19080</xdr:rowOff>
    </xdr:to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0" name="CommandButton5" descr="Appl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Apply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1" name="CommandButton6" descr="Cle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2" name="Button 65" descr="TICKER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TICKERs</a:t>
              </a:r>
            </a:p>
          </xdr:txBody>
        </xdr:sp>
        <xdr:clientData/>
      </xdr:twoCellAnchor>
    </mc:Choice>
  </mc:AlternateContent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12" Type="http://schemas.openxmlformats.org/officeDocument/2006/relationships/ctrlProp" Target="../ctrlProps/ctrlProps11.xml"/><Relationship Id="rId13" Type="http://schemas.openxmlformats.org/officeDocument/2006/relationships/ctrlProp" Target="../ctrlProps/ctrlProps12.xml"/><Relationship Id="rId14" Type="http://schemas.openxmlformats.org/officeDocument/2006/relationships/ctrlProp" Target="../ctrlProps/ctrlProps1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00B0F0"/>
    <pageSetUpPr fitToPage="false"/>
  </sheetPr>
  <dimension ref="A1:AD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false" hidden="false" outlineLevel="0" max="1" min="1" style="1" width="9.14"/>
    <col collapsed="false" customWidth="true" hidden="false" outlineLevel="0" max="2" min="2" style="1" width="7.85"/>
    <col collapsed="false" customWidth="true" hidden="false" outlineLevel="0" max="3" min="3" style="1" width="2.86"/>
    <col collapsed="false" customWidth="false" hidden="false" outlineLevel="0" max="7" min="4" style="1" width="9.14"/>
    <col collapsed="false" customWidth="true" hidden="false" outlineLevel="0" max="8" min="8" style="1" width="8.57"/>
    <col collapsed="false" customWidth="true" hidden="false" outlineLevel="0" max="9" min="9" style="1" width="2.86"/>
    <col collapsed="false" customWidth="false" hidden="false" outlineLevel="0" max="10" min="10" style="1" width="9.14"/>
    <col collapsed="false" customWidth="true" hidden="false" outlineLevel="0" max="11" min="11" style="1" width="17.57"/>
    <col collapsed="false" customWidth="true" hidden="false" outlineLevel="0" max="12" min="12" style="1" width="8.57"/>
    <col collapsed="false" customWidth="true" hidden="false" outlineLevel="0" max="13" min="13" style="1" width="2.86"/>
    <col collapsed="false" customWidth="true" hidden="false" outlineLevel="0" max="14" min="14" style="1" width="8.57"/>
    <col collapsed="false" customWidth="true" hidden="false" outlineLevel="0" max="15" min="15" style="1" width="1.29"/>
    <col collapsed="false" customWidth="true" hidden="false" outlineLevel="0" max="16" min="16" style="1" width="13.71"/>
    <col collapsed="false" customWidth="true" hidden="false" outlineLevel="0" max="17" min="17" style="1" width="0.71"/>
    <col collapsed="false" customWidth="true" hidden="false" outlineLevel="0" max="19" min="18" style="1" width="1.43"/>
    <col collapsed="false" customWidth="false" hidden="false" outlineLevel="0" max="27" min="20" style="1" width="9.14"/>
    <col collapsed="false" customWidth="true" hidden="false" outlineLevel="0" max="28" min="28" style="1" width="1.43"/>
    <col collapsed="false" customWidth="false" hidden="false" outlineLevel="0" max="1024" min="29" style="1" width="9.14"/>
  </cols>
  <sheetData>
    <row r="1" customFormat="false" ht="15" hidden="false" customHeight="false" outlineLevel="0" collapsed="false">
      <c r="A1" s="2" t="s">
        <v>0</v>
      </c>
    </row>
    <row r="3" customFormat="false" ht="26.25" hidden="false" customHeight="false" outlineLevel="0" collapsed="false">
      <c r="B3" s="3" t="s">
        <v>1</v>
      </c>
      <c r="Q3" s="4"/>
    </row>
    <row r="4" customFormat="false" ht="15.75" hidden="false" customHeight="false" outlineLevel="0" collapsed="false">
      <c r="R4" s="4"/>
    </row>
    <row r="5" customFormat="false" ht="15.75" hidden="false" customHeight="false" outlineLevel="0" collapsed="false">
      <c r="B5" s="5" t="s">
        <v>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T5" s="6" t="s">
        <v>3</v>
      </c>
      <c r="U5" s="6"/>
      <c r="V5" s="6"/>
      <c r="W5" s="6"/>
      <c r="X5" s="6"/>
      <c r="Y5" s="6"/>
      <c r="Z5" s="6"/>
      <c r="AA5" s="6"/>
    </row>
    <row r="6" customFormat="false" ht="15" hidden="false" customHeight="true" outlineLevel="0" collapsed="false">
      <c r="B6" s="7"/>
      <c r="C6" s="1" t="s">
        <v>4</v>
      </c>
      <c r="Q6" s="8"/>
      <c r="T6" s="9" t="s">
        <v>5</v>
      </c>
      <c r="U6" s="9"/>
      <c r="V6" s="9"/>
      <c r="W6" s="9"/>
      <c r="X6" s="9"/>
      <c r="Y6" s="9"/>
      <c r="Z6" s="9"/>
      <c r="AA6" s="9"/>
    </row>
    <row r="7" customFormat="false" ht="15.75" hidden="false" customHeight="false" outlineLevel="0" collapsed="false">
      <c r="B7" s="10" t="s">
        <v>6</v>
      </c>
      <c r="Q7" s="8"/>
      <c r="T7" s="9"/>
      <c r="U7" s="9"/>
      <c r="V7" s="9"/>
      <c r="W7" s="9"/>
      <c r="X7" s="9"/>
      <c r="Y7" s="9"/>
      <c r="Z7" s="9"/>
      <c r="AA7" s="9"/>
    </row>
    <row r="8" customFormat="false" ht="3.75" hidden="false" customHeight="true" outlineLevel="0" collapsed="false">
      <c r="B8" s="7"/>
      <c r="Q8" s="8"/>
    </row>
    <row r="9" customFormat="false" ht="15" hidden="false" customHeight="false" outlineLevel="0" collapsed="false">
      <c r="B9" s="7"/>
      <c r="C9" s="1" t="s">
        <v>7</v>
      </c>
      <c r="Q9" s="8"/>
    </row>
    <row r="10" customFormat="false" ht="15" hidden="false" customHeight="false" outlineLevel="0" collapsed="false">
      <c r="B10" s="10" t="s">
        <v>8</v>
      </c>
      <c r="Q10" s="8"/>
      <c r="T10" s="11" t="s">
        <v>9</v>
      </c>
      <c r="U10" s="11"/>
      <c r="V10" s="11"/>
      <c r="W10" s="11"/>
      <c r="X10" s="11"/>
      <c r="Y10" s="11"/>
      <c r="Z10" s="11"/>
      <c r="AA10" s="11"/>
      <c r="AB10" s="11"/>
      <c r="AC10" s="11"/>
    </row>
    <row r="11" customFormat="false" ht="3.75" hidden="false" customHeight="true" outlineLevel="0" collapsed="false">
      <c r="B11" s="7"/>
      <c r="Q11" s="8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customFormat="false" ht="15" hidden="false" customHeight="false" outlineLevel="0" collapsed="false">
      <c r="B12" s="7"/>
      <c r="C12" s="1" t="s">
        <v>10</v>
      </c>
      <c r="Q12" s="8"/>
      <c r="T12" s="12" t="s">
        <v>11</v>
      </c>
      <c r="U12" s="12"/>
      <c r="V12" s="12"/>
      <c r="W12" s="12"/>
      <c r="X12" s="12"/>
      <c r="Y12" s="12"/>
      <c r="Z12" s="12"/>
      <c r="AA12" s="12"/>
      <c r="AB12" s="12"/>
      <c r="AC12" s="12"/>
      <c r="AD12" s="13" t="s">
        <v>12</v>
      </c>
    </row>
    <row r="13" customFormat="false" ht="15" hidden="false" customHeight="false" outlineLevel="0" collapsed="false">
      <c r="B13" s="10" t="s">
        <v>13</v>
      </c>
      <c r="Q13" s="8"/>
      <c r="T13" s="11"/>
      <c r="U13" s="11"/>
      <c r="V13" s="11"/>
      <c r="W13" s="11"/>
      <c r="X13" s="14" t="s">
        <v>14</v>
      </c>
      <c r="Y13" s="14"/>
      <c r="Z13" s="14"/>
      <c r="AA13" s="14"/>
      <c r="AB13" s="14"/>
      <c r="AC13" s="14"/>
    </row>
    <row r="14" customFormat="false" ht="15.75" hidden="false" customHeight="false" outlineLevel="0" collapsed="false">
      <c r="B14" s="1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7"/>
      <c r="T14" s="4" t="s">
        <v>15</v>
      </c>
    </row>
    <row r="15" customFormat="false" ht="15.75" hidden="false" customHeight="false" outlineLevel="0" collapsed="false"/>
    <row r="16" customFormat="false" ht="15.75" hidden="false" customHeight="true" outlineLevel="0" collapsed="false">
      <c r="B16" s="5" t="s">
        <v>16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T16" s="6" t="s">
        <v>17</v>
      </c>
      <c r="U16" s="6"/>
      <c r="V16" s="6"/>
      <c r="W16" s="6"/>
      <c r="X16" s="6"/>
      <c r="Y16" s="6"/>
      <c r="Z16" s="6"/>
      <c r="AA16" s="6"/>
    </row>
    <row r="17" customFormat="false" ht="3.75" hidden="false" customHeight="true" outlineLevel="0" collapsed="false">
      <c r="B17" s="18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20"/>
      <c r="T17" s="7"/>
      <c r="AA17" s="8"/>
    </row>
    <row r="18" customFormat="false" ht="15" hidden="false" customHeight="true" outlineLevel="0" collapsed="false">
      <c r="B18" s="21" t="s">
        <v>18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T18" s="22" t="s">
        <v>19</v>
      </c>
      <c r="U18" s="22"/>
      <c r="V18" s="22"/>
      <c r="W18" s="22"/>
      <c r="X18" s="22"/>
      <c r="Y18" s="22"/>
      <c r="Z18" s="22"/>
      <c r="AA18" s="22"/>
    </row>
    <row r="19" customFormat="false" ht="15" hidden="false" customHeight="false" outlineLevel="0" collapsed="false">
      <c r="B19" s="10" t="s">
        <v>20</v>
      </c>
      <c r="C19" s="1" t="s">
        <v>21</v>
      </c>
      <c r="Q19" s="8"/>
      <c r="T19" s="22"/>
      <c r="U19" s="22"/>
      <c r="V19" s="22"/>
      <c r="W19" s="22"/>
      <c r="X19" s="22"/>
      <c r="Y19" s="22"/>
      <c r="Z19" s="22"/>
      <c r="AA19" s="22"/>
    </row>
    <row r="20" customFormat="false" ht="3" hidden="false" customHeight="true" outlineLevel="0" collapsed="false">
      <c r="B20" s="7"/>
      <c r="Q20" s="8"/>
      <c r="T20" s="22"/>
      <c r="U20" s="22"/>
      <c r="V20" s="22"/>
      <c r="W20" s="22"/>
      <c r="X20" s="22"/>
      <c r="Y20" s="22"/>
      <c r="Z20" s="22"/>
      <c r="AA20" s="22"/>
    </row>
    <row r="21" customFormat="false" ht="15" hidden="false" customHeight="false" outlineLevel="0" collapsed="false">
      <c r="B21" s="7"/>
      <c r="C21" s="1" t="s">
        <v>22</v>
      </c>
      <c r="Q21" s="8"/>
      <c r="T21" s="22"/>
      <c r="U21" s="22"/>
      <c r="V21" s="22"/>
      <c r="W21" s="22"/>
      <c r="X21" s="22"/>
      <c r="Y21" s="22"/>
      <c r="Z21" s="22"/>
      <c r="AA21" s="22"/>
    </row>
    <row r="22" customFormat="false" ht="15" hidden="false" customHeight="false" outlineLevel="0" collapsed="false">
      <c r="B22" s="10" t="s">
        <v>23</v>
      </c>
      <c r="C22" s="1" t="s">
        <v>24</v>
      </c>
      <c r="Q22" s="8"/>
      <c r="T22" s="22"/>
      <c r="U22" s="22"/>
      <c r="V22" s="22"/>
      <c r="W22" s="22"/>
      <c r="X22" s="22"/>
      <c r="Y22" s="22"/>
      <c r="Z22" s="22"/>
      <c r="AA22" s="22"/>
    </row>
    <row r="23" customFormat="false" ht="3.75" hidden="false" customHeight="true" outlineLevel="0" collapsed="false">
      <c r="B23" s="23"/>
      <c r="Q23" s="8"/>
      <c r="T23" s="22"/>
      <c r="U23" s="22"/>
      <c r="V23" s="22"/>
      <c r="W23" s="22"/>
      <c r="X23" s="22"/>
      <c r="Y23" s="22"/>
      <c r="Z23" s="22"/>
      <c r="AA23" s="22"/>
    </row>
    <row r="24" customFormat="false" ht="15" hidden="false" customHeight="false" outlineLevel="0" collapsed="false">
      <c r="B24" s="10" t="s">
        <v>25</v>
      </c>
      <c r="C24" s="1" t="s">
        <v>26</v>
      </c>
      <c r="Q24" s="8"/>
      <c r="T24" s="22"/>
      <c r="U24" s="22"/>
      <c r="V24" s="22"/>
      <c r="W24" s="22"/>
      <c r="X24" s="22"/>
      <c r="Y24" s="22"/>
      <c r="Z24" s="22"/>
      <c r="AA24" s="22"/>
    </row>
    <row r="25" customFormat="false" ht="15" hidden="false" customHeight="true" outlineLevel="0" collapsed="false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T25" s="22"/>
      <c r="U25" s="22"/>
      <c r="V25" s="22"/>
      <c r="W25" s="22"/>
      <c r="X25" s="22"/>
      <c r="Y25" s="22"/>
      <c r="Z25" s="22"/>
      <c r="AA25" s="22"/>
    </row>
    <row r="26" customFormat="false" ht="15.75" hidden="false" customHeight="false" outlineLevel="0" collapsed="false"/>
    <row r="27" customFormat="false" ht="15.75" hidden="false" customHeight="false" outlineLevel="0" collapsed="false">
      <c r="B27" s="5" t="s">
        <v>27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T27" s="6" t="s">
        <v>28</v>
      </c>
      <c r="U27" s="6"/>
      <c r="V27" s="6"/>
      <c r="W27" s="6"/>
      <c r="X27" s="6"/>
      <c r="Y27" s="6"/>
      <c r="Z27" s="6"/>
      <c r="AA27" s="6"/>
    </row>
    <row r="28" customFormat="false" ht="3.75" hidden="false" customHeight="true" outlineLevel="0" collapsed="false"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20"/>
      <c r="T28" s="25" t="s">
        <v>29</v>
      </c>
      <c r="U28" s="25"/>
      <c r="V28" s="25"/>
      <c r="W28" s="25"/>
      <c r="X28" s="25"/>
      <c r="Y28" s="25"/>
      <c r="Z28" s="25"/>
      <c r="AA28" s="25"/>
    </row>
    <row r="29" customFormat="false" ht="15" hidden="false" customHeight="false" outlineLevel="0" collapsed="false">
      <c r="B29" s="10" t="s">
        <v>30</v>
      </c>
      <c r="D29" s="1" t="s">
        <v>31</v>
      </c>
      <c r="Q29" s="8"/>
      <c r="T29" s="25"/>
      <c r="U29" s="25"/>
      <c r="V29" s="25"/>
      <c r="W29" s="25"/>
      <c r="X29" s="25"/>
      <c r="Y29" s="25"/>
      <c r="Z29" s="25"/>
      <c r="AA29" s="25"/>
    </row>
    <row r="30" customFormat="false" ht="15" hidden="false" customHeight="false" outlineLevel="0" collapsed="false">
      <c r="B30" s="7"/>
      <c r="Q30" s="8"/>
      <c r="T30" s="25"/>
      <c r="U30" s="25"/>
      <c r="V30" s="25"/>
      <c r="W30" s="25"/>
      <c r="X30" s="25"/>
      <c r="Y30" s="25"/>
      <c r="Z30" s="25"/>
      <c r="AA30" s="25"/>
    </row>
    <row r="31" customFormat="false" ht="15" hidden="false" customHeight="false" outlineLevel="0" collapsed="false">
      <c r="B31" s="10" t="s">
        <v>32</v>
      </c>
      <c r="D31" s="1" t="s">
        <v>33</v>
      </c>
      <c r="Q31" s="8"/>
      <c r="T31" s="25"/>
      <c r="U31" s="25"/>
      <c r="V31" s="25"/>
      <c r="W31" s="25"/>
      <c r="X31" s="25"/>
      <c r="Y31" s="25"/>
      <c r="Z31" s="25"/>
      <c r="AA31" s="25"/>
    </row>
    <row r="32" customFormat="false" ht="3.75" hidden="false" customHeight="true" outlineLevel="0" collapsed="false">
      <c r="B32" s="15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7"/>
      <c r="T32" s="25"/>
      <c r="U32" s="25"/>
      <c r="V32" s="25"/>
      <c r="W32" s="25"/>
      <c r="X32" s="25"/>
      <c r="Y32" s="25"/>
      <c r="Z32" s="25"/>
      <c r="AA32" s="25"/>
    </row>
    <row r="33" customFormat="false" ht="15" hidden="false" customHeight="true" outlineLevel="0" collapsed="false"/>
  </sheetData>
  <mergeCells count="12">
    <mergeCell ref="B5:Q5"/>
    <mergeCell ref="T5:AA5"/>
    <mergeCell ref="T6:AA7"/>
    <mergeCell ref="T12:AC12"/>
    <mergeCell ref="B16:Q16"/>
    <mergeCell ref="T16:AA16"/>
    <mergeCell ref="B18:Q18"/>
    <mergeCell ref="T18:AA25"/>
    <mergeCell ref="B25:Q25"/>
    <mergeCell ref="B27:Q27"/>
    <mergeCell ref="T27:AA27"/>
    <mergeCell ref="T28:AA3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CommandButton1">
              <controlPr defaultSize="0" print="true" autoFill="0" autoPict="0">
                <anchor moveWithCells="true" sizeWithCells="false">
                  <from>
                    <xdr:col>13</xdr:col>
                    <xdr:colOff>9360</xdr:colOff>
                    <xdr:row>6</xdr:row>
                    <xdr:rowOff>0</xdr:rowOff>
                  </from>
                  <to>
                    <xdr:col>14</xdr:col>
                    <xdr:colOff>56880</xdr:colOff>
                    <xdr:row>8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CommandButton2">
              <controlPr defaultSize="0" print="true" autoFill="0" autoPict="0">
                <anchor moveWithCells="true" sizeWithCells="false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76320</xdr:colOff>
                    <xdr:row>13</xdr:row>
                    <xdr:rowOff>114120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9">
              <controlPr defaultSize="0" print="true" autoFill="0" autoPict="0" macro="ByCusip.ClientDatabyCUSIP">
                <anchor moveWithCells="true" sizeWithCells="false">
                  <from>
                    <xdr:col>13</xdr:col>
                    <xdr:colOff>9360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52">
              <controlPr defaultSize="0" print="true" autoFill="0" autoPict="0">
                <anchor moveWithCells="true" sizeWithCells="false">
                  <from>
                    <xdr:col>13</xdr:col>
                    <xdr:colOff>0</xdr:colOff>
                    <xdr:row>28</xdr:row>
                    <xdr:rowOff>9360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CommandButton3">
              <controlPr defaultSize="0" print="true" autoFill="0" autoPict="0">
                <anchor moveWithCells="true" sizeWithCells="false">
                  <from>
                    <xdr:col>15</xdr:col>
                    <xdr:colOff>9360</xdr:colOff>
                    <xdr:row>6</xdr:row>
                    <xdr:rowOff>0</xdr:rowOff>
                  </from>
                  <to>
                    <xdr:col>16</xdr:col>
                    <xdr:colOff>-619560</xdr:colOff>
                    <xdr:row>8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CommandButton4">
              <controlPr defaultSize="0" print="true" autoFill="0" autoPict="0">
                <anchor moveWithCells="true" sizeWithCells="false">
                  <from>
                    <xdr:col>15</xdr:col>
                    <xdr:colOff>28440</xdr:colOff>
                    <xdr:row>12</xdr:row>
                    <xdr:rowOff>0</xdr:rowOff>
                  </from>
                  <to>
                    <xdr:col>16</xdr:col>
                    <xdr:colOff>-590760</xdr:colOff>
                    <xdr:row>13</xdr:row>
                    <xdr:rowOff>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56">
              <controlPr defaultSize="0" print="true" autoFill="0" autoPict="0" macro="ExportTable.Export">
                <anchor moveWithCells="true" sizeWithCells="false">
                  <from>
                    <xdr:col>13</xdr:col>
                    <xdr:colOff>0</xdr:colOff>
                    <xdr:row>30</xdr:row>
                    <xdr:rowOff>19080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58">
              <controlPr defaultSize="0" print="true" autoFill="0" autoPict="0" macro="ClearWorking.workingclear">
                <anchor moveWithCells="true" sizeWithCells="false">
                  <from>
                    <xdr:col>14</xdr:col>
                    <xdr:colOff>66600</xdr:colOff>
                    <xdr:row>18</xdr:row>
                    <xdr:rowOff>0</xdr:rowOff>
                  </from>
                  <to>
                    <xdr:col>15</xdr:col>
                    <xdr:colOff>904680</xdr:colOff>
                    <xdr:row>20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60">
              <controlPr defaultSize="0" print="true" autoFill="0" autoPict="0" macro="ClearOutput.outputclear">
                <anchor moveWithCells="true" sizeWithCells="false">
                  <from>
                    <xdr:col>15</xdr:col>
                    <xdr:colOff>9360</xdr:colOff>
                    <xdr:row>28</xdr:row>
                    <xdr:rowOff>0</xdr:rowOff>
                  </from>
                  <to>
                    <xdr:col>16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" name="CommandButton5">
              <controlPr defaultSize="0" print="true" autoFill="0" autoPict="0">
                <anchor moveWithCells="true" sizeWithCells="false">
                  <from>
                    <xdr:col>13</xdr:col>
                    <xdr:colOff>9360</xdr:colOff>
                    <xdr:row>9</xdr:row>
                    <xdr:rowOff>0</xdr:rowOff>
                  </from>
                  <to>
                    <xdr:col>14</xdr:col>
                    <xdr:colOff>56880</xdr:colOff>
                    <xdr:row>11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" name="CommandButton6">
              <controlPr defaultSize="0" print="true" autoFill="0" autoPict="0">
                <anchor moveWithCells="true" sizeWithCells="false">
                  <from>
                    <xdr:col>15</xdr:col>
                    <xdr:colOff>19080</xdr:colOff>
                    <xdr:row>9</xdr:row>
                    <xdr:rowOff>9360</xdr:rowOff>
                  </from>
                  <to>
                    <xdr:col>16</xdr:col>
                    <xdr:colOff>-609840</xdr:colOff>
                    <xdr:row>11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4" name="Button 65">
              <controlPr defaultSize="0" print="true" autoFill="0" autoPict="0" macro="ByTicker.ClientDatabyTicker">
                <anchor moveWithCells="true" sizeWithCells="false">
                  <from>
                    <xdr:col>13</xdr:col>
                    <xdr:colOff>9360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3.5" zeroHeight="false" outlineLevelRow="0" outlineLevelCol="0"/>
  <cols>
    <col collapsed="false" customWidth="true" hidden="false" outlineLevel="0" max="1" min="1" style="26" width="16.43"/>
    <col collapsed="false" customWidth="true" hidden="false" outlineLevel="0" max="2" min="2" style="27" width="3.43"/>
    <col collapsed="false" customWidth="true" hidden="false" outlineLevel="0" max="3" min="3" style="0" width="32.14"/>
    <col collapsed="false" customWidth="true" hidden="false" outlineLevel="0" max="4" min="4" style="27" width="18.57"/>
    <col collapsed="false" customWidth="false" hidden="false" outlineLevel="0" max="5" min="5" style="27" width="8.57"/>
    <col collapsed="false" customWidth="true" hidden="false" outlineLevel="0" max="6" min="6" style="0" width="10"/>
    <col collapsed="false" customWidth="true" hidden="false" outlineLevel="0" max="7" min="7" style="0" width="22"/>
    <col collapsed="false" customWidth="true" hidden="false" outlineLevel="0" max="9" min="8" style="0" width="10"/>
  </cols>
  <sheetData>
    <row r="1" customFormat="false" ht="13.5" hidden="false" customHeight="true" outlineLevel="0" collapsed="false">
      <c r="A1" s="28" t="s">
        <v>34</v>
      </c>
      <c r="B1" s="29" t="s">
        <v>35</v>
      </c>
      <c r="C1" s="30" t="s">
        <v>36</v>
      </c>
      <c r="D1" s="30" t="s">
        <v>37</v>
      </c>
      <c r="E1" s="30" t="s">
        <v>38</v>
      </c>
    </row>
    <row r="2" customFormat="false" ht="13.5" hidden="false" customHeight="true" outlineLevel="0" collapsed="false">
      <c r="A2" s="31"/>
    </row>
    <row r="3" customFormat="false" ht="13.5" hidden="false" customHeight="true" outlineLevel="0" collapsed="false">
      <c r="A3" s="31"/>
    </row>
    <row r="4" customFormat="false" ht="13.5" hidden="false" customHeight="true" outlineLevel="0" collapsed="false">
      <c r="A4" s="31"/>
    </row>
    <row r="5" customFormat="false" ht="13.5" hidden="false" customHeight="true" outlineLevel="0" collapsed="false">
      <c r="A5" s="31"/>
    </row>
    <row r="6" customFormat="false" ht="13.5" hidden="false" customHeight="true" outlineLevel="0" collapsed="false">
      <c r="A6" s="31"/>
    </row>
    <row r="7" customFormat="false" ht="13.5" hidden="false" customHeight="true" outlineLevel="0" collapsed="false">
      <c r="A7" s="31"/>
    </row>
    <row r="8" customFormat="false" ht="13.5" hidden="false" customHeight="true" outlineLevel="0" collapsed="false">
      <c r="A8" s="31"/>
    </row>
    <row r="9" customFormat="false" ht="13.5" hidden="false" customHeight="true" outlineLevel="0" collapsed="false">
      <c r="A9" s="31"/>
    </row>
    <row r="10" customFormat="false" ht="13.5" hidden="false" customHeight="true" outlineLevel="0" collapsed="false">
      <c r="A10" s="31"/>
    </row>
    <row r="11" customFormat="false" ht="13.5" hidden="false" customHeight="true" outlineLevel="0" collapsed="false">
      <c r="A11" s="31"/>
    </row>
    <row r="12" customFormat="false" ht="13.5" hidden="false" customHeight="true" outlineLevel="0" collapsed="false">
      <c r="A12" s="31"/>
    </row>
    <row r="13" customFormat="false" ht="13.5" hidden="false" customHeight="true" outlineLevel="0" collapsed="false">
      <c r="A13" s="31"/>
    </row>
    <row r="14" customFormat="false" ht="13.5" hidden="false" customHeight="true" outlineLevel="0" collapsed="false">
      <c r="A14" s="31"/>
    </row>
    <row r="15" customFormat="false" ht="13.5" hidden="false" customHeight="true" outlineLevel="0" collapsed="false">
      <c r="A15" s="31"/>
    </row>
    <row r="16" customFormat="false" ht="13.5" hidden="false" customHeight="true" outlineLevel="0" collapsed="false">
      <c r="A16" s="31"/>
    </row>
    <row r="17" customFormat="false" ht="13.5" hidden="false" customHeight="true" outlineLevel="0" collapsed="false">
      <c r="A17" s="31"/>
    </row>
    <row r="18" customFormat="false" ht="13.5" hidden="false" customHeight="true" outlineLevel="0" collapsed="false">
      <c r="A18" s="31"/>
    </row>
    <row r="19" customFormat="false" ht="13.5" hidden="false" customHeight="true" outlineLevel="0" collapsed="false">
      <c r="A19" s="31"/>
    </row>
    <row r="20" customFormat="false" ht="13.5" hidden="false" customHeight="true" outlineLevel="0" collapsed="false">
      <c r="A20" s="31"/>
    </row>
    <row r="21" customFormat="false" ht="13.5" hidden="false" customHeight="true" outlineLevel="0" collapsed="false">
      <c r="A21" s="31"/>
    </row>
    <row r="22" customFormat="false" ht="13.5" hidden="false" customHeight="true" outlineLevel="0" collapsed="false">
      <c r="A22" s="31"/>
    </row>
    <row r="23" customFormat="false" ht="13.5" hidden="false" customHeight="true" outlineLevel="0" collapsed="false">
      <c r="A23" s="31"/>
    </row>
    <row r="24" customFormat="false" ht="13.5" hidden="false" customHeight="true" outlineLevel="0" collapsed="false">
      <c r="A24" s="31"/>
    </row>
    <row r="25" customFormat="false" ht="13.5" hidden="false" customHeight="true" outlineLevel="0" collapsed="false">
      <c r="A25" s="31"/>
    </row>
    <row r="26" customFormat="false" ht="13.5" hidden="false" customHeight="true" outlineLevel="0" collapsed="false">
      <c r="A26" s="31"/>
    </row>
    <row r="27" customFormat="false" ht="13.5" hidden="false" customHeight="true" outlineLevel="0" collapsed="false">
      <c r="A27" s="31"/>
    </row>
    <row r="28" customFormat="false" ht="13.5" hidden="false" customHeight="true" outlineLevel="0" collapsed="false">
      <c r="A28" s="31"/>
    </row>
    <row r="29" customFormat="false" ht="13.5" hidden="false" customHeight="true" outlineLevel="0" collapsed="false">
      <c r="A29" s="31"/>
    </row>
    <row r="30" customFormat="false" ht="13.5" hidden="false" customHeight="true" outlineLevel="0" collapsed="false">
      <c r="A30" s="31"/>
    </row>
    <row r="31" customFormat="false" ht="13.5" hidden="false" customHeight="true" outlineLevel="0" collapsed="false">
      <c r="A31" s="31"/>
    </row>
    <row r="32" customFormat="false" ht="13.5" hidden="false" customHeight="true" outlineLevel="0" collapsed="false">
      <c r="A32" s="31"/>
    </row>
    <row r="33" customFormat="false" ht="13.5" hidden="false" customHeight="true" outlineLevel="0" collapsed="false">
      <c r="A33" s="31"/>
    </row>
    <row r="34" customFormat="false" ht="13.5" hidden="false" customHeight="true" outlineLevel="0" collapsed="false">
      <c r="A34" s="31"/>
    </row>
    <row r="35" customFormat="false" ht="13.5" hidden="false" customHeight="true" outlineLevel="0" collapsed="false">
      <c r="A35" s="31"/>
    </row>
    <row r="36" customFormat="false" ht="13.5" hidden="false" customHeight="true" outlineLevel="0" collapsed="false">
      <c r="A36" s="31"/>
    </row>
    <row r="37" customFormat="false" ht="13.5" hidden="false" customHeight="true" outlineLevel="0" collapsed="false">
      <c r="A37" s="31"/>
    </row>
    <row r="38" customFormat="false" ht="13.5" hidden="false" customHeight="true" outlineLevel="0" collapsed="false">
      <c r="A38" s="31"/>
    </row>
    <row r="39" customFormat="false" ht="13.5" hidden="false" customHeight="true" outlineLevel="0" collapsed="false">
      <c r="A39" s="31"/>
    </row>
    <row r="40" customFormat="false" ht="13.5" hidden="false" customHeight="true" outlineLevel="0" collapsed="false">
      <c r="A40" s="31"/>
    </row>
    <row r="41" customFormat="false" ht="13.5" hidden="false" customHeight="true" outlineLevel="0" collapsed="false">
      <c r="A41" s="31"/>
    </row>
    <row r="42" customFormat="false" ht="13.5" hidden="false" customHeight="true" outlineLevel="0" collapsed="false">
      <c r="A42" s="31"/>
    </row>
    <row r="43" customFormat="false" ht="13.5" hidden="false" customHeight="true" outlineLevel="0" collapsed="false">
      <c r="A43" s="31"/>
    </row>
    <row r="44" customFormat="false" ht="13.5" hidden="false" customHeight="true" outlineLevel="0" collapsed="false">
      <c r="A44" s="31"/>
    </row>
    <row r="45" customFormat="false" ht="13.5" hidden="false" customHeight="true" outlineLevel="0" collapsed="false">
      <c r="A45" s="31"/>
    </row>
    <row r="46" customFormat="false" ht="13.5" hidden="false" customHeight="true" outlineLevel="0" collapsed="false">
      <c r="A46" s="31"/>
    </row>
    <row r="47" customFormat="false" ht="13.5" hidden="false" customHeight="true" outlineLevel="0" collapsed="false">
      <c r="A47" s="31"/>
    </row>
    <row r="48" customFormat="false" ht="13.5" hidden="false" customHeight="true" outlineLevel="0" collapsed="false">
      <c r="A48" s="31"/>
    </row>
    <row r="49" customFormat="false" ht="13.5" hidden="false" customHeight="true" outlineLevel="0" collapsed="false">
      <c r="A49" s="31"/>
    </row>
    <row r="50" customFormat="false" ht="13.5" hidden="false" customHeight="true" outlineLevel="0" collapsed="false">
      <c r="A50" s="31"/>
    </row>
    <row r="51" customFormat="false" ht="13.5" hidden="false" customHeight="true" outlineLevel="0" collapsed="false">
      <c r="A51" s="31"/>
    </row>
    <row r="52" customFormat="false" ht="13.5" hidden="false" customHeight="true" outlineLevel="0" collapsed="false">
      <c r="A52" s="31"/>
    </row>
    <row r="53" customFormat="false" ht="13.5" hidden="false" customHeight="true" outlineLevel="0" collapsed="false">
      <c r="A53" s="31"/>
    </row>
    <row r="54" customFormat="false" ht="13.5" hidden="false" customHeight="true" outlineLevel="0" collapsed="false">
      <c r="A54" s="31"/>
    </row>
    <row r="55" customFormat="false" ht="13.5" hidden="false" customHeight="true" outlineLevel="0" collapsed="false">
      <c r="A55" s="31"/>
    </row>
    <row r="56" customFormat="false" ht="13.5" hidden="false" customHeight="true" outlineLevel="0" collapsed="false">
      <c r="A56" s="31"/>
    </row>
    <row r="57" customFormat="false" ht="13.5" hidden="false" customHeight="true" outlineLevel="0" collapsed="false">
      <c r="A57" s="31"/>
    </row>
    <row r="58" customFormat="false" ht="13.5" hidden="false" customHeight="true" outlineLevel="0" collapsed="false">
      <c r="A58" s="31"/>
    </row>
    <row r="59" customFormat="false" ht="13.5" hidden="false" customHeight="true" outlineLevel="0" collapsed="false">
      <c r="A59" s="31"/>
    </row>
    <row r="60" customFormat="false" ht="13.5" hidden="false" customHeight="true" outlineLevel="0" collapsed="false">
      <c r="A60" s="31"/>
    </row>
    <row r="61" customFormat="false" ht="13.5" hidden="false" customHeight="true" outlineLevel="0" collapsed="false">
      <c r="A61" s="31"/>
    </row>
    <row r="62" customFormat="false" ht="13.5" hidden="false" customHeight="true" outlineLevel="0" collapsed="false">
      <c r="A62" s="31"/>
    </row>
    <row r="63" customFormat="false" ht="13.5" hidden="false" customHeight="true" outlineLevel="0" collapsed="false">
      <c r="A63" s="31"/>
    </row>
    <row r="64" customFormat="false" ht="13.5" hidden="false" customHeight="true" outlineLevel="0" collapsed="false">
      <c r="A64" s="31"/>
    </row>
    <row r="65" customFormat="false" ht="13.5" hidden="false" customHeight="true" outlineLevel="0" collapsed="false">
      <c r="A65" s="31"/>
    </row>
    <row r="66" customFormat="false" ht="13.5" hidden="false" customHeight="true" outlineLevel="0" collapsed="false">
      <c r="A66" s="31"/>
    </row>
    <row r="67" customFormat="false" ht="13.5" hidden="false" customHeight="true" outlineLevel="0" collapsed="false">
      <c r="A67" s="31"/>
    </row>
    <row r="68" customFormat="false" ht="13.5" hidden="false" customHeight="true" outlineLevel="0" collapsed="false">
      <c r="A68" s="31"/>
    </row>
    <row r="69" customFormat="false" ht="13.5" hidden="false" customHeight="true" outlineLevel="0" collapsed="false">
      <c r="A69" s="31"/>
    </row>
    <row r="70" customFormat="false" ht="13.5" hidden="false" customHeight="true" outlineLevel="0" collapsed="false">
      <c r="A70" s="31"/>
    </row>
    <row r="71" customFormat="false" ht="13.5" hidden="false" customHeight="true" outlineLevel="0" collapsed="false">
      <c r="A71" s="31"/>
    </row>
    <row r="72" customFormat="false" ht="13.5" hidden="false" customHeight="true" outlineLevel="0" collapsed="false">
      <c r="A72" s="31"/>
    </row>
    <row r="73" customFormat="false" ht="13.5" hidden="false" customHeight="true" outlineLevel="0" collapsed="false">
      <c r="A73" s="31"/>
    </row>
    <row r="74" customFormat="false" ht="13.5" hidden="false" customHeight="true" outlineLevel="0" collapsed="false">
      <c r="A74" s="31"/>
    </row>
    <row r="75" customFormat="false" ht="13.5" hidden="false" customHeight="true" outlineLevel="0" collapsed="false">
      <c r="A75" s="31"/>
    </row>
    <row r="76" customFormat="false" ht="13.5" hidden="false" customHeight="true" outlineLevel="0" collapsed="false">
      <c r="A76" s="31"/>
    </row>
    <row r="77" customFormat="false" ht="13.5" hidden="false" customHeight="true" outlineLevel="0" collapsed="false">
      <c r="A77" s="31"/>
    </row>
    <row r="78" customFormat="false" ht="13.5" hidden="false" customHeight="true" outlineLevel="0" collapsed="false">
      <c r="A78" s="31"/>
    </row>
    <row r="79" customFormat="false" ht="13.5" hidden="false" customHeight="true" outlineLevel="0" collapsed="false">
      <c r="A79" s="31"/>
    </row>
    <row r="80" customFormat="false" ht="13.5" hidden="false" customHeight="true" outlineLevel="0" collapsed="false">
      <c r="A80" s="31"/>
    </row>
    <row r="81" customFormat="false" ht="13.5" hidden="false" customHeight="true" outlineLevel="0" collapsed="false">
      <c r="A81" s="31"/>
    </row>
    <row r="82" customFormat="false" ht="13.5" hidden="false" customHeight="true" outlineLevel="0" collapsed="false">
      <c r="A82" s="31"/>
    </row>
    <row r="83" customFormat="false" ht="13.5" hidden="false" customHeight="true" outlineLevel="0" collapsed="false">
      <c r="A83" s="31"/>
    </row>
    <row r="84" customFormat="false" ht="13.5" hidden="false" customHeight="true" outlineLevel="0" collapsed="false">
      <c r="A84" s="31"/>
    </row>
    <row r="85" customFormat="false" ht="13.5" hidden="false" customHeight="true" outlineLevel="0" collapsed="false">
      <c r="A85" s="31"/>
    </row>
    <row r="86" customFormat="false" ht="13.5" hidden="false" customHeight="true" outlineLevel="0" collapsed="false">
      <c r="A86" s="31"/>
    </row>
    <row r="87" customFormat="false" ht="13.5" hidden="false" customHeight="true" outlineLevel="0" collapsed="false">
      <c r="A87" s="31"/>
    </row>
    <row r="88" customFormat="false" ht="13.5" hidden="false" customHeight="true" outlineLevel="0" collapsed="false">
      <c r="A88" s="31"/>
    </row>
    <row r="89" customFormat="false" ht="13.5" hidden="false" customHeight="true" outlineLevel="0" collapsed="false">
      <c r="A89" s="31"/>
    </row>
    <row r="90" customFormat="false" ht="13.5" hidden="false" customHeight="true" outlineLevel="0" collapsed="false">
      <c r="A90" s="31"/>
    </row>
    <row r="91" customFormat="false" ht="13.5" hidden="false" customHeight="true" outlineLevel="0" collapsed="false">
      <c r="A91" s="31"/>
    </row>
    <row r="92" customFormat="false" ht="13.5" hidden="false" customHeight="true" outlineLevel="0" collapsed="false">
      <c r="A92" s="31"/>
    </row>
    <row r="93" customFormat="false" ht="13.5" hidden="false" customHeight="true" outlineLevel="0" collapsed="false">
      <c r="A93" s="31"/>
    </row>
    <row r="94" customFormat="false" ht="13.5" hidden="false" customHeight="true" outlineLevel="0" collapsed="false">
      <c r="A94" s="31"/>
    </row>
    <row r="95" customFormat="false" ht="13.5" hidden="false" customHeight="true" outlineLevel="0" collapsed="false">
      <c r="A95" s="31"/>
    </row>
    <row r="96" customFormat="false" ht="13.5" hidden="false" customHeight="true" outlineLevel="0" collapsed="false">
      <c r="A96" s="31"/>
    </row>
    <row r="97" customFormat="false" ht="13.5" hidden="false" customHeight="true" outlineLevel="0" collapsed="false">
      <c r="A97" s="31"/>
    </row>
    <row r="98" customFormat="false" ht="13.5" hidden="false" customHeight="true" outlineLevel="0" collapsed="false">
      <c r="A98" s="31"/>
    </row>
    <row r="99" customFormat="false" ht="13.5" hidden="false" customHeight="true" outlineLevel="0" collapsed="false">
      <c r="A99" s="31"/>
    </row>
    <row r="100" customFormat="false" ht="13.5" hidden="false" customHeight="true" outlineLevel="0" collapsed="false">
      <c r="A100" s="31"/>
    </row>
    <row r="101" customFormat="false" ht="13.5" hidden="false" customHeight="true" outlineLevel="0" collapsed="false">
      <c r="A101" s="31"/>
    </row>
    <row r="102" customFormat="false" ht="13.5" hidden="false" customHeight="true" outlineLevel="0" collapsed="false">
      <c r="A102" s="31"/>
    </row>
    <row r="103" customFormat="false" ht="13.5" hidden="false" customHeight="true" outlineLevel="0" collapsed="false">
      <c r="A103" s="31"/>
    </row>
    <row r="104" customFormat="false" ht="13.5" hidden="false" customHeight="true" outlineLevel="0" collapsed="false">
      <c r="A104" s="31"/>
    </row>
    <row r="105" customFormat="false" ht="13.5" hidden="false" customHeight="true" outlineLevel="0" collapsed="false">
      <c r="A105" s="31"/>
    </row>
    <row r="106" customFormat="false" ht="13.5" hidden="false" customHeight="true" outlineLevel="0" collapsed="false">
      <c r="A106" s="31"/>
    </row>
    <row r="107" customFormat="false" ht="13.5" hidden="false" customHeight="true" outlineLevel="0" collapsed="false">
      <c r="A107" s="31"/>
    </row>
    <row r="108" customFormat="false" ht="13.5" hidden="false" customHeight="true" outlineLevel="0" collapsed="false">
      <c r="A108" s="31"/>
    </row>
    <row r="109" customFormat="false" ht="13.5" hidden="false" customHeight="true" outlineLevel="0" collapsed="false">
      <c r="A109" s="31"/>
    </row>
    <row r="110" customFormat="false" ht="13.5" hidden="false" customHeight="true" outlineLevel="0" collapsed="false">
      <c r="A110" s="31"/>
    </row>
    <row r="111" customFormat="false" ht="13.5" hidden="false" customHeight="true" outlineLevel="0" collapsed="false">
      <c r="A111" s="31"/>
    </row>
    <row r="112" customFormat="false" ht="13.5" hidden="false" customHeight="true" outlineLevel="0" collapsed="false">
      <c r="A112" s="31"/>
    </row>
    <row r="113" customFormat="false" ht="13.5" hidden="false" customHeight="true" outlineLevel="0" collapsed="false">
      <c r="A113" s="31"/>
    </row>
    <row r="114" customFormat="false" ht="13.5" hidden="false" customHeight="true" outlineLevel="0" collapsed="false">
      <c r="A114" s="31"/>
    </row>
    <row r="115" customFormat="false" ht="13.5" hidden="false" customHeight="true" outlineLevel="0" collapsed="false">
      <c r="A115" s="31"/>
    </row>
    <row r="116" customFormat="false" ht="13.5" hidden="false" customHeight="true" outlineLevel="0" collapsed="false">
      <c r="A116" s="31"/>
    </row>
    <row r="117" customFormat="false" ht="13.5" hidden="false" customHeight="true" outlineLevel="0" collapsed="false">
      <c r="A117" s="31"/>
    </row>
    <row r="118" customFormat="false" ht="13.5" hidden="false" customHeight="true" outlineLevel="0" collapsed="false">
      <c r="A118" s="31"/>
    </row>
    <row r="119" customFormat="false" ht="13.5" hidden="false" customHeight="true" outlineLevel="0" collapsed="false">
      <c r="A119" s="31"/>
    </row>
    <row r="120" customFormat="false" ht="13.5" hidden="false" customHeight="true" outlineLevel="0" collapsed="false">
      <c r="A120" s="31"/>
    </row>
    <row r="121" customFormat="false" ht="13.5" hidden="false" customHeight="true" outlineLevel="0" collapsed="false">
      <c r="A121" s="31"/>
    </row>
    <row r="122" customFormat="false" ht="13.5" hidden="false" customHeight="true" outlineLevel="0" collapsed="false">
      <c r="A122" s="31"/>
    </row>
    <row r="123" customFormat="false" ht="13.5" hidden="false" customHeight="true" outlineLevel="0" collapsed="false">
      <c r="A123" s="31"/>
    </row>
    <row r="124" customFormat="false" ht="13.5" hidden="false" customHeight="true" outlineLevel="0" collapsed="false">
      <c r="A124" s="31"/>
    </row>
    <row r="125" customFormat="false" ht="13.5" hidden="false" customHeight="true" outlineLevel="0" collapsed="false">
      <c r="A125" s="31"/>
    </row>
    <row r="126" customFormat="false" ht="13.5" hidden="false" customHeight="true" outlineLevel="0" collapsed="false">
      <c r="A126" s="31"/>
    </row>
    <row r="127" customFormat="false" ht="13.5" hidden="false" customHeight="true" outlineLevel="0" collapsed="false">
      <c r="A127" s="31"/>
    </row>
    <row r="128" customFormat="false" ht="13.5" hidden="false" customHeight="true" outlineLevel="0" collapsed="false">
      <c r="A128" s="31"/>
    </row>
    <row r="129" customFormat="false" ht="13.5" hidden="false" customHeight="true" outlineLevel="0" collapsed="false">
      <c r="A129" s="31"/>
    </row>
    <row r="130" customFormat="false" ht="13.5" hidden="false" customHeight="true" outlineLevel="0" collapsed="false">
      <c r="A130" s="31"/>
    </row>
    <row r="131" customFormat="false" ht="13.5" hidden="false" customHeight="true" outlineLevel="0" collapsed="false">
      <c r="A131" s="31"/>
    </row>
    <row r="132" customFormat="false" ht="13.5" hidden="false" customHeight="true" outlineLevel="0" collapsed="false">
      <c r="A132" s="31"/>
    </row>
    <row r="133" customFormat="false" ht="13.5" hidden="false" customHeight="true" outlineLevel="0" collapsed="false">
      <c r="A133" s="31"/>
    </row>
    <row r="134" customFormat="false" ht="13.5" hidden="false" customHeight="true" outlineLevel="0" collapsed="false">
      <c r="A134" s="31"/>
    </row>
    <row r="135" customFormat="false" ht="13.5" hidden="false" customHeight="true" outlineLevel="0" collapsed="false">
      <c r="A135" s="31"/>
    </row>
    <row r="136" customFormat="false" ht="13.5" hidden="false" customHeight="true" outlineLevel="0" collapsed="false">
      <c r="A136" s="31"/>
    </row>
    <row r="137" customFormat="false" ht="13.5" hidden="false" customHeight="true" outlineLevel="0" collapsed="false">
      <c r="A137" s="31"/>
    </row>
    <row r="138" customFormat="false" ht="13.5" hidden="false" customHeight="true" outlineLevel="0" collapsed="false">
      <c r="A138" s="31"/>
    </row>
    <row r="139" customFormat="false" ht="13.5" hidden="false" customHeight="true" outlineLevel="0" collapsed="false">
      <c r="A139" s="31"/>
    </row>
    <row r="140" customFormat="false" ht="13.5" hidden="false" customHeight="true" outlineLevel="0" collapsed="false">
      <c r="A140" s="31"/>
    </row>
    <row r="141" customFormat="false" ht="13.5" hidden="false" customHeight="true" outlineLevel="0" collapsed="false">
      <c r="A141" s="31"/>
    </row>
    <row r="142" customFormat="false" ht="13.5" hidden="false" customHeight="true" outlineLevel="0" collapsed="false">
      <c r="A142" s="31"/>
    </row>
    <row r="143" customFormat="false" ht="13.5" hidden="false" customHeight="true" outlineLevel="0" collapsed="false">
      <c r="A143" s="31"/>
    </row>
    <row r="144" customFormat="false" ht="13.5" hidden="false" customHeight="true" outlineLevel="0" collapsed="false">
      <c r="A144" s="31"/>
    </row>
    <row r="145" customFormat="false" ht="13.5" hidden="false" customHeight="true" outlineLevel="0" collapsed="false">
      <c r="A145" s="31"/>
    </row>
    <row r="146" customFormat="false" ht="13.5" hidden="false" customHeight="true" outlineLevel="0" collapsed="false">
      <c r="A146" s="31"/>
    </row>
    <row r="147" customFormat="false" ht="13.5" hidden="false" customHeight="true" outlineLevel="0" collapsed="false">
      <c r="A147" s="31"/>
    </row>
    <row r="148" customFormat="false" ht="13.5" hidden="false" customHeight="true" outlineLevel="0" collapsed="false">
      <c r="A148" s="31"/>
    </row>
    <row r="149" customFormat="false" ht="13.5" hidden="false" customHeight="true" outlineLevel="0" collapsed="false">
      <c r="A149" s="31"/>
    </row>
    <row r="150" customFormat="false" ht="13.5" hidden="false" customHeight="true" outlineLevel="0" collapsed="false">
      <c r="A150" s="31"/>
    </row>
    <row r="151" customFormat="false" ht="13.5" hidden="false" customHeight="true" outlineLevel="0" collapsed="false">
      <c r="A151" s="31"/>
    </row>
    <row r="152" customFormat="false" ht="13.5" hidden="false" customHeight="true" outlineLevel="0" collapsed="false">
      <c r="A152" s="31"/>
    </row>
    <row r="153" customFormat="false" ht="13.5" hidden="false" customHeight="true" outlineLevel="0" collapsed="false">
      <c r="A153" s="31"/>
    </row>
    <row r="154" customFormat="false" ht="13.5" hidden="false" customHeight="true" outlineLevel="0" collapsed="false">
      <c r="A154" s="31"/>
    </row>
    <row r="155" customFormat="false" ht="13.5" hidden="false" customHeight="true" outlineLevel="0" collapsed="false">
      <c r="A155" s="31"/>
    </row>
    <row r="156" customFormat="false" ht="13.5" hidden="false" customHeight="true" outlineLevel="0" collapsed="false">
      <c r="A156" s="31"/>
    </row>
    <row r="157" customFormat="false" ht="13.5" hidden="false" customHeight="true" outlineLevel="0" collapsed="false">
      <c r="A157" s="31"/>
    </row>
    <row r="158" customFormat="false" ht="13.5" hidden="false" customHeight="true" outlineLevel="0" collapsed="false">
      <c r="A158" s="31"/>
    </row>
    <row r="159" customFormat="false" ht="13.5" hidden="false" customHeight="true" outlineLevel="0" collapsed="false">
      <c r="A159" s="31"/>
    </row>
    <row r="160" customFormat="false" ht="13.5" hidden="false" customHeight="true" outlineLevel="0" collapsed="false">
      <c r="A160" s="31"/>
    </row>
    <row r="161" customFormat="false" ht="13.5" hidden="false" customHeight="true" outlineLevel="0" collapsed="false">
      <c r="A161" s="31"/>
    </row>
    <row r="162" customFormat="false" ht="13.5" hidden="false" customHeight="true" outlineLevel="0" collapsed="false">
      <c r="A162" s="31"/>
    </row>
    <row r="163" customFormat="false" ht="13.5" hidden="false" customHeight="true" outlineLevel="0" collapsed="false">
      <c r="A163" s="31"/>
    </row>
    <row r="164" customFormat="false" ht="13.5" hidden="false" customHeight="true" outlineLevel="0" collapsed="false">
      <c r="A164" s="31"/>
    </row>
    <row r="165" customFormat="false" ht="13.5" hidden="false" customHeight="true" outlineLevel="0" collapsed="false">
      <c r="A165" s="31"/>
    </row>
    <row r="166" customFormat="false" ht="13.5" hidden="false" customHeight="true" outlineLevel="0" collapsed="false">
      <c r="A166" s="31"/>
    </row>
    <row r="167" customFormat="false" ht="13.5" hidden="false" customHeight="true" outlineLevel="0" collapsed="false">
      <c r="A167" s="31"/>
    </row>
    <row r="168" customFormat="false" ht="13.5" hidden="false" customHeight="true" outlineLevel="0" collapsed="false">
      <c r="A168" s="31"/>
    </row>
    <row r="169" customFormat="false" ht="13.5" hidden="false" customHeight="true" outlineLevel="0" collapsed="false">
      <c r="A169" s="31"/>
    </row>
    <row r="170" customFormat="false" ht="13.5" hidden="false" customHeight="true" outlineLevel="0" collapsed="false">
      <c r="A170" s="31"/>
    </row>
    <row r="171" customFormat="false" ht="13.5" hidden="false" customHeight="true" outlineLevel="0" collapsed="false">
      <c r="A171" s="31"/>
    </row>
    <row r="172" customFormat="false" ht="13.5" hidden="false" customHeight="true" outlineLevel="0" collapsed="false">
      <c r="A172" s="31"/>
    </row>
    <row r="173" customFormat="false" ht="13.5" hidden="false" customHeight="true" outlineLevel="0" collapsed="false">
      <c r="A173" s="31"/>
    </row>
    <row r="174" customFormat="false" ht="13.5" hidden="false" customHeight="true" outlineLevel="0" collapsed="false">
      <c r="A174" s="31"/>
    </row>
    <row r="175" customFormat="false" ht="13.5" hidden="false" customHeight="true" outlineLevel="0" collapsed="false">
      <c r="A175" s="31"/>
    </row>
    <row r="176" customFormat="false" ht="13.5" hidden="false" customHeight="true" outlineLevel="0" collapsed="false">
      <c r="A176" s="31"/>
    </row>
    <row r="177" customFormat="false" ht="13.5" hidden="false" customHeight="true" outlineLevel="0" collapsed="false">
      <c r="A177" s="31"/>
    </row>
    <row r="178" customFormat="false" ht="13.5" hidden="false" customHeight="true" outlineLevel="0" collapsed="false">
      <c r="A178" s="31"/>
    </row>
    <row r="179" customFormat="false" ht="13.5" hidden="false" customHeight="true" outlineLevel="0" collapsed="false">
      <c r="A179" s="31"/>
    </row>
    <row r="180" customFormat="false" ht="13.5" hidden="false" customHeight="true" outlineLevel="0" collapsed="false">
      <c r="A180" s="31"/>
    </row>
    <row r="181" customFormat="false" ht="13.5" hidden="false" customHeight="true" outlineLevel="0" collapsed="false">
      <c r="A181" s="31"/>
    </row>
    <row r="182" customFormat="false" ht="13.5" hidden="false" customHeight="true" outlineLevel="0" collapsed="false">
      <c r="A182" s="31"/>
    </row>
    <row r="183" customFormat="false" ht="13.5" hidden="false" customHeight="true" outlineLevel="0" collapsed="false">
      <c r="A183" s="31"/>
    </row>
    <row r="184" customFormat="false" ht="13.5" hidden="false" customHeight="true" outlineLevel="0" collapsed="false">
      <c r="A184" s="31"/>
    </row>
    <row r="185" customFormat="false" ht="13.5" hidden="false" customHeight="true" outlineLevel="0" collapsed="false">
      <c r="A185" s="31"/>
    </row>
    <row r="186" customFormat="false" ht="13.5" hidden="false" customHeight="true" outlineLevel="0" collapsed="false">
      <c r="A186" s="31"/>
    </row>
    <row r="187" customFormat="false" ht="13.5" hidden="false" customHeight="true" outlineLevel="0" collapsed="false">
      <c r="A187" s="31"/>
    </row>
    <row r="188" customFormat="false" ht="13.5" hidden="false" customHeight="true" outlineLevel="0" collapsed="false">
      <c r="A188" s="31"/>
    </row>
    <row r="189" customFormat="false" ht="13.5" hidden="false" customHeight="true" outlineLevel="0" collapsed="false">
      <c r="A189" s="31"/>
    </row>
    <row r="190" customFormat="false" ht="13.5" hidden="false" customHeight="true" outlineLevel="0" collapsed="false">
      <c r="A190" s="31"/>
    </row>
    <row r="191" customFormat="false" ht="13.5" hidden="false" customHeight="true" outlineLevel="0" collapsed="false">
      <c r="A191" s="31"/>
    </row>
    <row r="192" customFormat="false" ht="13.5" hidden="false" customHeight="true" outlineLevel="0" collapsed="false">
      <c r="A192" s="31"/>
    </row>
    <row r="193" customFormat="false" ht="13.5" hidden="false" customHeight="true" outlineLevel="0" collapsed="false">
      <c r="A193" s="31"/>
    </row>
    <row r="194" customFormat="false" ht="13.5" hidden="false" customHeight="true" outlineLevel="0" collapsed="false">
      <c r="A194" s="31"/>
    </row>
    <row r="195" customFormat="false" ht="13.5" hidden="false" customHeight="true" outlineLevel="0" collapsed="false">
      <c r="A195" s="31"/>
    </row>
    <row r="196" customFormat="false" ht="13.5" hidden="false" customHeight="true" outlineLevel="0" collapsed="false">
      <c r="A196" s="31"/>
    </row>
    <row r="197" customFormat="false" ht="13.5" hidden="false" customHeight="true" outlineLevel="0" collapsed="false">
      <c r="A197" s="31"/>
    </row>
    <row r="198" customFormat="false" ht="13.5" hidden="false" customHeight="true" outlineLevel="0" collapsed="false">
      <c r="A198" s="31"/>
    </row>
    <row r="199" customFormat="false" ht="13.5" hidden="false" customHeight="true" outlineLevel="0" collapsed="false">
      <c r="A199" s="31"/>
    </row>
    <row r="200" customFormat="false" ht="13.5" hidden="false" customHeight="true" outlineLevel="0" collapsed="false">
      <c r="A200" s="31"/>
    </row>
    <row r="201" customFormat="false" ht="13.5" hidden="false" customHeight="true" outlineLevel="0" collapsed="false">
      <c r="A201" s="31"/>
    </row>
    <row r="202" customFormat="false" ht="13.5" hidden="false" customHeight="true" outlineLevel="0" collapsed="false">
      <c r="A202" s="31"/>
    </row>
    <row r="203" customFormat="false" ht="13.5" hidden="false" customHeight="true" outlineLevel="0" collapsed="false">
      <c r="A203" s="31"/>
    </row>
    <row r="204" customFormat="false" ht="13.5" hidden="false" customHeight="true" outlineLevel="0" collapsed="false">
      <c r="A204" s="31"/>
    </row>
    <row r="205" customFormat="false" ht="13.5" hidden="false" customHeight="true" outlineLevel="0" collapsed="false">
      <c r="A205" s="31"/>
    </row>
    <row r="206" customFormat="false" ht="13.5" hidden="false" customHeight="true" outlineLevel="0" collapsed="false">
      <c r="A206" s="31"/>
    </row>
    <row r="207" customFormat="false" ht="13.5" hidden="false" customHeight="true" outlineLevel="0" collapsed="false">
      <c r="A207" s="31"/>
    </row>
    <row r="208" customFormat="false" ht="13.5" hidden="false" customHeight="true" outlineLevel="0" collapsed="false">
      <c r="A208" s="31"/>
    </row>
    <row r="209" customFormat="false" ht="13.5" hidden="false" customHeight="true" outlineLevel="0" collapsed="false">
      <c r="A209" s="31"/>
    </row>
    <row r="210" customFormat="false" ht="13.5" hidden="false" customHeight="true" outlineLevel="0" collapsed="false">
      <c r="A210" s="31"/>
    </row>
    <row r="211" customFormat="false" ht="13.5" hidden="false" customHeight="true" outlineLevel="0" collapsed="false">
      <c r="A211" s="31"/>
    </row>
    <row r="212" customFormat="false" ht="13.5" hidden="false" customHeight="true" outlineLevel="0" collapsed="false">
      <c r="A212" s="31"/>
    </row>
    <row r="213" customFormat="false" ht="13.5" hidden="false" customHeight="true" outlineLevel="0" collapsed="false">
      <c r="A213" s="31"/>
    </row>
    <row r="214" customFormat="false" ht="13.5" hidden="false" customHeight="true" outlineLevel="0" collapsed="false">
      <c r="A214" s="31"/>
    </row>
    <row r="215" customFormat="false" ht="13.5" hidden="false" customHeight="true" outlineLevel="0" collapsed="false">
      <c r="A215" s="31"/>
    </row>
    <row r="216" customFormat="false" ht="13.5" hidden="false" customHeight="true" outlineLevel="0" collapsed="false">
      <c r="A216" s="31"/>
    </row>
    <row r="217" customFormat="false" ht="13.5" hidden="false" customHeight="true" outlineLevel="0" collapsed="false">
      <c r="A217" s="31"/>
    </row>
    <row r="218" customFormat="false" ht="13.5" hidden="false" customHeight="true" outlineLevel="0" collapsed="false">
      <c r="A218" s="31"/>
    </row>
    <row r="219" customFormat="false" ht="13.5" hidden="false" customHeight="true" outlineLevel="0" collapsed="false">
      <c r="A219" s="31"/>
    </row>
    <row r="220" customFormat="false" ht="13.5" hidden="false" customHeight="true" outlineLevel="0" collapsed="false">
      <c r="A220" s="31"/>
    </row>
    <row r="221" customFormat="false" ht="13.5" hidden="false" customHeight="true" outlineLevel="0" collapsed="false">
      <c r="A221" s="31"/>
    </row>
    <row r="222" customFormat="false" ht="13.5" hidden="false" customHeight="true" outlineLevel="0" collapsed="false">
      <c r="A222" s="31"/>
    </row>
    <row r="223" customFormat="false" ht="13.5" hidden="false" customHeight="true" outlineLevel="0" collapsed="false">
      <c r="A223" s="31"/>
    </row>
    <row r="224" customFormat="false" ht="13.5" hidden="false" customHeight="true" outlineLevel="0" collapsed="false">
      <c r="A224" s="31"/>
    </row>
    <row r="225" customFormat="false" ht="13.5" hidden="false" customHeight="true" outlineLevel="0" collapsed="false">
      <c r="A225" s="31"/>
    </row>
    <row r="226" customFormat="false" ht="13.5" hidden="false" customHeight="true" outlineLevel="0" collapsed="false">
      <c r="A226" s="31"/>
    </row>
    <row r="227" customFormat="false" ht="13.5" hidden="false" customHeight="true" outlineLevel="0" collapsed="false">
      <c r="A227" s="31"/>
    </row>
    <row r="228" customFormat="false" ht="13.5" hidden="false" customHeight="true" outlineLevel="0" collapsed="false">
      <c r="A228" s="31"/>
    </row>
    <row r="229" customFormat="false" ht="13.5" hidden="false" customHeight="true" outlineLevel="0" collapsed="false">
      <c r="A229" s="31"/>
    </row>
    <row r="230" customFormat="false" ht="13.5" hidden="false" customHeight="true" outlineLevel="0" collapsed="false">
      <c r="A230" s="31"/>
    </row>
    <row r="231" customFormat="false" ht="13.5" hidden="false" customHeight="true" outlineLevel="0" collapsed="false">
      <c r="A231" s="31"/>
    </row>
    <row r="232" customFormat="false" ht="13.5" hidden="false" customHeight="true" outlineLevel="0" collapsed="false">
      <c r="A232" s="31"/>
    </row>
    <row r="233" customFormat="false" ht="13.5" hidden="false" customHeight="true" outlineLevel="0" collapsed="false">
      <c r="A233" s="31"/>
    </row>
    <row r="234" customFormat="false" ht="13.5" hidden="false" customHeight="true" outlineLevel="0" collapsed="false">
      <c r="A234" s="31"/>
    </row>
    <row r="235" customFormat="false" ht="13.5" hidden="false" customHeight="true" outlineLevel="0" collapsed="false">
      <c r="A235" s="31"/>
    </row>
    <row r="236" customFormat="false" ht="13.5" hidden="false" customHeight="true" outlineLevel="0" collapsed="false">
      <c r="A236" s="31"/>
    </row>
    <row r="237" customFormat="false" ht="13.5" hidden="false" customHeight="true" outlineLevel="0" collapsed="false">
      <c r="A237" s="31"/>
    </row>
    <row r="238" customFormat="false" ht="13.5" hidden="false" customHeight="true" outlineLevel="0" collapsed="false">
      <c r="A238" s="31"/>
    </row>
    <row r="239" customFormat="false" ht="13.5" hidden="false" customHeight="true" outlineLevel="0" collapsed="false">
      <c r="A239" s="31"/>
    </row>
    <row r="240" customFormat="false" ht="13.5" hidden="false" customHeight="true" outlineLevel="0" collapsed="false">
      <c r="A240" s="31"/>
    </row>
    <row r="241" customFormat="false" ht="13.5" hidden="false" customHeight="true" outlineLevel="0" collapsed="false">
      <c r="A241" s="31"/>
    </row>
    <row r="242" customFormat="false" ht="13.5" hidden="false" customHeight="true" outlineLevel="0" collapsed="false">
      <c r="A242" s="31"/>
    </row>
    <row r="243" customFormat="false" ht="13.5" hidden="false" customHeight="true" outlineLevel="0" collapsed="false">
      <c r="A243" s="31"/>
    </row>
    <row r="244" customFormat="false" ht="13.5" hidden="false" customHeight="true" outlineLevel="0" collapsed="false">
      <c r="A244" s="31"/>
    </row>
    <row r="245" customFormat="false" ht="13.5" hidden="false" customHeight="true" outlineLevel="0" collapsed="false">
      <c r="A245" s="31"/>
    </row>
    <row r="246" customFormat="false" ht="13.5" hidden="false" customHeight="true" outlineLevel="0" collapsed="false">
      <c r="A246" s="31"/>
    </row>
    <row r="247" customFormat="false" ht="13.5" hidden="false" customHeight="true" outlineLevel="0" collapsed="false">
      <c r="A247" s="31"/>
    </row>
    <row r="248" customFormat="false" ht="13.5" hidden="false" customHeight="true" outlineLevel="0" collapsed="false">
      <c r="A248" s="31"/>
    </row>
    <row r="249" customFormat="false" ht="13.5" hidden="false" customHeight="true" outlineLevel="0" collapsed="false">
      <c r="A249" s="31"/>
    </row>
    <row r="250" customFormat="false" ht="13.5" hidden="false" customHeight="true" outlineLevel="0" collapsed="false">
      <c r="A250" s="31"/>
    </row>
    <row r="251" customFormat="false" ht="13.5" hidden="false" customHeight="true" outlineLevel="0" collapsed="false">
      <c r="A251" s="31"/>
    </row>
    <row r="252" customFormat="false" ht="13.5" hidden="false" customHeight="true" outlineLevel="0" collapsed="false">
      <c r="A252" s="31"/>
    </row>
    <row r="253" customFormat="false" ht="13.5" hidden="false" customHeight="true" outlineLevel="0" collapsed="false">
      <c r="A253" s="31"/>
    </row>
    <row r="254" customFormat="false" ht="13.5" hidden="false" customHeight="true" outlineLevel="0" collapsed="false">
      <c r="A254" s="31"/>
    </row>
    <row r="255" customFormat="false" ht="13.5" hidden="false" customHeight="true" outlineLevel="0" collapsed="false">
      <c r="A255" s="31"/>
    </row>
    <row r="256" customFormat="false" ht="13.5" hidden="false" customHeight="true" outlineLevel="0" collapsed="false">
      <c r="A256" s="31"/>
    </row>
    <row r="257" customFormat="false" ht="13.5" hidden="false" customHeight="true" outlineLevel="0" collapsed="false">
      <c r="A257" s="31"/>
    </row>
    <row r="258" customFormat="false" ht="13.5" hidden="false" customHeight="true" outlineLevel="0" collapsed="false">
      <c r="A258" s="31"/>
    </row>
    <row r="259" customFormat="false" ht="13.5" hidden="false" customHeight="true" outlineLevel="0" collapsed="false">
      <c r="A259" s="31"/>
    </row>
    <row r="260" customFormat="false" ht="13.5" hidden="false" customHeight="true" outlineLevel="0" collapsed="false">
      <c r="A260" s="31"/>
    </row>
    <row r="261" customFormat="false" ht="13.5" hidden="false" customHeight="true" outlineLevel="0" collapsed="false">
      <c r="A261" s="31"/>
    </row>
    <row r="262" customFormat="false" ht="13.5" hidden="false" customHeight="true" outlineLevel="0" collapsed="false">
      <c r="A262" s="31"/>
    </row>
    <row r="263" customFormat="false" ht="13.5" hidden="false" customHeight="true" outlineLevel="0" collapsed="false">
      <c r="A263" s="31"/>
    </row>
    <row r="264" customFormat="false" ht="13.5" hidden="false" customHeight="true" outlineLevel="0" collapsed="false">
      <c r="A264" s="31"/>
    </row>
    <row r="265" customFormat="false" ht="13.5" hidden="false" customHeight="true" outlineLevel="0" collapsed="false">
      <c r="A265" s="31"/>
    </row>
    <row r="266" customFormat="false" ht="13.5" hidden="false" customHeight="true" outlineLevel="0" collapsed="false">
      <c r="A266" s="31"/>
    </row>
    <row r="267" customFormat="false" ht="13.5" hidden="false" customHeight="true" outlineLevel="0" collapsed="false">
      <c r="A267" s="31"/>
    </row>
    <row r="268" customFormat="false" ht="13.5" hidden="false" customHeight="true" outlineLevel="0" collapsed="false">
      <c r="A268" s="31"/>
    </row>
    <row r="269" customFormat="false" ht="13.5" hidden="false" customHeight="true" outlineLevel="0" collapsed="false">
      <c r="A269" s="31"/>
    </row>
    <row r="270" customFormat="false" ht="13.5" hidden="false" customHeight="true" outlineLevel="0" collapsed="false">
      <c r="A270" s="31"/>
    </row>
    <row r="271" customFormat="false" ht="13.5" hidden="false" customHeight="true" outlineLevel="0" collapsed="false">
      <c r="A271" s="31"/>
    </row>
    <row r="272" customFormat="false" ht="13.5" hidden="false" customHeight="true" outlineLevel="0" collapsed="false">
      <c r="A272" s="31"/>
    </row>
    <row r="273" customFormat="false" ht="13.5" hidden="false" customHeight="true" outlineLevel="0" collapsed="false">
      <c r="A273" s="31"/>
    </row>
    <row r="274" customFormat="false" ht="13.5" hidden="false" customHeight="true" outlineLevel="0" collapsed="false">
      <c r="A274" s="31"/>
    </row>
    <row r="275" customFormat="false" ht="13.5" hidden="false" customHeight="true" outlineLevel="0" collapsed="false">
      <c r="A275" s="31"/>
    </row>
    <row r="276" customFormat="false" ht="13.5" hidden="false" customHeight="true" outlineLevel="0" collapsed="false">
      <c r="A276" s="31"/>
    </row>
    <row r="277" customFormat="false" ht="13.5" hidden="false" customHeight="true" outlineLevel="0" collapsed="false">
      <c r="A277" s="31"/>
    </row>
    <row r="278" customFormat="false" ht="13.5" hidden="false" customHeight="true" outlineLevel="0" collapsed="false">
      <c r="A278" s="31"/>
    </row>
    <row r="279" customFormat="false" ht="13.5" hidden="false" customHeight="true" outlineLevel="0" collapsed="false">
      <c r="A279" s="31"/>
    </row>
    <row r="280" customFormat="false" ht="13.5" hidden="false" customHeight="true" outlineLevel="0" collapsed="false">
      <c r="A280" s="31"/>
    </row>
    <row r="281" customFormat="false" ht="13.5" hidden="false" customHeight="true" outlineLevel="0" collapsed="false">
      <c r="A281" s="31"/>
    </row>
    <row r="282" customFormat="false" ht="13.5" hidden="false" customHeight="true" outlineLevel="0" collapsed="false">
      <c r="A282" s="31"/>
    </row>
    <row r="283" customFormat="false" ht="13.5" hidden="false" customHeight="true" outlineLevel="0" collapsed="false">
      <c r="A283" s="31"/>
    </row>
    <row r="284" customFormat="false" ht="13.5" hidden="false" customHeight="true" outlineLevel="0" collapsed="false">
      <c r="A284" s="31"/>
    </row>
    <row r="285" customFormat="false" ht="13.5" hidden="false" customHeight="true" outlineLevel="0" collapsed="false">
      <c r="A285" s="31"/>
    </row>
    <row r="286" customFormat="false" ht="13.5" hidden="false" customHeight="true" outlineLevel="0" collapsed="false">
      <c r="A286" s="31"/>
    </row>
    <row r="287" customFormat="false" ht="13.5" hidden="false" customHeight="true" outlineLevel="0" collapsed="false">
      <c r="A287" s="31"/>
    </row>
    <row r="288" customFormat="false" ht="13.5" hidden="false" customHeight="true" outlineLevel="0" collapsed="false">
      <c r="A288" s="31"/>
    </row>
    <row r="289" customFormat="false" ht="13.5" hidden="false" customHeight="true" outlineLevel="0" collapsed="false">
      <c r="A289" s="31"/>
    </row>
    <row r="290" customFormat="false" ht="13.5" hidden="false" customHeight="true" outlineLevel="0" collapsed="false">
      <c r="A290" s="31"/>
    </row>
    <row r="291" customFormat="false" ht="13.5" hidden="false" customHeight="true" outlineLevel="0" collapsed="false">
      <c r="A291" s="31"/>
    </row>
    <row r="292" customFormat="false" ht="13.5" hidden="false" customHeight="true" outlineLevel="0" collapsed="false">
      <c r="A292" s="31"/>
    </row>
    <row r="293" customFormat="false" ht="13.5" hidden="false" customHeight="true" outlineLevel="0" collapsed="false">
      <c r="A293" s="31"/>
    </row>
    <row r="294" customFormat="false" ht="13.5" hidden="false" customHeight="true" outlineLevel="0" collapsed="false">
      <c r="A294" s="31"/>
    </row>
    <row r="295" customFormat="false" ht="13.5" hidden="false" customHeight="true" outlineLevel="0" collapsed="false">
      <c r="A295" s="31"/>
    </row>
    <row r="296" customFormat="false" ht="13.5" hidden="false" customHeight="true" outlineLevel="0" collapsed="false">
      <c r="A296" s="31"/>
    </row>
    <row r="297" customFormat="false" ht="13.5" hidden="false" customHeight="true" outlineLevel="0" collapsed="false">
      <c r="A297" s="31"/>
    </row>
    <row r="298" customFormat="false" ht="13.5" hidden="false" customHeight="true" outlineLevel="0" collapsed="false">
      <c r="A298" s="31"/>
    </row>
    <row r="299" customFormat="false" ht="13.5" hidden="false" customHeight="true" outlineLevel="0" collapsed="false">
      <c r="A299" s="31"/>
    </row>
    <row r="300" customFormat="false" ht="13.5" hidden="false" customHeight="true" outlineLevel="0" collapsed="false">
      <c r="A300" s="31"/>
    </row>
    <row r="301" customFormat="false" ht="13.5" hidden="false" customHeight="true" outlineLevel="0" collapsed="false">
      <c r="A301" s="31"/>
    </row>
    <row r="302" customFormat="false" ht="13.5" hidden="false" customHeight="true" outlineLevel="0" collapsed="false">
      <c r="A302" s="31"/>
    </row>
    <row r="303" customFormat="false" ht="13.5" hidden="false" customHeight="true" outlineLevel="0" collapsed="false">
      <c r="A303" s="31"/>
    </row>
    <row r="304" customFormat="false" ht="13.5" hidden="false" customHeight="true" outlineLevel="0" collapsed="false">
      <c r="A304" s="31"/>
    </row>
    <row r="305" customFormat="false" ht="13.5" hidden="false" customHeight="true" outlineLevel="0" collapsed="false">
      <c r="A305" s="31"/>
    </row>
    <row r="306" customFormat="false" ht="13.5" hidden="false" customHeight="true" outlineLevel="0" collapsed="false">
      <c r="A306" s="31"/>
    </row>
    <row r="307" customFormat="false" ht="13.5" hidden="false" customHeight="true" outlineLevel="0" collapsed="false">
      <c r="A307" s="31"/>
    </row>
    <row r="308" customFormat="false" ht="13.5" hidden="false" customHeight="true" outlineLevel="0" collapsed="false">
      <c r="A308" s="31"/>
    </row>
    <row r="309" customFormat="false" ht="13.5" hidden="false" customHeight="true" outlineLevel="0" collapsed="false">
      <c r="A309" s="31"/>
    </row>
    <row r="310" customFormat="false" ht="13.5" hidden="false" customHeight="true" outlineLevel="0" collapsed="false">
      <c r="A310" s="31"/>
    </row>
    <row r="311" customFormat="false" ht="13.5" hidden="false" customHeight="true" outlineLevel="0" collapsed="false">
      <c r="A311" s="31"/>
    </row>
    <row r="312" customFormat="false" ht="13.5" hidden="false" customHeight="true" outlineLevel="0" collapsed="false">
      <c r="A312" s="31"/>
    </row>
    <row r="313" customFormat="false" ht="13.5" hidden="false" customHeight="true" outlineLevel="0" collapsed="false">
      <c r="A313" s="31"/>
    </row>
    <row r="314" customFormat="false" ht="13.5" hidden="false" customHeight="true" outlineLevel="0" collapsed="false">
      <c r="A314" s="31"/>
    </row>
    <row r="315" customFormat="false" ht="13.5" hidden="false" customHeight="true" outlineLevel="0" collapsed="false">
      <c r="A315" s="31"/>
    </row>
    <row r="316" customFormat="false" ht="13.5" hidden="false" customHeight="true" outlineLevel="0" collapsed="false">
      <c r="A316" s="31"/>
    </row>
    <row r="317" customFormat="false" ht="13.5" hidden="false" customHeight="true" outlineLevel="0" collapsed="false">
      <c r="A317" s="31"/>
    </row>
    <row r="318" customFormat="false" ht="13.5" hidden="false" customHeight="true" outlineLevel="0" collapsed="false">
      <c r="A318" s="31"/>
    </row>
    <row r="319" customFormat="false" ht="13.5" hidden="false" customHeight="true" outlineLevel="0" collapsed="false">
      <c r="A319" s="31"/>
    </row>
    <row r="320" customFormat="false" ht="13.5" hidden="false" customHeight="true" outlineLevel="0" collapsed="false">
      <c r="A320" s="31"/>
    </row>
    <row r="321" customFormat="false" ht="13.5" hidden="false" customHeight="true" outlineLevel="0" collapsed="false">
      <c r="A321" s="31"/>
    </row>
    <row r="322" customFormat="false" ht="13.5" hidden="false" customHeight="true" outlineLevel="0" collapsed="false">
      <c r="A322" s="31"/>
    </row>
    <row r="323" customFormat="false" ht="13.5" hidden="false" customHeight="true" outlineLevel="0" collapsed="false">
      <c r="A323" s="31"/>
    </row>
    <row r="324" customFormat="false" ht="13.5" hidden="false" customHeight="true" outlineLevel="0" collapsed="false">
      <c r="A324" s="31"/>
    </row>
    <row r="325" customFormat="false" ht="13.5" hidden="false" customHeight="true" outlineLevel="0" collapsed="false">
      <c r="A325" s="31"/>
    </row>
    <row r="326" customFormat="false" ht="13.5" hidden="false" customHeight="true" outlineLevel="0" collapsed="false">
      <c r="A326" s="31"/>
    </row>
    <row r="327" customFormat="false" ht="13.5" hidden="false" customHeight="true" outlineLevel="0" collapsed="false">
      <c r="A327" s="31"/>
    </row>
    <row r="328" customFormat="false" ht="13.5" hidden="false" customHeight="true" outlineLevel="0" collapsed="false">
      <c r="A328" s="31"/>
    </row>
    <row r="329" customFormat="false" ht="13.5" hidden="false" customHeight="true" outlineLevel="0" collapsed="false">
      <c r="A329" s="31"/>
    </row>
    <row r="330" customFormat="false" ht="13.5" hidden="false" customHeight="true" outlineLevel="0" collapsed="false">
      <c r="A330" s="31"/>
    </row>
    <row r="331" customFormat="false" ht="13.5" hidden="false" customHeight="true" outlineLevel="0" collapsed="false">
      <c r="A331" s="31"/>
    </row>
    <row r="332" customFormat="false" ht="13.5" hidden="false" customHeight="true" outlineLevel="0" collapsed="false">
      <c r="A332" s="31"/>
    </row>
    <row r="333" customFormat="false" ht="13.5" hidden="false" customHeight="true" outlineLevel="0" collapsed="false">
      <c r="A333" s="31"/>
    </row>
    <row r="334" customFormat="false" ht="13.5" hidden="false" customHeight="true" outlineLevel="0" collapsed="false">
      <c r="A334" s="31"/>
    </row>
    <row r="335" customFormat="false" ht="13.5" hidden="false" customHeight="true" outlineLevel="0" collapsed="false">
      <c r="A335" s="31"/>
    </row>
    <row r="336" customFormat="false" ht="13.5" hidden="false" customHeight="true" outlineLevel="0" collapsed="false">
      <c r="A336" s="31"/>
    </row>
    <row r="337" customFormat="false" ht="13.5" hidden="false" customHeight="true" outlineLevel="0" collapsed="false">
      <c r="A337" s="31"/>
    </row>
    <row r="338" customFormat="false" ht="13.5" hidden="false" customHeight="true" outlineLevel="0" collapsed="false">
      <c r="A338" s="31"/>
    </row>
    <row r="339" customFormat="false" ht="13.5" hidden="false" customHeight="true" outlineLevel="0" collapsed="false">
      <c r="A339" s="31"/>
    </row>
    <row r="340" customFormat="false" ht="13.5" hidden="false" customHeight="true" outlineLevel="0" collapsed="false">
      <c r="A340" s="31"/>
    </row>
    <row r="341" customFormat="false" ht="13.5" hidden="false" customHeight="true" outlineLevel="0" collapsed="false">
      <c r="A341" s="31"/>
    </row>
    <row r="342" customFormat="false" ht="13.5" hidden="false" customHeight="true" outlineLevel="0" collapsed="false">
      <c r="A342" s="31"/>
    </row>
    <row r="343" customFormat="false" ht="13.5" hidden="false" customHeight="true" outlineLevel="0" collapsed="false">
      <c r="A343" s="31"/>
    </row>
    <row r="344" customFormat="false" ht="13.5" hidden="false" customHeight="true" outlineLevel="0" collapsed="false">
      <c r="A344" s="31"/>
    </row>
    <row r="345" customFormat="false" ht="13.5" hidden="false" customHeight="true" outlineLevel="0" collapsed="false">
      <c r="A345" s="31"/>
    </row>
    <row r="346" customFormat="false" ht="13.5" hidden="false" customHeight="true" outlineLevel="0" collapsed="false">
      <c r="A346" s="31"/>
    </row>
    <row r="347" customFormat="false" ht="13.5" hidden="false" customHeight="true" outlineLevel="0" collapsed="false">
      <c r="A347" s="31"/>
    </row>
    <row r="348" customFormat="false" ht="13.5" hidden="false" customHeight="true" outlineLevel="0" collapsed="false">
      <c r="A348" s="31"/>
    </row>
    <row r="349" customFormat="false" ht="13.5" hidden="false" customHeight="true" outlineLevel="0" collapsed="false">
      <c r="A349" s="31"/>
    </row>
    <row r="350" customFormat="false" ht="13.5" hidden="false" customHeight="true" outlineLevel="0" collapsed="false">
      <c r="A350" s="31"/>
    </row>
    <row r="351" customFormat="false" ht="13.5" hidden="false" customHeight="true" outlineLevel="0" collapsed="false">
      <c r="A351" s="31"/>
    </row>
    <row r="352" customFormat="false" ht="13.5" hidden="false" customHeight="true" outlineLevel="0" collapsed="false">
      <c r="A352" s="31"/>
    </row>
    <row r="353" customFormat="false" ht="13.5" hidden="false" customHeight="true" outlineLevel="0" collapsed="false">
      <c r="A353" s="31"/>
    </row>
    <row r="354" customFormat="false" ht="13.5" hidden="false" customHeight="true" outlineLevel="0" collapsed="false">
      <c r="A354" s="31"/>
    </row>
    <row r="355" customFormat="false" ht="13.5" hidden="false" customHeight="true" outlineLevel="0" collapsed="false">
      <c r="A355" s="31"/>
    </row>
    <row r="356" customFormat="false" ht="13.5" hidden="false" customHeight="true" outlineLevel="0" collapsed="false">
      <c r="A356" s="31"/>
    </row>
    <row r="357" customFormat="false" ht="13.5" hidden="false" customHeight="true" outlineLevel="0" collapsed="false">
      <c r="A357" s="31"/>
    </row>
    <row r="358" customFormat="false" ht="13.5" hidden="false" customHeight="true" outlineLevel="0" collapsed="false">
      <c r="A358" s="31"/>
    </row>
    <row r="359" customFormat="false" ht="13.5" hidden="false" customHeight="true" outlineLevel="0" collapsed="false">
      <c r="A359" s="31"/>
    </row>
    <row r="360" customFormat="false" ht="13.5" hidden="false" customHeight="true" outlineLevel="0" collapsed="false">
      <c r="A360" s="31"/>
    </row>
    <row r="361" customFormat="false" ht="13.5" hidden="false" customHeight="true" outlineLevel="0" collapsed="false">
      <c r="A361" s="31"/>
    </row>
    <row r="362" customFormat="false" ht="13.5" hidden="false" customHeight="true" outlineLevel="0" collapsed="false">
      <c r="A362" s="31"/>
    </row>
    <row r="363" customFormat="false" ht="13.5" hidden="false" customHeight="true" outlineLevel="0" collapsed="false">
      <c r="A363" s="31"/>
    </row>
    <row r="364" customFormat="false" ht="13.5" hidden="false" customHeight="true" outlineLevel="0" collapsed="false">
      <c r="A364" s="31"/>
    </row>
    <row r="365" customFormat="false" ht="13.5" hidden="false" customHeight="true" outlineLevel="0" collapsed="false">
      <c r="A365" s="31"/>
    </row>
    <row r="366" customFormat="false" ht="13.5" hidden="false" customHeight="true" outlineLevel="0" collapsed="false">
      <c r="A366" s="31"/>
    </row>
    <row r="367" customFormat="false" ht="13.5" hidden="false" customHeight="true" outlineLevel="0" collapsed="false">
      <c r="A367" s="31"/>
    </row>
    <row r="368" customFormat="false" ht="13.5" hidden="false" customHeight="true" outlineLevel="0" collapsed="false">
      <c r="A368" s="31"/>
    </row>
    <row r="369" customFormat="false" ht="13.5" hidden="false" customHeight="true" outlineLevel="0" collapsed="false">
      <c r="A369" s="31"/>
    </row>
    <row r="370" customFormat="false" ht="13.5" hidden="false" customHeight="true" outlineLevel="0" collapsed="false">
      <c r="A370" s="31"/>
    </row>
    <row r="371" customFormat="false" ht="13.5" hidden="false" customHeight="true" outlineLevel="0" collapsed="false">
      <c r="A371" s="31"/>
    </row>
    <row r="372" customFormat="false" ht="13.5" hidden="false" customHeight="true" outlineLevel="0" collapsed="false">
      <c r="A372" s="31"/>
    </row>
    <row r="373" customFormat="false" ht="13.5" hidden="false" customHeight="true" outlineLevel="0" collapsed="false">
      <c r="A373" s="31"/>
    </row>
    <row r="374" customFormat="false" ht="13.5" hidden="false" customHeight="true" outlineLevel="0" collapsed="false">
      <c r="A374" s="31"/>
    </row>
    <row r="375" customFormat="false" ht="13.5" hidden="false" customHeight="true" outlineLevel="0" collapsed="false">
      <c r="A375" s="31"/>
    </row>
    <row r="376" customFormat="false" ht="13.5" hidden="false" customHeight="true" outlineLevel="0" collapsed="false">
      <c r="A376" s="31"/>
    </row>
    <row r="377" customFormat="false" ht="13.5" hidden="false" customHeight="true" outlineLevel="0" collapsed="false">
      <c r="A377" s="31"/>
    </row>
    <row r="378" customFormat="false" ht="13.5" hidden="false" customHeight="true" outlineLevel="0" collapsed="false">
      <c r="A378" s="31"/>
    </row>
    <row r="379" customFormat="false" ht="13.5" hidden="false" customHeight="true" outlineLevel="0" collapsed="false">
      <c r="A379" s="31"/>
    </row>
    <row r="380" customFormat="false" ht="13.5" hidden="false" customHeight="true" outlineLevel="0" collapsed="false">
      <c r="A380" s="31"/>
    </row>
    <row r="381" customFormat="false" ht="13.5" hidden="false" customHeight="true" outlineLevel="0" collapsed="false">
      <c r="A381" s="31"/>
    </row>
    <row r="382" customFormat="false" ht="13.5" hidden="false" customHeight="true" outlineLevel="0" collapsed="false">
      <c r="A382" s="31"/>
    </row>
    <row r="383" customFormat="false" ht="13.5" hidden="false" customHeight="true" outlineLevel="0" collapsed="false">
      <c r="A383" s="31"/>
    </row>
    <row r="384" customFormat="false" ht="13.5" hidden="false" customHeight="true" outlineLevel="0" collapsed="false">
      <c r="A384" s="31"/>
    </row>
    <row r="385" customFormat="false" ht="13.5" hidden="false" customHeight="true" outlineLevel="0" collapsed="false">
      <c r="A385" s="31"/>
    </row>
    <row r="386" customFormat="false" ht="13.5" hidden="false" customHeight="true" outlineLevel="0" collapsed="false">
      <c r="A386" s="31"/>
    </row>
    <row r="387" customFormat="false" ht="13.5" hidden="false" customHeight="true" outlineLevel="0" collapsed="false">
      <c r="A387" s="31"/>
    </row>
    <row r="388" customFormat="false" ht="13.5" hidden="false" customHeight="true" outlineLevel="0" collapsed="false">
      <c r="A388" s="31"/>
    </row>
    <row r="389" customFormat="false" ht="13.5" hidden="false" customHeight="true" outlineLevel="0" collapsed="false">
      <c r="A389" s="31"/>
    </row>
    <row r="390" customFormat="false" ht="13.5" hidden="false" customHeight="true" outlineLevel="0" collapsed="false">
      <c r="A390" s="31"/>
    </row>
    <row r="391" customFormat="false" ht="13.5" hidden="false" customHeight="true" outlineLevel="0" collapsed="false">
      <c r="A391" s="31"/>
    </row>
    <row r="392" customFormat="false" ht="13.5" hidden="false" customHeight="true" outlineLevel="0" collapsed="false">
      <c r="A392" s="31"/>
    </row>
    <row r="393" customFormat="false" ht="13.5" hidden="false" customHeight="true" outlineLevel="0" collapsed="false">
      <c r="A393" s="31"/>
    </row>
    <row r="394" customFormat="false" ht="13.5" hidden="false" customHeight="true" outlineLevel="0" collapsed="false">
      <c r="A394" s="31"/>
    </row>
    <row r="395" customFormat="false" ht="13.5" hidden="false" customHeight="true" outlineLevel="0" collapsed="false">
      <c r="A395" s="31"/>
    </row>
    <row r="396" customFormat="false" ht="13.5" hidden="false" customHeight="true" outlineLevel="0" collapsed="false">
      <c r="A396" s="31"/>
    </row>
    <row r="397" customFormat="false" ht="13.5" hidden="false" customHeight="true" outlineLevel="0" collapsed="false">
      <c r="A397" s="31"/>
    </row>
    <row r="398" customFormat="false" ht="13.5" hidden="false" customHeight="true" outlineLevel="0" collapsed="false">
      <c r="A398" s="31"/>
    </row>
    <row r="399" customFormat="false" ht="13.5" hidden="false" customHeight="true" outlineLevel="0" collapsed="false">
      <c r="A399" s="31"/>
    </row>
    <row r="400" customFormat="false" ht="13.5" hidden="false" customHeight="true" outlineLevel="0" collapsed="false">
      <c r="A400" s="31"/>
    </row>
    <row r="401" customFormat="false" ht="13.5" hidden="false" customHeight="true" outlineLevel="0" collapsed="false">
      <c r="A401" s="31"/>
    </row>
    <row r="402" customFormat="false" ht="13.5" hidden="false" customHeight="true" outlineLevel="0" collapsed="false">
      <c r="A402" s="31"/>
    </row>
    <row r="403" customFormat="false" ht="13.5" hidden="false" customHeight="true" outlineLevel="0" collapsed="false">
      <c r="A403" s="31"/>
    </row>
    <row r="404" customFormat="false" ht="13.5" hidden="false" customHeight="true" outlineLevel="0" collapsed="false">
      <c r="A404" s="31"/>
    </row>
    <row r="405" customFormat="false" ht="13.5" hidden="false" customHeight="true" outlineLevel="0" collapsed="false">
      <c r="A405" s="31"/>
    </row>
    <row r="406" customFormat="false" ht="13.5" hidden="false" customHeight="true" outlineLevel="0" collapsed="false">
      <c r="A406" s="31"/>
    </row>
    <row r="407" customFormat="false" ht="13.5" hidden="false" customHeight="true" outlineLevel="0" collapsed="false">
      <c r="A407" s="31"/>
    </row>
    <row r="408" customFormat="false" ht="13.5" hidden="false" customHeight="true" outlineLevel="0" collapsed="false">
      <c r="A408" s="31"/>
    </row>
    <row r="409" customFormat="false" ht="13.5" hidden="false" customHeight="true" outlineLevel="0" collapsed="false">
      <c r="A409" s="31"/>
    </row>
    <row r="410" customFormat="false" ht="13.5" hidden="false" customHeight="true" outlineLevel="0" collapsed="false">
      <c r="A410" s="31"/>
    </row>
    <row r="411" customFormat="false" ht="13.5" hidden="false" customHeight="true" outlineLevel="0" collapsed="false">
      <c r="A411" s="31"/>
    </row>
    <row r="412" customFormat="false" ht="13.5" hidden="false" customHeight="true" outlineLevel="0" collapsed="false">
      <c r="A412" s="31"/>
    </row>
    <row r="413" customFormat="false" ht="13.5" hidden="false" customHeight="true" outlineLevel="0" collapsed="false">
      <c r="A413" s="31"/>
    </row>
    <row r="414" customFormat="false" ht="13.5" hidden="false" customHeight="true" outlineLevel="0" collapsed="false">
      <c r="A414" s="31"/>
    </row>
    <row r="415" customFormat="false" ht="13.5" hidden="false" customHeight="true" outlineLevel="0" collapsed="false">
      <c r="A415" s="31"/>
    </row>
    <row r="416" customFormat="false" ht="13.5" hidden="false" customHeight="true" outlineLevel="0" collapsed="false">
      <c r="A416" s="31"/>
    </row>
    <row r="417" customFormat="false" ht="13.5" hidden="false" customHeight="true" outlineLevel="0" collapsed="false">
      <c r="A417" s="31"/>
    </row>
    <row r="418" customFormat="false" ht="13.5" hidden="false" customHeight="true" outlineLevel="0" collapsed="false">
      <c r="A418" s="31"/>
    </row>
    <row r="419" customFormat="false" ht="13.5" hidden="false" customHeight="true" outlineLevel="0" collapsed="false">
      <c r="A419" s="31"/>
    </row>
    <row r="420" customFormat="false" ht="13.5" hidden="false" customHeight="true" outlineLevel="0" collapsed="false">
      <c r="A420" s="31"/>
    </row>
    <row r="421" customFormat="false" ht="13.5" hidden="false" customHeight="true" outlineLevel="0" collapsed="false">
      <c r="A421" s="31"/>
    </row>
    <row r="422" customFormat="false" ht="13.5" hidden="false" customHeight="true" outlineLevel="0" collapsed="false">
      <c r="A422" s="31"/>
    </row>
    <row r="423" customFormat="false" ht="13.5" hidden="false" customHeight="true" outlineLevel="0" collapsed="false">
      <c r="A423" s="31"/>
    </row>
    <row r="424" customFormat="false" ht="13.5" hidden="false" customHeight="true" outlineLevel="0" collapsed="false">
      <c r="A424" s="31"/>
    </row>
    <row r="425" customFormat="false" ht="13.5" hidden="false" customHeight="true" outlineLevel="0" collapsed="false">
      <c r="A425" s="31"/>
    </row>
    <row r="426" customFormat="false" ht="13.5" hidden="false" customHeight="true" outlineLevel="0" collapsed="false">
      <c r="A426" s="31"/>
    </row>
    <row r="427" customFormat="false" ht="13.5" hidden="false" customHeight="true" outlineLevel="0" collapsed="false">
      <c r="A427" s="31"/>
    </row>
    <row r="428" customFormat="false" ht="13.5" hidden="false" customHeight="true" outlineLevel="0" collapsed="false">
      <c r="A428" s="31"/>
    </row>
    <row r="429" customFormat="false" ht="13.5" hidden="false" customHeight="true" outlineLevel="0" collapsed="false">
      <c r="A429" s="31"/>
    </row>
    <row r="430" customFormat="false" ht="13.5" hidden="false" customHeight="true" outlineLevel="0" collapsed="false">
      <c r="A430" s="31"/>
    </row>
    <row r="431" customFormat="false" ht="13.5" hidden="false" customHeight="true" outlineLevel="0" collapsed="false">
      <c r="A431" s="31"/>
    </row>
    <row r="432" customFormat="false" ht="13.5" hidden="false" customHeight="true" outlineLevel="0" collapsed="false">
      <c r="A432" s="31"/>
    </row>
    <row r="433" customFormat="false" ht="13.5" hidden="false" customHeight="true" outlineLevel="0" collapsed="false">
      <c r="A433" s="31"/>
    </row>
    <row r="434" customFormat="false" ht="13.5" hidden="false" customHeight="true" outlineLevel="0" collapsed="false">
      <c r="A434" s="31"/>
    </row>
    <row r="435" customFormat="false" ht="13.5" hidden="false" customHeight="true" outlineLevel="0" collapsed="false">
      <c r="A435" s="31"/>
    </row>
    <row r="436" customFormat="false" ht="13.5" hidden="false" customHeight="true" outlineLevel="0" collapsed="false">
      <c r="A436" s="31"/>
    </row>
    <row r="437" customFormat="false" ht="13.5" hidden="false" customHeight="true" outlineLevel="0" collapsed="false">
      <c r="A437" s="31"/>
    </row>
    <row r="438" customFormat="false" ht="13.5" hidden="false" customHeight="true" outlineLevel="0" collapsed="false">
      <c r="A438" s="31"/>
    </row>
    <row r="439" customFormat="false" ht="13.5" hidden="false" customHeight="true" outlineLevel="0" collapsed="false">
      <c r="A439" s="31"/>
    </row>
    <row r="440" customFormat="false" ht="13.5" hidden="false" customHeight="true" outlineLevel="0" collapsed="false">
      <c r="A440" s="31"/>
    </row>
    <row r="441" customFormat="false" ht="13.5" hidden="false" customHeight="true" outlineLevel="0" collapsed="false">
      <c r="A441" s="31"/>
    </row>
    <row r="442" customFormat="false" ht="13.5" hidden="false" customHeight="true" outlineLevel="0" collapsed="false">
      <c r="A442" s="31"/>
    </row>
    <row r="443" customFormat="false" ht="13.5" hidden="false" customHeight="true" outlineLevel="0" collapsed="false">
      <c r="A443" s="31"/>
    </row>
    <row r="444" customFormat="false" ht="13.5" hidden="false" customHeight="true" outlineLevel="0" collapsed="false">
      <c r="A444" s="31"/>
    </row>
    <row r="445" customFormat="false" ht="13.5" hidden="false" customHeight="true" outlineLevel="0" collapsed="false">
      <c r="A445" s="31"/>
    </row>
    <row r="446" customFormat="false" ht="13.5" hidden="false" customHeight="true" outlineLevel="0" collapsed="false">
      <c r="A446" s="31"/>
    </row>
    <row r="447" customFormat="false" ht="13.5" hidden="false" customHeight="true" outlineLevel="0" collapsed="false">
      <c r="A447" s="31"/>
    </row>
    <row r="448" customFormat="false" ht="13.5" hidden="false" customHeight="true" outlineLevel="0" collapsed="false">
      <c r="A448" s="31"/>
    </row>
    <row r="449" customFormat="false" ht="13.5" hidden="false" customHeight="true" outlineLevel="0" collapsed="false">
      <c r="A449" s="31"/>
    </row>
    <row r="450" customFormat="false" ht="13.5" hidden="false" customHeight="true" outlineLevel="0" collapsed="false">
      <c r="A450" s="31"/>
    </row>
    <row r="451" customFormat="false" ht="13.5" hidden="false" customHeight="true" outlineLevel="0" collapsed="false">
      <c r="A451" s="31"/>
    </row>
    <row r="452" customFormat="false" ht="13.5" hidden="false" customHeight="true" outlineLevel="0" collapsed="false">
      <c r="A452" s="31"/>
    </row>
    <row r="453" customFormat="false" ht="13.5" hidden="false" customHeight="true" outlineLevel="0" collapsed="false">
      <c r="A453" s="31"/>
    </row>
    <row r="454" customFormat="false" ht="13.5" hidden="false" customHeight="true" outlineLevel="0" collapsed="false">
      <c r="A454" s="31"/>
    </row>
    <row r="455" customFormat="false" ht="13.5" hidden="false" customHeight="true" outlineLevel="0" collapsed="false">
      <c r="A455" s="31"/>
    </row>
    <row r="456" customFormat="false" ht="13.5" hidden="false" customHeight="true" outlineLevel="0" collapsed="false">
      <c r="A456" s="31"/>
    </row>
    <row r="457" customFormat="false" ht="13.5" hidden="false" customHeight="true" outlineLevel="0" collapsed="false">
      <c r="A457" s="31"/>
    </row>
    <row r="458" customFormat="false" ht="13.5" hidden="false" customHeight="true" outlineLevel="0" collapsed="false">
      <c r="A458" s="31"/>
    </row>
    <row r="459" customFormat="false" ht="13.5" hidden="false" customHeight="true" outlineLevel="0" collapsed="false">
      <c r="A459" s="31"/>
    </row>
    <row r="460" customFormat="false" ht="13.5" hidden="false" customHeight="true" outlineLevel="0" collapsed="false">
      <c r="A460" s="31"/>
    </row>
    <row r="461" customFormat="false" ht="13.5" hidden="false" customHeight="true" outlineLevel="0" collapsed="false">
      <c r="A461" s="31"/>
    </row>
    <row r="462" customFormat="false" ht="13.5" hidden="false" customHeight="true" outlineLevel="0" collapsed="false">
      <c r="A462" s="31"/>
    </row>
    <row r="463" customFormat="false" ht="13.5" hidden="false" customHeight="true" outlineLevel="0" collapsed="false">
      <c r="A463" s="31"/>
    </row>
    <row r="464" customFormat="false" ht="13.5" hidden="false" customHeight="true" outlineLevel="0" collapsed="false">
      <c r="A464" s="31"/>
    </row>
    <row r="465" customFormat="false" ht="13.5" hidden="false" customHeight="true" outlineLevel="0" collapsed="false">
      <c r="A465" s="31"/>
    </row>
    <row r="466" customFormat="false" ht="13.5" hidden="false" customHeight="true" outlineLevel="0" collapsed="false">
      <c r="A466" s="31"/>
    </row>
    <row r="467" customFormat="false" ht="13.5" hidden="false" customHeight="true" outlineLevel="0" collapsed="false">
      <c r="A467" s="31"/>
    </row>
    <row r="468" customFormat="false" ht="13.5" hidden="false" customHeight="true" outlineLevel="0" collapsed="false">
      <c r="A468" s="31"/>
    </row>
    <row r="469" customFormat="false" ht="13.5" hidden="false" customHeight="true" outlineLevel="0" collapsed="false">
      <c r="A469" s="31"/>
    </row>
    <row r="470" customFormat="false" ht="13.5" hidden="false" customHeight="true" outlineLevel="0" collapsed="false">
      <c r="A470" s="31"/>
    </row>
    <row r="471" customFormat="false" ht="13.5" hidden="false" customHeight="true" outlineLevel="0" collapsed="false">
      <c r="A471" s="31"/>
    </row>
    <row r="472" customFormat="false" ht="13.5" hidden="false" customHeight="true" outlineLevel="0" collapsed="false">
      <c r="A472" s="31"/>
    </row>
    <row r="473" customFormat="false" ht="13.5" hidden="false" customHeight="true" outlineLevel="0" collapsed="false">
      <c r="A473" s="31"/>
    </row>
    <row r="474" customFormat="false" ht="13.5" hidden="false" customHeight="true" outlineLevel="0" collapsed="false">
      <c r="A474" s="31"/>
    </row>
    <row r="475" customFormat="false" ht="13.5" hidden="false" customHeight="true" outlineLevel="0" collapsed="false">
      <c r="A475" s="31"/>
    </row>
    <row r="476" customFormat="false" ht="13.5" hidden="false" customHeight="true" outlineLevel="0" collapsed="false">
      <c r="A476" s="31"/>
    </row>
    <row r="477" customFormat="false" ht="13.5" hidden="false" customHeight="true" outlineLevel="0" collapsed="false">
      <c r="A477" s="31"/>
    </row>
    <row r="478" customFormat="false" ht="13.5" hidden="false" customHeight="true" outlineLevel="0" collapsed="false">
      <c r="A478" s="31"/>
    </row>
    <row r="479" customFormat="false" ht="13.5" hidden="false" customHeight="true" outlineLevel="0" collapsed="false">
      <c r="A479" s="31"/>
    </row>
    <row r="480" customFormat="false" ht="13.5" hidden="false" customHeight="true" outlineLevel="0" collapsed="false">
      <c r="A480" s="31"/>
    </row>
    <row r="481" customFormat="false" ht="13.5" hidden="false" customHeight="true" outlineLevel="0" collapsed="false">
      <c r="A481" s="31"/>
    </row>
    <row r="482" customFormat="false" ht="13.5" hidden="false" customHeight="true" outlineLevel="0" collapsed="false">
      <c r="A482" s="31"/>
    </row>
    <row r="483" customFormat="false" ht="13.5" hidden="false" customHeight="true" outlineLevel="0" collapsed="false">
      <c r="A483" s="31"/>
    </row>
    <row r="484" customFormat="false" ht="13.5" hidden="false" customHeight="true" outlineLevel="0" collapsed="false">
      <c r="A484" s="31"/>
    </row>
    <row r="485" customFormat="false" ht="13.5" hidden="false" customHeight="true" outlineLevel="0" collapsed="false">
      <c r="A485" s="31"/>
    </row>
    <row r="486" customFormat="false" ht="13.5" hidden="false" customHeight="true" outlineLevel="0" collapsed="false">
      <c r="A486" s="31"/>
    </row>
    <row r="487" customFormat="false" ht="13.5" hidden="false" customHeight="true" outlineLevel="0" collapsed="false">
      <c r="A487" s="31"/>
    </row>
    <row r="488" customFormat="false" ht="13.5" hidden="false" customHeight="true" outlineLevel="0" collapsed="false">
      <c r="A488" s="31"/>
    </row>
    <row r="489" customFormat="false" ht="13.5" hidden="false" customHeight="true" outlineLevel="0" collapsed="false">
      <c r="A489" s="31"/>
    </row>
    <row r="490" customFormat="false" ht="13.5" hidden="false" customHeight="true" outlineLevel="0" collapsed="false">
      <c r="A490" s="31"/>
    </row>
    <row r="491" customFormat="false" ht="13.5" hidden="false" customHeight="true" outlineLevel="0" collapsed="false">
      <c r="A491" s="31"/>
    </row>
    <row r="492" customFormat="false" ht="13.5" hidden="false" customHeight="true" outlineLevel="0" collapsed="false">
      <c r="A492" s="31"/>
    </row>
    <row r="493" customFormat="false" ht="13.5" hidden="false" customHeight="true" outlineLevel="0" collapsed="false">
      <c r="A493" s="31"/>
    </row>
    <row r="494" customFormat="false" ht="13.5" hidden="false" customHeight="true" outlineLevel="0" collapsed="false">
      <c r="A494" s="31"/>
    </row>
    <row r="495" customFormat="false" ht="13.5" hidden="false" customHeight="true" outlineLevel="0" collapsed="false">
      <c r="A495" s="31"/>
    </row>
    <row r="496" customFormat="false" ht="13.5" hidden="false" customHeight="true" outlineLevel="0" collapsed="false">
      <c r="A496" s="31"/>
    </row>
    <row r="497" customFormat="false" ht="13.5" hidden="false" customHeight="true" outlineLevel="0" collapsed="false">
      <c r="A497" s="31"/>
    </row>
    <row r="498" customFormat="false" ht="13.5" hidden="false" customHeight="true" outlineLevel="0" collapsed="false">
      <c r="A498" s="31"/>
    </row>
    <row r="499" customFormat="false" ht="13.5" hidden="false" customHeight="true" outlineLevel="0" collapsed="false">
      <c r="A499" s="31"/>
    </row>
    <row r="500" customFormat="false" ht="13.5" hidden="false" customHeight="true" outlineLevel="0" collapsed="false">
      <c r="A500" s="31"/>
    </row>
    <row r="501" customFormat="false" ht="13.5" hidden="false" customHeight="true" outlineLevel="0" collapsed="false">
      <c r="A501" s="31"/>
    </row>
    <row r="502" customFormat="false" ht="13.5" hidden="false" customHeight="true" outlineLevel="0" collapsed="false">
      <c r="A502" s="31"/>
    </row>
    <row r="503" customFormat="false" ht="13.5" hidden="false" customHeight="true" outlineLevel="0" collapsed="false">
      <c r="A503" s="31"/>
    </row>
    <row r="504" customFormat="false" ht="13.5" hidden="false" customHeight="true" outlineLevel="0" collapsed="false">
      <c r="A504" s="31"/>
    </row>
    <row r="505" customFormat="false" ht="13.5" hidden="false" customHeight="true" outlineLevel="0" collapsed="false">
      <c r="A505" s="31"/>
    </row>
    <row r="506" customFormat="false" ht="13.5" hidden="false" customHeight="true" outlineLevel="0" collapsed="false">
      <c r="A506" s="31"/>
    </row>
    <row r="507" customFormat="false" ht="13.5" hidden="false" customHeight="true" outlineLevel="0" collapsed="false">
      <c r="A507" s="31"/>
    </row>
    <row r="508" customFormat="false" ht="13.5" hidden="false" customHeight="true" outlineLevel="0" collapsed="false">
      <c r="A508" s="31"/>
    </row>
    <row r="509" customFormat="false" ht="13.5" hidden="false" customHeight="true" outlineLevel="0" collapsed="false">
      <c r="A509" s="31"/>
    </row>
    <row r="510" customFormat="false" ht="13.5" hidden="false" customHeight="true" outlineLevel="0" collapsed="false">
      <c r="A510" s="31"/>
    </row>
    <row r="511" customFormat="false" ht="13.5" hidden="false" customHeight="true" outlineLevel="0" collapsed="false">
      <c r="A511" s="31"/>
    </row>
    <row r="512" customFormat="false" ht="13.5" hidden="false" customHeight="true" outlineLevel="0" collapsed="false">
      <c r="A512" s="31"/>
    </row>
    <row r="513" customFormat="false" ht="13.5" hidden="false" customHeight="true" outlineLevel="0" collapsed="false">
      <c r="A513" s="31"/>
    </row>
    <row r="514" customFormat="false" ht="13.5" hidden="false" customHeight="true" outlineLevel="0" collapsed="false">
      <c r="A514" s="31"/>
    </row>
    <row r="515" customFormat="false" ht="13.5" hidden="false" customHeight="true" outlineLevel="0" collapsed="false">
      <c r="A515" s="31"/>
    </row>
    <row r="516" customFormat="false" ht="13.5" hidden="false" customHeight="true" outlineLevel="0" collapsed="false">
      <c r="A516" s="31"/>
    </row>
    <row r="517" customFormat="false" ht="13.5" hidden="false" customHeight="true" outlineLevel="0" collapsed="false">
      <c r="A517" s="31"/>
    </row>
    <row r="518" customFormat="false" ht="13.5" hidden="false" customHeight="true" outlineLevel="0" collapsed="false">
      <c r="A518" s="31"/>
    </row>
    <row r="519" customFormat="false" ht="13.5" hidden="false" customHeight="true" outlineLevel="0" collapsed="false">
      <c r="A519" s="31"/>
    </row>
    <row r="520" customFormat="false" ht="13.5" hidden="false" customHeight="true" outlineLevel="0" collapsed="false">
      <c r="A520" s="31"/>
    </row>
    <row r="521" customFormat="false" ht="13.5" hidden="false" customHeight="true" outlineLevel="0" collapsed="false">
      <c r="A521" s="31"/>
    </row>
    <row r="522" customFormat="false" ht="13.5" hidden="false" customHeight="true" outlineLevel="0" collapsed="false">
      <c r="A522" s="31"/>
    </row>
    <row r="523" customFormat="false" ht="13.5" hidden="false" customHeight="true" outlineLevel="0" collapsed="false">
      <c r="A523" s="31"/>
    </row>
    <row r="524" customFormat="false" ht="13.5" hidden="false" customHeight="true" outlineLevel="0" collapsed="false">
      <c r="A524" s="31"/>
    </row>
    <row r="525" customFormat="false" ht="13.5" hidden="false" customHeight="true" outlineLevel="0" collapsed="false">
      <c r="A525" s="31"/>
    </row>
    <row r="526" customFormat="false" ht="13.5" hidden="false" customHeight="true" outlineLevel="0" collapsed="false">
      <c r="A526" s="31"/>
    </row>
    <row r="527" customFormat="false" ht="13.5" hidden="false" customHeight="true" outlineLevel="0" collapsed="false">
      <c r="A527" s="31"/>
    </row>
    <row r="528" customFormat="false" ht="13.5" hidden="false" customHeight="true" outlineLevel="0" collapsed="false">
      <c r="A528" s="31"/>
    </row>
    <row r="529" customFormat="false" ht="13.5" hidden="false" customHeight="true" outlineLevel="0" collapsed="false">
      <c r="A529" s="31"/>
    </row>
    <row r="530" customFormat="false" ht="13.5" hidden="false" customHeight="true" outlineLevel="0" collapsed="false">
      <c r="A530" s="31"/>
    </row>
    <row r="531" customFormat="false" ht="13.5" hidden="false" customHeight="true" outlineLevel="0" collapsed="false">
      <c r="A531" s="31"/>
    </row>
    <row r="532" customFormat="false" ht="13.5" hidden="false" customHeight="true" outlineLevel="0" collapsed="false">
      <c r="A532" s="31"/>
    </row>
    <row r="533" customFormat="false" ht="13.5" hidden="false" customHeight="true" outlineLevel="0" collapsed="false">
      <c r="A533" s="31"/>
    </row>
    <row r="534" customFormat="false" ht="13.5" hidden="false" customHeight="true" outlineLevel="0" collapsed="false">
      <c r="A534" s="31"/>
    </row>
    <row r="535" customFormat="false" ht="13.5" hidden="false" customHeight="true" outlineLevel="0" collapsed="false">
      <c r="A535" s="31"/>
    </row>
    <row r="536" customFormat="false" ht="13.5" hidden="false" customHeight="true" outlineLevel="0" collapsed="false">
      <c r="A536" s="31"/>
    </row>
    <row r="537" customFormat="false" ht="13.5" hidden="false" customHeight="true" outlineLevel="0" collapsed="false">
      <c r="A537" s="31"/>
    </row>
    <row r="538" customFormat="false" ht="13.5" hidden="false" customHeight="true" outlineLevel="0" collapsed="false">
      <c r="A538" s="31"/>
    </row>
    <row r="539" customFormat="false" ht="13.5" hidden="false" customHeight="true" outlineLevel="0" collapsed="false">
      <c r="A539" s="31"/>
    </row>
    <row r="540" customFormat="false" ht="13.5" hidden="false" customHeight="true" outlineLevel="0" collapsed="false">
      <c r="A540" s="31"/>
    </row>
    <row r="541" customFormat="false" ht="13.5" hidden="false" customHeight="true" outlineLevel="0" collapsed="false">
      <c r="A541" s="31"/>
    </row>
    <row r="542" customFormat="false" ht="13.5" hidden="false" customHeight="true" outlineLevel="0" collapsed="false">
      <c r="A542" s="31"/>
    </row>
    <row r="543" customFormat="false" ht="13.5" hidden="false" customHeight="true" outlineLevel="0" collapsed="false">
      <c r="A543" s="31"/>
    </row>
    <row r="544" customFormat="false" ht="13.5" hidden="false" customHeight="true" outlineLevel="0" collapsed="false">
      <c r="A544" s="31"/>
    </row>
    <row r="545" customFormat="false" ht="13.5" hidden="false" customHeight="true" outlineLevel="0" collapsed="false">
      <c r="A545" s="31"/>
    </row>
    <row r="546" customFormat="false" ht="13.5" hidden="false" customHeight="true" outlineLevel="0" collapsed="false">
      <c r="A546" s="31"/>
    </row>
    <row r="547" customFormat="false" ht="13.5" hidden="false" customHeight="true" outlineLevel="0" collapsed="false">
      <c r="A547" s="31"/>
    </row>
    <row r="548" customFormat="false" ht="13.5" hidden="false" customHeight="true" outlineLevel="0" collapsed="false">
      <c r="A548" s="31"/>
    </row>
    <row r="549" customFormat="false" ht="13.5" hidden="false" customHeight="true" outlineLevel="0" collapsed="false">
      <c r="A549" s="31"/>
    </row>
    <row r="550" customFormat="false" ht="13.5" hidden="false" customHeight="true" outlineLevel="0" collapsed="false">
      <c r="A550" s="31"/>
    </row>
    <row r="551" customFormat="false" ht="13.5" hidden="false" customHeight="true" outlineLevel="0" collapsed="false">
      <c r="A551" s="31"/>
    </row>
    <row r="552" customFormat="false" ht="13.5" hidden="false" customHeight="true" outlineLevel="0" collapsed="false">
      <c r="A552" s="31"/>
    </row>
    <row r="553" customFormat="false" ht="13.5" hidden="false" customHeight="true" outlineLevel="0" collapsed="false">
      <c r="A553" s="31"/>
    </row>
    <row r="554" customFormat="false" ht="13.5" hidden="false" customHeight="true" outlineLevel="0" collapsed="false">
      <c r="A554" s="31"/>
    </row>
    <row r="555" customFormat="false" ht="13.5" hidden="false" customHeight="true" outlineLevel="0" collapsed="false">
      <c r="A555" s="31"/>
    </row>
    <row r="556" customFormat="false" ht="13.5" hidden="false" customHeight="true" outlineLevel="0" collapsed="false">
      <c r="A556" s="31"/>
    </row>
    <row r="557" customFormat="false" ht="13.5" hidden="false" customHeight="true" outlineLevel="0" collapsed="false">
      <c r="A557" s="31"/>
    </row>
    <row r="558" customFormat="false" ht="13.5" hidden="false" customHeight="true" outlineLevel="0" collapsed="false">
      <c r="A558" s="31"/>
    </row>
    <row r="559" customFormat="false" ht="13.5" hidden="false" customHeight="true" outlineLevel="0" collapsed="false">
      <c r="A559" s="31"/>
    </row>
    <row r="560" customFormat="false" ht="13.5" hidden="false" customHeight="true" outlineLevel="0" collapsed="false">
      <c r="A560" s="31"/>
    </row>
    <row r="561" customFormat="false" ht="13.5" hidden="false" customHeight="true" outlineLevel="0" collapsed="false">
      <c r="A561" s="31"/>
    </row>
    <row r="562" customFormat="false" ht="13.5" hidden="false" customHeight="true" outlineLevel="0" collapsed="false">
      <c r="A562" s="31"/>
    </row>
    <row r="563" customFormat="false" ht="13.5" hidden="false" customHeight="true" outlineLevel="0" collapsed="false">
      <c r="A563" s="31"/>
    </row>
    <row r="564" customFormat="false" ht="13.5" hidden="false" customHeight="true" outlineLevel="0" collapsed="false">
      <c r="A564" s="31"/>
    </row>
    <row r="565" customFormat="false" ht="13.5" hidden="false" customHeight="true" outlineLevel="0" collapsed="false">
      <c r="A565" s="31"/>
    </row>
    <row r="566" customFormat="false" ht="13.5" hidden="false" customHeight="true" outlineLevel="0" collapsed="false">
      <c r="A566" s="31"/>
    </row>
    <row r="567" customFormat="false" ht="13.5" hidden="false" customHeight="true" outlineLevel="0" collapsed="false">
      <c r="A567" s="31"/>
    </row>
    <row r="568" customFormat="false" ht="13.5" hidden="false" customHeight="true" outlineLevel="0" collapsed="false">
      <c r="A568" s="31"/>
    </row>
    <row r="569" customFormat="false" ht="13.5" hidden="false" customHeight="true" outlineLevel="0" collapsed="false">
      <c r="A569" s="31"/>
    </row>
    <row r="570" customFormat="false" ht="13.5" hidden="false" customHeight="true" outlineLevel="0" collapsed="false">
      <c r="A570" s="31"/>
    </row>
    <row r="571" customFormat="false" ht="13.5" hidden="false" customHeight="true" outlineLevel="0" collapsed="false">
      <c r="A571" s="31"/>
    </row>
    <row r="572" customFormat="false" ht="13.5" hidden="false" customHeight="true" outlineLevel="0" collapsed="false">
      <c r="A572" s="31"/>
    </row>
    <row r="573" customFormat="false" ht="13.5" hidden="false" customHeight="true" outlineLevel="0" collapsed="false">
      <c r="A573" s="31"/>
    </row>
    <row r="574" customFormat="false" ht="13.5" hidden="false" customHeight="true" outlineLevel="0" collapsed="false">
      <c r="A574" s="31"/>
    </row>
    <row r="575" customFormat="false" ht="13.5" hidden="false" customHeight="true" outlineLevel="0" collapsed="false">
      <c r="A575" s="31"/>
    </row>
    <row r="576" customFormat="false" ht="13.5" hidden="false" customHeight="true" outlineLevel="0" collapsed="false">
      <c r="A576" s="31"/>
    </row>
    <row r="577" customFormat="false" ht="13.5" hidden="false" customHeight="true" outlineLevel="0" collapsed="false">
      <c r="A577" s="31"/>
    </row>
    <row r="578" customFormat="false" ht="13.5" hidden="false" customHeight="true" outlineLevel="0" collapsed="false">
      <c r="A578" s="31"/>
    </row>
    <row r="579" customFormat="false" ht="13.5" hidden="false" customHeight="true" outlineLevel="0" collapsed="false">
      <c r="A579" s="31"/>
    </row>
    <row r="580" customFormat="false" ht="13.5" hidden="false" customHeight="true" outlineLevel="0" collapsed="false">
      <c r="A580" s="31"/>
    </row>
    <row r="581" customFormat="false" ht="13.5" hidden="false" customHeight="true" outlineLevel="0" collapsed="false">
      <c r="A581" s="31"/>
    </row>
    <row r="582" customFormat="false" ht="13.5" hidden="false" customHeight="true" outlineLevel="0" collapsed="false">
      <c r="A582" s="31"/>
    </row>
    <row r="583" customFormat="false" ht="13.5" hidden="false" customHeight="true" outlineLevel="0" collapsed="false">
      <c r="A583" s="31"/>
    </row>
    <row r="584" customFormat="false" ht="13.5" hidden="false" customHeight="true" outlineLevel="0" collapsed="false">
      <c r="A584" s="31"/>
    </row>
    <row r="585" customFormat="false" ht="13.5" hidden="false" customHeight="true" outlineLevel="0" collapsed="false">
      <c r="A585" s="31"/>
    </row>
    <row r="586" customFormat="false" ht="13.5" hidden="false" customHeight="true" outlineLevel="0" collapsed="false">
      <c r="A586" s="31"/>
    </row>
    <row r="587" customFormat="false" ht="13.5" hidden="false" customHeight="true" outlineLevel="0" collapsed="false">
      <c r="A587" s="31"/>
    </row>
    <row r="588" customFormat="false" ht="13.5" hidden="false" customHeight="true" outlineLevel="0" collapsed="false">
      <c r="A588" s="31"/>
    </row>
    <row r="589" customFormat="false" ht="13.5" hidden="false" customHeight="true" outlineLevel="0" collapsed="false">
      <c r="A589" s="31"/>
    </row>
    <row r="590" customFormat="false" ht="13.5" hidden="false" customHeight="true" outlineLevel="0" collapsed="false">
      <c r="A590" s="31"/>
    </row>
    <row r="591" customFormat="false" ht="13.5" hidden="false" customHeight="true" outlineLevel="0" collapsed="false">
      <c r="A591" s="31"/>
    </row>
    <row r="592" customFormat="false" ht="13.5" hidden="false" customHeight="true" outlineLevel="0" collapsed="false">
      <c r="A592" s="31"/>
    </row>
    <row r="593" customFormat="false" ht="13.5" hidden="false" customHeight="true" outlineLevel="0" collapsed="false">
      <c r="A593" s="31"/>
    </row>
    <row r="594" customFormat="false" ht="13.5" hidden="false" customHeight="true" outlineLevel="0" collapsed="false">
      <c r="A594" s="31"/>
    </row>
    <row r="595" customFormat="false" ht="13.5" hidden="false" customHeight="true" outlineLevel="0" collapsed="false">
      <c r="A595" s="31"/>
    </row>
    <row r="596" customFormat="false" ht="13.5" hidden="false" customHeight="true" outlineLevel="0" collapsed="false">
      <c r="A596" s="31"/>
    </row>
    <row r="597" customFormat="false" ht="13.5" hidden="false" customHeight="true" outlineLevel="0" collapsed="false">
      <c r="A597" s="31"/>
    </row>
    <row r="598" customFormat="false" ht="13.5" hidden="false" customHeight="true" outlineLevel="0" collapsed="false">
      <c r="A598" s="31"/>
    </row>
    <row r="599" customFormat="false" ht="13.5" hidden="false" customHeight="true" outlineLevel="0" collapsed="false">
      <c r="A599" s="31"/>
    </row>
    <row r="600" customFormat="false" ht="13.5" hidden="false" customHeight="true" outlineLevel="0" collapsed="false">
      <c r="A600" s="31"/>
    </row>
    <row r="601" customFormat="false" ht="13.5" hidden="false" customHeight="true" outlineLevel="0" collapsed="false">
      <c r="A601" s="31"/>
    </row>
    <row r="602" customFormat="false" ht="13.5" hidden="false" customHeight="true" outlineLevel="0" collapsed="false">
      <c r="A602" s="31"/>
    </row>
    <row r="603" customFormat="false" ht="13.5" hidden="false" customHeight="true" outlineLevel="0" collapsed="false">
      <c r="A603" s="31"/>
    </row>
    <row r="604" customFormat="false" ht="13.5" hidden="false" customHeight="true" outlineLevel="0" collapsed="false">
      <c r="A604" s="31"/>
    </row>
    <row r="605" customFormat="false" ht="13.5" hidden="false" customHeight="true" outlineLevel="0" collapsed="false">
      <c r="A605" s="31"/>
    </row>
    <row r="606" customFormat="false" ht="13.5" hidden="false" customHeight="true" outlineLevel="0" collapsed="false">
      <c r="A606" s="31"/>
    </row>
    <row r="607" customFormat="false" ht="13.5" hidden="false" customHeight="true" outlineLevel="0" collapsed="false">
      <c r="A607" s="31"/>
    </row>
    <row r="608" customFormat="false" ht="13.5" hidden="false" customHeight="true" outlineLevel="0" collapsed="false">
      <c r="A608" s="31"/>
    </row>
    <row r="609" customFormat="false" ht="13.5" hidden="false" customHeight="true" outlineLevel="0" collapsed="false">
      <c r="A609" s="31"/>
    </row>
    <row r="610" customFormat="false" ht="13.5" hidden="false" customHeight="true" outlineLevel="0" collapsed="false">
      <c r="A610" s="31"/>
    </row>
    <row r="611" customFormat="false" ht="13.5" hidden="false" customHeight="true" outlineLevel="0" collapsed="false">
      <c r="A611" s="31"/>
    </row>
    <row r="612" customFormat="false" ht="13.5" hidden="false" customHeight="true" outlineLevel="0" collapsed="false">
      <c r="A612" s="31"/>
    </row>
    <row r="613" customFormat="false" ht="13.5" hidden="false" customHeight="true" outlineLevel="0" collapsed="false">
      <c r="A613" s="31"/>
    </row>
    <row r="614" customFormat="false" ht="13.5" hidden="false" customHeight="true" outlineLevel="0" collapsed="false">
      <c r="A614" s="31"/>
    </row>
    <row r="615" customFormat="false" ht="13.5" hidden="false" customHeight="true" outlineLevel="0" collapsed="false">
      <c r="A615" s="31"/>
    </row>
    <row r="616" customFormat="false" ht="13.5" hidden="false" customHeight="true" outlineLevel="0" collapsed="false">
      <c r="A616" s="31"/>
    </row>
    <row r="617" customFormat="false" ht="13.5" hidden="false" customHeight="true" outlineLevel="0" collapsed="false">
      <c r="A617" s="31"/>
    </row>
    <row r="618" customFormat="false" ht="13.5" hidden="false" customHeight="true" outlineLevel="0" collapsed="false">
      <c r="A618" s="31"/>
    </row>
    <row r="619" customFormat="false" ht="13.5" hidden="false" customHeight="true" outlineLevel="0" collapsed="false">
      <c r="A619" s="31"/>
    </row>
    <row r="620" customFormat="false" ht="13.5" hidden="false" customHeight="true" outlineLevel="0" collapsed="false">
      <c r="A620" s="31"/>
    </row>
    <row r="621" customFormat="false" ht="13.5" hidden="false" customHeight="true" outlineLevel="0" collapsed="false">
      <c r="A621" s="31"/>
    </row>
    <row r="622" customFormat="false" ht="13.5" hidden="false" customHeight="true" outlineLevel="0" collapsed="false">
      <c r="A622" s="31"/>
    </row>
    <row r="623" customFormat="false" ht="13.5" hidden="false" customHeight="true" outlineLevel="0" collapsed="false">
      <c r="A623" s="31"/>
    </row>
    <row r="624" customFormat="false" ht="13.5" hidden="false" customHeight="true" outlineLevel="0" collapsed="false">
      <c r="A624" s="31"/>
    </row>
    <row r="625" customFormat="false" ht="13.5" hidden="false" customHeight="true" outlineLevel="0" collapsed="false">
      <c r="A625" s="31"/>
    </row>
    <row r="626" customFormat="false" ht="13.5" hidden="false" customHeight="true" outlineLevel="0" collapsed="false">
      <c r="A626" s="31"/>
    </row>
    <row r="627" customFormat="false" ht="13.5" hidden="false" customHeight="true" outlineLevel="0" collapsed="false">
      <c r="A627" s="31"/>
    </row>
    <row r="628" customFormat="false" ht="13.5" hidden="false" customHeight="true" outlineLevel="0" collapsed="false">
      <c r="A628" s="31"/>
    </row>
    <row r="629" customFormat="false" ht="13.5" hidden="false" customHeight="true" outlineLevel="0" collapsed="false">
      <c r="A629" s="31"/>
    </row>
    <row r="630" customFormat="false" ht="13.5" hidden="false" customHeight="true" outlineLevel="0" collapsed="false">
      <c r="A630" s="31"/>
    </row>
    <row r="631" customFormat="false" ht="13.5" hidden="false" customHeight="true" outlineLevel="0" collapsed="false">
      <c r="A631" s="31"/>
    </row>
    <row r="632" customFormat="false" ht="13.5" hidden="false" customHeight="true" outlineLevel="0" collapsed="false">
      <c r="A632" s="31"/>
    </row>
    <row r="633" customFormat="false" ht="13.5" hidden="false" customHeight="true" outlineLevel="0" collapsed="false">
      <c r="A633" s="31"/>
    </row>
    <row r="634" customFormat="false" ht="13.5" hidden="false" customHeight="true" outlineLevel="0" collapsed="false">
      <c r="A634" s="31"/>
    </row>
    <row r="635" customFormat="false" ht="13.5" hidden="false" customHeight="true" outlineLevel="0" collapsed="false">
      <c r="A635" s="31"/>
    </row>
    <row r="636" customFormat="false" ht="13.5" hidden="false" customHeight="true" outlineLevel="0" collapsed="false">
      <c r="A636" s="31"/>
    </row>
    <row r="637" customFormat="false" ht="13.5" hidden="false" customHeight="true" outlineLevel="0" collapsed="false">
      <c r="A637" s="31"/>
    </row>
    <row r="638" customFormat="false" ht="13.5" hidden="false" customHeight="true" outlineLevel="0" collapsed="false">
      <c r="A638" s="31"/>
    </row>
    <row r="639" customFormat="false" ht="13.5" hidden="false" customHeight="true" outlineLevel="0" collapsed="false">
      <c r="A639" s="31"/>
    </row>
    <row r="640" customFormat="false" ht="13.5" hidden="false" customHeight="true" outlineLevel="0" collapsed="false">
      <c r="A640" s="31"/>
    </row>
    <row r="641" customFormat="false" ht="13.5" hidden="false" customHeight="true" outlineLevel="0" collapsed="false">
      <c r="A641" s="31"/>
    </row>
    <row r="642" customFormat="false" ht="13.5" hidden="false" customHeight="true" outlineLevel="0" collapsed="false">
      <c r="A642" s="31"/>
    </row>
    <row r="643" customFormat="false" ht="13.5" hidden="false" customHeight="true" outlineLevel="0" collapsed="false">
      <c r="A643" s="31"/>
    </row>
    <row r="644" customFormat="false" ht="13.5" hidden="false" customHeight="true" outlineLevel="0" collapsed="false">
      <c r="A644" s="31"/>
    </row>
    <row r="645" customFormat="false" ht="13.5" hidden="false" customHeight="true" outlineLevel="0" collapsed="false">
      <c r="A645" s="31"/>
    </row>
    <row r="646" customFormat="false" ht="13.5" hidden="false" customHeight="true" outlineLevel="0" collapsed="false">
      <c r="A646" s="31"/>
    </row>
    <row r="647" customFormat="false" ht="13.5" hidden="false" customHeight="true" outlineLevel="0" collapsed="false">
      <c r="A647" s="31"/>
    </row>
    <row r="648" customFormat="false" ht="13.5" hidden="false" customHeight="true" outlineLevel="0" collapsed="false">
      <c r="A648" s="31"/>
    </row>
    <row r="649" customFormat="false" ht="13.5" hidden="false" customHeight="true" outlineLevel="0" collapsed="false">
      <c r="A649" s="31"/>
    </row>
    <row r="650" customFormat="false" ht="13.5" hidden="false" customHeight="true" outlineLevel="0" collapsed="false">
      <c r="A650" s="31"/>
    </row>
    <row r="651" customFormat="false" ht="13.5" hidden="false" customHeight="true" outlineLevel="0" collapsed="false">
      <c r="A651" s="31"/>
    </row>
    <row r="652" customFormat="false" ht="13.5" hidden="false" customHeight="true" outlineLevel="0" collapsed="false">
      <c r="A652" s="31"/>
    </row>
    <row r="653" customFormat="false" ht="13.5" hidden="false" customHeight="true" outlineLevel="0" collapsed="false">
      <c r="A653" s="31"/>
    </row>
    <row r="654" customFormat="false" ht="13.5" hidden="false" customHeight="true" outlineLevel="0" collapsed="false">
      <c r="A654" s="31"/>
    </row>
    <row r="655" customFormat="false" ht="13.5" hidden="false" customHeight="true" outlineLevel="0" collapsed="false">
      <c r="A655" s="31"/>
    </row>
    <row r="656" customFormat="false" ht="13.5" hidden="false" customHeight="true" outlineLevel="0" collapsed="false">
      <c r="A656" s="31"/>
    </row>
    <row r="657" customFormat="false" ht="13.5" hidden="false" customHeight="true" outlineLevel="0" collapsed="false">
      <c r="A657" s="31"/>
    </row>
    <row r="658" customFormat="false" ht="13.5" hidden="false" customHeight="true" outlineLevel="0" collapsed="false">
      <c r="A658" s="31"/>
    </row>
    <row r="659" customFormat="false" ht="13.5" hidden="false" customHeight="true" outlineLevel="0" collapsed="false">
      <c r="A659" s="31"/>
    </row>
    <row r="660" customFormat="false" ht="13.5" hidden="false" customHeight="true" outlineLevel="0" collapsed="false">
      <c r="A660" s="31"/>
    </row>
    <row r="661" customFormat="false" ht="13.5" hidden="false" customHeight="true" outlineLevel="0" collapsed="false">
      <c r="A661" s="31"/>
    </row>
    <row r="662" customFormat="false" ht="13.5" hidden="false" customHeight="true" outlineLevel="0" collapsed="false">
      <c r="A662" s="31"/>
    </row>
    <row r="663" customFormat="false" ht="13.5" hidden="false" customHeight="true" outlineLevel="0" collapsed="false">
      <c r="A663" s="31"/>
    </row>
    <row r="664" customFormat="false" ht="13.5" hidden="false" customHeight="true" outlineLevel="0" collapsed="false">
      <c r="A664" s="31"/>
    </row>
    <row r="665" customFormat="false" ht="13.5" hidden="false" customHeight="true" outlineLevel="0" collapsed="false">
      <c r="A665" s="31"/>
    </row>
    <row r="666" customFormat="false" ht="13.5" hidden="false" customHeight="true" outlineLevel="0" collapsed="false">
      <c r="A666" s="31"/>
    </row>
    <row r="667" customFormat="false" ht="13.5" hidden="false" customHeight="true" outlineLevel="0" collapsed="false">
      <c r="A667" s="31"/>
    </row>
    <row r="668" customFormat="false" ht="13.5" hidden="false" customHeight="true" outlineLevel="0" collapsed="false">
      <c r="A668" s="31"/>
    </row>
    <row r="669" customFormat="false" ht="13.5" hidden="false" customHeight="true" outlineLevel="0" collapsed="false">
      <c r="A669" s="31"/>
    </row>
    <row r="670" customFormat="false" ht="13.5" hidden="false" customHeight="true" outlineLevel="0" collapsed="false">
      <c r="A670" s="31"/>
    </row>
    <row r="671" customFormat="false" ht="13.5" hidden="false" customHeight="true" outlineLevel="0" collapsed="false">
      <c r="A671" s="31"/>
    </row>
    <row r="672" customFormat="false" ht="13.5" hidden="false" customHeight="true" outlineLevel="0" collapsed="false">
      <c r="A672" s="31"/>
    </row>
    <row r="673" customFormat="false" ht="13.5" hidden="false" customHeight="true" outlineLevel="0" collapsed="false">
      <c r="A673" s="31"/>
    </row>
    <row r="674" customFormat="false" ht="13.5" hidden="false" customHeight="true" outlineLevel="0" collapsed="false">
      <c r="A674" s="31"/>
    </row>
    <row r="675" customFormat="false" ht="13.5" hidden="false" customHeight="true" outlineLevel="0" collapsed="false">
      <c r="A675" s="31"/>
    </row>
    <row r="676" customFormat="false" ht="13.5" hidden="false" customHeight="true" outlineLevel="0" collapsed="false">
      <c r="A676" s="31"/>
    </row>
    <row r="677" customFormat="false" ht="13.5" hidden="false" customHeight="true" outlineLevel="0" collapsed="false">
      <c r="A677" s="31"/>
    </row>
    <row r="678" customFormat="false" ht="13.5" hidden="false" customHeight="true" outlineLevel="0" collapsed="false">
      <c r="A678" s="31"/>
    </row>
    <row r="679" customFormat="false" ht="13.5" hidden="false" customHeight="true" outlineLevel="0" collapsed="false">
      <c r="A679" s="31"/>
    </row>
    <row r="680" customFormat="false" ht="13.5" hidden="false" customHeight="true" outlineLevel="0" collapsed="false">
      <c r="A680" s="31"/>
    </row>
    <row r="681" customFormat="false" ht="13.5" hidden="false" customHeight="true" outlineLevel="0" collapsed="false">
      <c r="A681" s="31"/>
    </row>
    <row r="682" customFormat="false" ht="13.5" hidden="false" customHeight="true" outlineLevel="0" collapsed="false">
      <c r="A682" s="31"/>
    </row>
    <row r="683" customFormat="false" ht="13.5" hidden="false" customHeight="true" outlineLevel="0" collapsed="false">
      <c r="A683" s="31"/>
    </row>
    <row r="684" customFormat="false" ht="13.5" hidden="false" customHeight="true" outlineLevel="0" collapsed="false">
      <c r="A684" s="31"/>
    </row>
    <row r="685" customFormat="false" ht="13.5" hidden="false" customHeight="true" outlineLevel="0" collapsed="false">
      <c r="A685" s="31"/>
    </row>
    <row r="686" customFormat="false" ht="13.5" hidden="false" customHeight="true" outlineLevel="0" collapsed="false">
      <c r="A686" s="31"/>
    </row>
    <row r="687" customFormat="false" ht="13.5" hidden="false" customHeight="true" outlineLevel="0" collapsed="false">
      <c r="A687" s="31"/>
    </row>
    <row r="688" customFormat="false" ht="13.5" hidden="false" customHeight="true" outlineLevel="0" collapsed="false">
      <c r="A688" s="31"/>
    </row>
    <row r="689" customFormat="false" ht="13.5" hidden="false" customHeight="true" outlineLevel="0" collapsed="false">
      <c r="A689" s="31"/>
    </row>
    <row r="690" customFormat="false" ht="13.5" hidden="false" customHeight="true" outlineLevel="0" collapsed="false">
      <c r="A690" s="31"/>
    </row>
    <row r="691" customFormat="false" ht="13.5" hidden="false" customHeight="true" outlineLevel="0" collapsed="false">
      <c r="A691" s="31"/>
    </row>
    <row r="692" customFormat="false" ht="13.5" hidden="false" customHeight="true" outlineLevel="0" collapsed="false">
      <c r="A692" s="31"/>
    </row>
    <row r="693" customFormat="false" ht="13.5" hidden="false" customHeight="true" outlineLevel="0" collapsed="false">
      <c r="A693" s="31"/>
    </row>
    <row r="694" customFormat="false" ht="13.5" hidden="false" customHeight="true" outlineLevel="0" collapsed="false">
      <c r="A694" s="31"/>
    </row>
    <row r="695" customFormat="false" ht="13.5" hidden="false" customHeight="true" outlineLevel="0" collapsed="false">
      <c r="A695" s="31"/>
    </row>
    <row r="696" customFormat="false" ht="13.5" hidden="false" customHeight="true" outlineLevel="0" collapsed="false">
      <c r="A696" s="31"/>
    </row>
    <row r="697" customFormat="false" ht="13.5" hidden="false" customHeight="true" outlineLevel="0" collapsed="false">
      <c r="A697" s="31"/>
    </row>
    <row r="698" customFormat="false" ht="13.5" hidden="false" customHeight="true" outlineLevel="0" collapsed="false">
      <c r="A698" s="31"/>
    </row>
    <row r="699" customFormat="false" ht="13.5" hidden="false" customHeight="true" outlineLevel="0" collapsed="false">
      <c r="A699" s="31"/>
    </row>
    <row r="700" customFormat="false" ht="13.5" hidden="false" customHeight="true" outlineLevel="0" collapsed="false">
      <c r="A700" s="31"/>
    </row>
    <row r="701" customFormat="false" ht="13.5" hidden="false" customHeight="true" outlineLevel="0" collapsed="false">
      <c r="A701" s="31"/>
    </row>
    <row r="702" customFormat="false" ht="13.5" hidden="false" customHeight="true" outlineLevel="0" collapsed="false">
      <c r="A702" s="31"/>
    </row>
    <row r="703" customFormat="false" ht="13.5" hidden="false" customHeight="true" outlineLevel="0" collapsed="false">
      <c r="A703" s="31"/>
    </row>
    <row r="704" customFormat="false" ht="13.5" hidden="false" customHeight="true" outlineLevel="0" collapsed="false">
      <c r="A704" s="31"/>
    </row>
    <row r="705" customFormat="false" ht="13.5" hidden="false" customHeight="true" outlineLevel="0" collapsed="false">
      <c r="A705" s="31"/>
    </row>
    <row r="706" customFormat="false" ht="13.5" hidden="false" customHeight="true" outlineLevel="0" collapsed="false">
      <c r="A706" s="31"/>
    </row>
    <row r="707" customFormat="false" ht="13.5" hidden="false" customHeight="true" outlineLevel="0" collapsed="false">
      <c r="A707" s="31"/>
    </row>
    <row r="708" customFormat="false" ht="13.5" hidden="false" customHeight="true" outlineLevel="0" collapsed="false">
      <c r="A708" s="31"/>
    </row>
    <row r="709" customFormat="false" ht="13.5" hidden="false" customHeight="true" outlineLevel="0" collapsed="false">
      <c r="A709" s="31"/>
    </row>
    <row r="710" customFormat="false" ht="13.5" hidden="false" customHeight="true" outlineLevel="0" collapsed="false">
      <c r="A710" s="31"/>
    </row>
    <row r="711" customFormat="false" ht="13.5" hidden="false" customHeight="true" outlineLevel="0" collapsed="false">
      <c r="A711" s="31"/>
    </row>
    <row r="712" customFormat="false" ht="13.5" hidden="false" customHeight="true" outlineLevel="0" collapsed="false">
      <c r="A712" s="31"/>
    </row>
    <row r="713" customFormat="false" ht="13.5" hidden="false" customHeight="true" outlineLevel="0" collapsed="false">
      <c r="A713" s="31"/>
    </row>
    <row r="714" customFormat="false" ht="13.5" hidden="false" customHeight="true" outlineLevel="0" collapsed="false">
      <c r="A714" s="31"/>
    </row>
    <row r="715" customFormat="false" ht="13.5" hidden="false" customHeight="true" outlineLevel="0" collapsed="false">
      <c r="A715" s="31"/>
    </row>
    <row r="716" customFormat="false" ht="13.5" hidden="false" customHeight="true" outlineLevel="0" collapsed="false">
      <c r="A716" s="31"/>
    </row>
    <row r="717" customFormat="false" ht="13.5" hidden="false" customHeight="true" outlineLevel="0" collapsed="false">
      <c r="A717" s="31"/>
    </row>
    <row r="718" customFormat="false" ht="13.5" hidden="false" customHeight="true" outlineLevel="0" collapsed="false">
      <c r="A718" s="31"/>
    </row>
    <row r="719" customFormat="false" ht="13.5" hidden="false" customHeight="true" outlineLevel="0" collapsed="false">
      <c r="A719" s="31"/>
    </row>
    <row r="720" customFormat="false" ht="13.5" hidden="false" customHeight="true" outlineLevel="0" collapsed="false">
      <c r="A720" s="31"/>
    </row>
    <row r="721" customFormat="false" ht="13.5" hidden="false" customHeight="true" outlineLevel="0" collapsed="false">
      <c r="A721" s="31"/>
    </row>
    <row r="722" customFormat="false" ht="13.5" hidden="false" customHeight="true" outlineLevel="0" collapsed="false">
      <c r="A722" s="31"/>
    </row>
    <row r="723" customFormat="false" ht="13.5" hidden="false" customHeight="true" outlineLevel="0" collapsed="false">
      <c r="A723" s="31"/>
    </row>
    <row r="724" customFormat="false" ht="13.5" hidden="false" customHeight="true" outlineLevel="0" collapsed="false">
      <c r="A724" s="31"/>
    </row>
    <row r="725" customFormat="false" ht="13.5" hidden="false" customHeight="true" outlineLevel="0" collapsed="false">
      <c r="A725" s="31"/>
    </row>
    <row r="726" customFormat="false" ht="13.5" hidden="false" customHeight="true" outlineLevel="0" collapsed="false">
      <c r="A726" s="31"/>
    </row>
    <row r="727" customFormat="false" ht="13.5" hidden="false" customHeight="true" outlineLevel="0" collapsed="false">
      <c r="A727" s="31"/>
    </row>
    <row r="728" customFormat="false" ht="13.5" hidden="false" customHeight="true" outlineLevel="0" collapsed="false">
      <c r="A728" s="31"/>
    </row>
    <row r="729" customFormat="false" ht="13.5" hidden="false" customHeight="true" outlineLevel="0" collapsed="false">
      <c r="A729" s="31"/>
    </row>
    <row r="730" customFormat="false" ht="13.5" hidden="false" customHeight="true" outlineLevel="0" collapsed="false">
      <c r="A730" s="31"/>
    </row>
    <row r="731" customFormat="false" ht="13.5" hidden="false" customHeight="true" outlineLevel="0" collapsed="false">
      <c r="A731" s="31"/>
    </row>
    <row r="732" customFormat="false" ht="13.5" hidden="false" customHeight="true" outlineLevel="0" collapsed="false">
      <c r="A732" s="31"/>
    </row>
    <row r="733" customFormat="false" ht="13.5" hidden="false" customHeight="true" outlineLevel="0" collapsed="false">
      <c r="A733" s="31"/>
    </row>
    <row r="734" customFormat="false" ht="13.5" hidden="false" customHeight="true" outlineLevel="0" collapsed="false">
      <c r="A734" s="31"/>
    </row>
    <row r="735" customFormat="false" ht="13.5" hidden="false" customHeight="true" outlineLevel="0" collapsed="false">
      <c r="A735" s="31"/>
    </row>
    <row r="736" customFormat="false" ht="13.5" hidden="false" customHeight="true" outlineLevel="0" collapsed="false">
      <c r="A736" s="31"/>
    </row>
    <row r="737" customFormat="false" ht="13.5" hidden="false" customHeight="true" outlineLevel="0" collapsed="false">
      <c r="A737" s="31"/>
    </row>
    <row r="738" customFormat="false" ht="13.5" hidden="false" customHeight="true" outlineLevel="0" collapsed="false">
      <c r="A738" s="31"/>
    </row>
    <row r="739" customFormat="false" ht="13.5" hidden="false" customHeight="true" outlineLevel="0" collapsed="false">
      <c r="A739" s="31"/>
    </row>
    <row r="740" customFormat="false" ht="13.5" hidden="false" customHeight="true" outlineLevel="0" collapsed="false">
      <c r="A740" s="31"/>
    </row>
    <row r="741" customFormat="false" ht="13.5" hidden="false" customHeight="true" outlineLevel="0" collapsed="false">
      <c r="A741" s="31"/>
    </row>
    <row r="742" customFormat="false" ht="13.5" hidden="false" customHeight="true" outlineLevel="0" collapsed="false">
      <c r="A742" s="31"/>
    </row>
    <row r="743" customFormat="false" ht="13.5" hidden="false" customHeight="true" outlineLevel="0" collapsed="false">
      <c r="A743" s="31"/>
    </row>
    <row r="744" customFormat="false" ht="13.5" hidden="false" customHeight="true" outlineLevel="0" collapsed="false">
      <c r="A744" s="31"/>
    </row>
    <row r="745" customFormat="false" ht="13.5" hidden="false" customHeight="true" outlineLevel="0" collapsed="false">
      <c r="A745" s="31"/>
    </row>
    <row r="746" customFormat="false" ht="13.5" hidden="false" customHeight="true" outlineLevel="0" collapsed="false">
      <c r="A746" s="31"/>
    </row>
    <row r="747" customFormat="false" ht="13.5" hidden="false" customHeight="true" outlineLevel="0" collapsed="false">
      <c r="A747" s="31"/>
    </row>
    <row r="748" customFormat="false" ht="13.5" hidden="false" customHeight="true" outlineLevel="0" collapsed="false">
      <c r="A748" s="31"/>
    </row>
    <row r="749" customFormat="false" ht="13.5" hidden="false" customHeight="true" outlineLevel="0" collapsed="false">
      <c r="A749" s="31"/>
    </row>
    <row r="750" customFormat="false" ht="13.5" hidden="false" customHeight="true" outlineLevel="0" collapsed="false">
      <c r="A750" s="31"/>
    </row>
    <row r="751" customFormat="false" ht="13.5" hidden="false" customHeight="true" outlineLevel="0" collapsed="false">
      <c r="A751" s="31"/>
    </row>
    <row r="752" customFormat="false" ht="13.5" hidden="false" customHeight="true" outlineLevel="0" collapsed="false">
      <c r="A752" s="31"/>
    </row>
    <row r="753" customFormat="false" ht="13.5" hidden="false" customHeight="true" outlineLevel="0" collapsed="false">
      <c r="A753" s="31"/>
    </row>
    <row r="754" customFormat="false" ht="13.5" hidden="false" customHeight="true" outlineLevel="0" collapsed="false">
      <c r="A754" s="31"/>
    </row>
    <row r="755" customFormat="false" ht="13.5" hidden="false" customHeight="true" outlineLevel="0" collapsed="false">
      <c r="A755" s="31"/>
    </row>
    <row r="756" customFormat="false" ht="13.5" hidden="false" customHeight="true" outlineLevel="0" collapsed="false">
      <c r="A756" s="31"/>
    </row>
    <row r="757" customFormat="false" ht="13.5" hidden="false" customHeight="true" outlineLevel="0" collapsed="false">
      <c r="A757" s="31"/>
    </row>
    <row r="758" customFormat="false" ht="13.5" hidden="false" customHeight="true" outlineLevel="0" collapsed="false">
      <c r="A758" s="31"/>
    </row>
    <row r="759" customFormat="false" ht="13.5" hidden="false" customHeight="true" outlineLevel="0" collapsed="false">
      <c r="A759" s="31"/>
    </row>
    <row r="760" customFormat="false" ht="13.5" hidden="false" customHeight="true" outlineLevel="0" collapsed="false">
      <c r="A760" s="31"/>
    </row>
    <row r="761" customFormat="false" ht="13.5" hidden="false" customHeight="true" outlineLevel="0" collapsed="false">
      <c r="A761" s="31"/>
    </row>
    <row r="762" customFormat="false" ht="13.5" hidden="false" customHeight="true" outlineLevel="0" collapsed="false">
      <c r="A762" s="31"/>
    </row>
    <row r="763" customFormat="false" ht="13.5" hidden="false" customHeight="true" outlineLevel="0" collapsed="false">
      <c r="A763" s="31"/>
    </row>
    <row r="764" customFormat="false" ht="13.5" hidden="false" customHeight="true" outlineLevel="0" collapsed="false">
      <c r="A764" s="31"/>
    </row>
    <row r="765" customFormat="false" ht="13.5" hidden="false" customHeight="true" outlineLevel="0" collapsed="false">
      <c r="A765" s="31"/>
    </row>
    <row r="766" customFormat="false" ht="13.5" hidden="false" customHeight="true" outlineLevel="0" collapsed="false">
      <c r="A766" s="31"/>
    </row>
    <row r="767" customFormat="false" ht="13.5" hidden="false" customHeight="true" outlineLevel="0" collapsed="false">
      <c r="A767" s="31"/>
    </row>
    <row r="768" customFormat="false" ht="13.5" hidden="false" customHeight="true" outlineLevel="0" collapsed="false">
      <c r="A768" s="31"/>
    </row>
    <row r="769" customFormat="false" ht="13.5" hidden="false" customHeight="true" outlineLevel="0" collapsed="false">
      <c r="A769" s="31"/>
    </row>
    <row r="770" customFormat="false" ht="13.5" hidden="false" customHeight="true" outlineLevel="0" collapsed="false">
      <c r="A770" s="31"/>
    </row>
    <row r="771" customFormat="false" ht="13.5" hidden="false" customHeight="true" outlineLevel="0" collapsed="false">
      <c r="A771" s="31"/>
    </row>
    <row r="772" customFormat="false" ht="13.5" hidden="false" customHeight="true" outlineLevel="0" collapsed="false">
      <c r="A772" s="31"/>
    </row>
    <row r="773" customFormat="false" ht="13.5" hidden="false" customHeight="true" outlineLevel="0" collapsed="false">
      <c r="A773" s="31"/>
    </row>
    <row r="774" customFormat="false" ht="13.5" hidden="false" customHeight="true" outlineLevel="0" collapsed="false">
      <c r="A774" s="31"/>
    </row>
    <row r="775" customFormat="false" ht="13.5" hidden="false" customHeight="true" outlineLevel="0" collapsed="false">
      <c r="A775" s="31"/>
    </row>
    <row r="776" customFormat="false" ht="13.5" hidden="false" customHeight="true" outlineLevel="0" collapsed="false">
      <c r="A776" s="31"/>
    </row>
    <row r="777" customFormat="false" ht="13.5" hidden="false" customHeight="true" outlineLevel="0" collapsed="false">
      <c r="A777" s="31"/>
    </row>
    <row r="778" customFormat="false" ht="13.5" hidden="false" customHeight="true" outlineLevel="0" collapsed="false">
      <c r="A778" s="31"/>
    </row>
    <row r="779" customFormat="false" ht="13.5" hidden="false" customHeight="true" outlineLevel="0" collapsed="false">
      <c r="A779" s="31"/>
    </row>
    <row r="780" customFormat="false" ht="13.5" hidden="false" customHeight="true" outlineLevel="0" collapsed="false">
      <c r="A780" s="31"/>
    </row>
    <row r="781" customFormat="false" ht="13.5" hidden="false" customHeight="true" outlineLevel="0" collapsed="false">
      <c r="A781" s="31"/>
    </row>
    <row r="782" customFormat="false" ht="13.5" hidden="false" customHeight="true" outlineLevel="0" collapsed="false">
      <c r="A782" s="31"/>
    </row>
    <row r="783" customFormat="false" ht="13.5" hidden="false" customHeight="true" outlineLevel="0" collapsed="false">
      <c r="A783" s="31"/>
    </row>
    <row r="784" customFormat="false" ht="13.5" hidden="false" customHeight="true" outlineLevel="0" collapsed="false">
      <c r="A784" s="31"/>
    </row>
    <row r="785" customFormat="false" ht="13.5" hidden="false" customHeight="true" outlineLevel="0" collapsed="false">
      <c r="A785" s="31"/>
    </row>
    <row r="786" customFormat="false" ht="13.5" hidden="false" customHeight="true" outlineLevel="0" collapsed="false">
      <c r="A786" s="31"/>
    </row>
    <row r="787" customFormat="false" ht="13.5" hidden="false" customHeight="true" outlineLevel="0" collapsed="false">
      <c r="A787" s="31"/>
    </row>
    <row r="788" customFormat="false" ht="13.5" hidden="false" customHeight="true" outlineLevel="0" collapsed="false">
      <c r="A788" s="31"/>
    </row>
    <row r="789" customFormat="false" ht="13.5" hidden="false" customHeight="true" outlineLevel="0" collapsed="false">
      <c r="A789" s="31"/>
    </row>
    <row r="790" customFormat="false" ht="13.5" hidden="false" customHeight="true" outlineLevel="0" collapsed="false">
      <c r="A790" s="31"/>
    </row>
    <row r="791" customFormat="false" ht="13.5" hidden="false" customHeight="true" outlineLevel="0" collapsed="false">
      <c r="A791" s="31"/>
    </row>
    <row r="792" customFormat="false" ht="13.5" hidden="false" customHeight="true" outlineLevel="0" collapsed="false">
      <c r="A792" s="31"/>
    </row>
    <row r="793" customFormat="false" ht="13.5" hidden="false" customHeight="true" outlineLevel="0" collapsed="false">
      <c r="A793" s="31"/>
    </row>
    <row r="794" customFormat="false" ht="13.5" hidden="false" customHeight="true" outlineLevel="0" collapsed="false">
      <c r="A794" s="31"/>
    </row>
    <row r="795" customFormat="false" ht="13.5" hidden="false" customHeight="true" outlineLevel="0" collapsed="false">
      <c r="A795" s="31"/>
    </row>
    <row r="796" customFormat="false" ht="13.5" hidden="false" customHeight="true" outlineLevel="0" collapsed="false">
      <c r="A796" s="31"/>
    </row>
    <row r="797" customFormat="false" ht="13.5" hidden="false" customHeight="true" outlineLevel="0" collapsed="false">
      <c r="A797" s="31"/>
    </row>
    <row r="798" customFormat="false" ht="13.5" hidden="false" customHeight="true" outlineLevel="0" collapsed="false">
      <c r="A798" s="31"/>
    </row>
    <row r="799" customFormat="false" ht="13.5" hidden="false" customHeight="true" outlineLevel="0" collapsed="false">
      <c r="A799" s="31"/>
    </row>
    <row r="800" customFormat="false" ht="13.5" hidden="false" customHeight="true" outlineLevel="0" collapsed="false">
      <c r="A800" s="31"/>
    </row>
    <row r="801" customFormat="false" ht="13.5" hidden="false" customHeight="true" outlineLevel="0" collapsed="false">
      <c r="A801" s="31"/>
    </row>
    <row r="802" customFormat="false" ht="13.5" hidden="false" customHeight="true" outlineLevel="0" collapsed="false">
      <c r="A802" s="31"/>
    </row>
    <row r="803" customFormat="false" ht="13.5" hidden="false" customHeight="true" outlineLevel="0" collapsed="false">
      <c r="A803" s="31"/>
    </row>
    <row r="804" customFormat="false" ht="13.5" hidden="false" customHeight="true" outlineLevel="0" collapsed="false">
      <c r="A804" s="31"/>
    </row>
    <row r="805" customFormat="false" ht="13.5" hidden="false" customHeight="true" outlineLevel="0" collapsed="false">
      <c r="A805" s="31"/>
    </row>
    <row r="806" customFormat="false" ht="13.5" hidden="false" customHeight="true" outlineLevel="0" collapsed="false">
      <c r="A806" s="31"/>
    </row>
    <row r="807" customFormat="false" ht="13.5" hidden="false" customHeight="true" outlineLevel="0" collapsed="false">
      <c r="A807" s="31"/>
    </row>
    <row r="808" customFormat="false" ht="13.5" hidden="false" customHeight="true" outlineLevel="0" collapsed="false">
      <c r="A808" s="31"/>
    </row>
    <row r="809" customFormat="false" ht="13.5" hidden="false" customHeight="true" outlineLevel="0" collapsed="false">
      <c r="A809" s="31"/>
    </row>
    <row r="810" customFormat="false" ht="13.5" hidden="false" customHeight="true" outlineLevel="0" collapsed="false">
      <c r="A810" s="31"/>
    </row>
    <row r="811" customFormat="false" ht="13.5" hidden="false" customHeight="true" outlineLevel="0" collapsed="false">
      <c r="A811" s="31"/>
    </row>
    <row r="812" customFormat="false" ht="13.5" hidden="false" customHeight="true" outlineLevel="0" collapsed="false">
      <c r="A812" s="31"/>
    </row>
    <row r="813" customFormat="false" ht="13.5" hidden="false" customHeight="true" outlineLevel="0" collapsed="false">
      <c r="A813" s="31"/>
    </row>
    <row r="814" customFormat="false" ht="13.5" hidden="false" customHeight="true" outlineLevel="0" collapsed="false">
      <c r="A814" s="31"/>
    </row>
    <row r="815" customFormat="false" ht="13.5" hidden="false" customHeight="true" outlineLevel="0" collapsed="false">
      <c r="A815" s="31"/>
    </row>
    <row r="816" customFormat="false" ht="13.5" hidden="false" customHeight="true" outlineLevel="0" collapsed="false">
      <c r="A816" s="31"/>
    </row>
    <row r="817" customFormat="false" ht="13.5" hidden="false" customHeight="true" outlineLevel="0" collapsed="false">
      <c r="A817" s="31"/>
    </row>
    <row r="818" customFormat="false" ht="13.5" hidden="false" customHeight="true" outlineLevel="0" collapsed="false">
      <c r="A818" s="31"/>
    </row>
    <row r="819" customFormat="false" ht="13.5" hidden="false" customHeight="true" outlineLevel="0" collapsed="false">
      <c r="A819" s="31"/>
    </row>
    <row r="820" customFormat="false" ht="13.5" hidden="false" customHeight="true" outlineLevel="0" collapsed="false">
      <c r="A820" s="31"/>
    </row>
    <row r="821" customFormat="false" ht="13.5" hidden="false" customHeight="true" outlineLevel="0" collapsed="false">
      <c r="A821" s="31"/>
    </row>
    <row r="822" customFormat="false" ht="13.5" hidden="false" customHeight="true" outlineLevel="0" collapsed="false">
      <c r="A822" s="31"/>
    </row>
    <row r="823" customFormat="false" ht="13.5" hidden="false" customHeight="true" outlineLevel="0" collapsed="false">
      <c r="A823" s="31"/>
    </row>
    <row r="824" customFormat="false" ht="13.5" hidden="false" customHeight="true" outlineLevel="0" collapsed="false">
      <c r="A824" s="31"/>
    </row>
    <row r="825" customFormat="false" ht="13.5" hidden="false" customHeight="true" outlineLevel="0" collapsed="false">
      <c r="A825" s="31"/>
    </row>
    <row r="826" customFormat="false" ht="13.5" hidden="false" customHeight="true" outlineLevel="0" collapsed="false">
      <c r="A826" s="31"/>
    </row>
    <row r="827" customFormat="false" ht="13.5" hidden="false" customHeight="true" outlineLevel="0" collapsed="false">
      <c r="A827" s="31"/>
    </row>
    <row r="828" customFormat="false" ht="13.5" hidden="false" customHeight="true" outlineLevel="0" collapsed="false">
      <c r="A828" s="31"/>
    </row>
    <row r="829" customFormat="false" ht="13.5" hidden="false" customHeight="true" outlineLevel="0" collapsed="false">
      <c r="A829" s="31"/>
    </row>
    <row r="830" customFormat="false" ht="13.5" hidden="false" customHeight="true" outlineLevel="0" collapsed="false">
      <c r="A830" s="31"/>
    </row>
    <row r="831" customFormat="false" ht="13.5" hidden="false" customHeight="true" outlineLevel="0" collapsed="false">
      <c r="A831" s="31"/>
    </row>
    <row r="832" customFormat="false" ht="13.5" hidden="false" customHeight="true" outlineLevel="0" collapsed="false">
      <c r="A832" s="31"/>
    </row>
    <row r="833" customFormat="false" ht="13.5" hidden="false" customHeight="true" outlineLevel="0" collapsed="false">
      <c r="A833" s="31"/>
    </row>
    <row r="834" customFormat="false" ht="13.5" hidden="false" customHeight="true" outlineLevel="0" collapsed="false">
      <c r="A834" s="31"/>
    </row>
    <row r="835" customFormat="false" ht="13.5" hidden="false" customHeight="true" outlineLevel="0" collapsed="false">
      <c r="A835" s="31"/>
    </row>
    <row r="836" customFormat="false" ht="13.5" hidden="false" customHeight="true" outlineLevel="0" collapsed="false">
      <c r="A836" s="31"/>
    </row>
    <row r="837" customFormat="false" ht="13.5" hidden="false" customHeight="true" outlineLevel="0" collapsed="false">
      <c r="A837" s="31"/>
    </row>
    <row r="838" customFormat="false" ht="13.5" hidden="false" customHeight="true" outlineLevel="0" collapsed="false">
      <c r="A838" s="31"/>
    </row>
    <row r="839" customFormat="false" ht="13.5" hidden="false" customHeight="true" outlineLevel="0" collapsed="false">
      <c r="A839" s="31"/>
    </row>
    <row r="840" customFormat="false" ht="13.5" hidden="false" customHeight="true" outlineLevel="0" collapsed="false">
      <c r="A840" s="31"/>
    </row>
    <row r="841" customFormat="false" ht="13.5" hidden="false" customHeight="true" outlineLevel="0" collapsed="false">
      <c r="A841" s="31"/>
    </row>
    <row r="842" customFormat="false" ht="13.5" hidden="false" customHeight="true" outlineLevel="0" collapsed="false">
      <c r="A842" s="31"/>
    </row>
    <row r="843" customFormat="false" ht="13.5" hidden="false" customHeight="true" outlineLevel="0" collapsed="false">
      <c r="A843" s="31"/>
    </row>
    <row r="844" customFormat="false" ht="13.5" hidden="false" customHeight="true" outlineLevel="0" collapsed="false">
      <c r="A844" s="31"/>
    </row>
    <row r="845" customFormat="false" ht="13.5" hidden="false" customHeight="true" outlineLevel="0" collapsed="false">
      <c r="A845" s="31"/>
    </row>
    <row r="846" customFormat="false" ht="13.5" hidden="false" customHeight="true" outlineLevel="0" collapsed="false">
      <c r="A846" s="31"/>
    </row>
    <row r="847" customFormat="false" ht="13.5" hidden="false" customHeight="true" outlineLevel="0" collapsed="false">
      <c r="A847" s="31"/>
    </row>
    <row r="848" customFormat="false" ht="13.5" hidden="false" customHeight="true" outlineLevel="0" collapsed="false">
      <c r="A848" s="31"/>
    </row>
    <row r="849" customFormat="false" ht="13.5" hidden="false" customHeight="true" outlineLevel="0" collapsed="false">
      <c r="A849" s="31"/>
    </row>
    <row r="850" customFormat="false" ht="13.5" hidden="false" customHeight="true" outlineLevel="0" collapsed="false">
      <c r="A850" s="31"/>
    </row>
    <row r="851" customFormat="false" ht="13.5" hidden="false" customHeight="true" outlineLevel="0" collapsed="false">
      <c r="A851" s="31"/>
    </row>
    <row r="852" customFormat="false" ht="13.5" hidden="false" customHeight="true" outlineLevel="0" collapsed="false">
      <c r="A852" s="31"/>
    </row>
    <row r="853" customFormat="false" ht="13.5" hidden="false" customHeight="true" outlineLevel="0" collapsed="false">
      <c r="A853" s="31"/>
    </row>
    <row r="854" customFormat="false" ht="13.5" hidden="false" customHeight="true" outlineLevel="0" collapsed="false">
      <c r="A854" s="31"/>
    </row>
    <row r="855" customFormat="false" ht="13.5" hidden="false" customHeight="true" outlineLevel="0" collapsed="false">
      <c r="A855" s="31"/>
    </row>
    <row r="856" customFormat="false" ht="13.5" hidden="false" customHeight="true" outlineLevel="0" collapsed="false">
      <c r="A856" s="31"/>
    </row>
    <row r="857" customFormat="false" ht="13.5" hidden="false" customHeight="true" outlineLevel="0" collapsed="false">
      <c r="A857" s="31"/>
    </row>
    <row r="858" customFormat="false" ht="13.5" hidden="false" customHeight="true" outlineLevel="0" collapsed="false">
      <c r="A858" s="31"/>
    </row>
    <row r="859" customFormat="false" ht="13.5" hidden="false" customHeight="true" outlineLevel="0" collapsed="false">
      <c r="A859" s="31"/>
    </row>
    <row r="860" customFormat="false" ht="13.5" hidden="false" customHeight="true" outlineLevel="0" collapsed="false">
      <c r="A860" s="31"/>
    </row>
    <row r="861" customFormat="false" ht="13.5" hidden="false" customHeight="true" outlineLevel="0" collapsed="false">
      <c r="A861" s="31"/>
    </row>
    <row r="862" customFormat="false" ht="13.5" hidden="false" customHeight="true" outlineLevel="0" collapsed="false">
      <c r="A862" s="31"/>
    </row>
    <row r="863" customFormat="false" ht="13.5" hidden="false" customHeight="true" outlineLevel="0" collapsed="false">
      <c r="A863" s="31"/>
    </row>
    <row r="864" customFormat="false" ht="13.5" hidden="false" customHeight="true" outlineLevel="0" collapsed="false">
      <c r="A864" s="31"/>
    </row>
    <row r="865" customFormat="false" ht="13.5" hidden="false" customHeight="true" outlineLevel="0" collapsed="false">
      <c r="A865" s="31"/>
    </row>
    <row r="866" customFormat="false" ht="13.5" hidden="false" customHeight="true" outlineLevel="0" collapsed="false">
      <c r="A866" s="31"/>
    </row>
    <row r="867" customFormat="false" ht="13.5" hidden="false" customHeight="true" outlineLevel="0" collapsed="false">
      <c r="A867" s="31"/>
    </row>
    <row r="868" customFormat="false" ht="13.5" hidden="false" customHeight="true" outlineLevel="0" collapsed="false">
      <c r="A868" s="31"/>
    </row>
    <row r="869" customFormat="false" ht="13.5" hidden="false" customHeight="true" outlineLevel="0" collapsed="false">
      <c r="A869" s="31"/>
    </row>
    <row r="870" customFormat="false" ht="13.5" hidden="false" customHeight="true" outlineLevel="0" collapsed="false">
      <c r="A870" s="31"/>
    </row>
    <row r="871" customFormat="false" ht="13.5" hidden="false" customHeight="true" outlineLevel="0" collapsed="false">
      <c r="A871" s="31"/>
    </row>
    <row r="872" customFormat="false" ht="13.5" hidden="false" customHeight="true" outlineLevel="0" collapsed="false">
      <c r="A872" s="31"/>
    </row>
    <row r="873" customFormat="false" ht="13.5" hidden="false" customHeight="true" outlineLevel="0" collapsed="false">
      <c r="A873" s="31"/>
    </row>
    <row r="874" customFormat="false" ht="13.5" hidden="false" customHeight="true" outlineLevel="0" collapsed="false">
      <c r="A874" s="31"/>
    </row>
    <row r="875" customFormat="false" ht="13.5" hidden="false" customHeight="true" outlineLevel="0" collapsed="false">
      <c r="A875" s="31"/>
    </row>
    <row r="876" customFormat="false" ht="13.5" hidden="false" customHeight="true" outlineLevel="0" collapsed="false">
      <c r="A876" s="31"/>
    </row>
    <row r="877" customFormat="false" ht="13.5" hidden="false" customHeight="true" outlineLevel="0" collapsed="false">
      <c r="A877" s="31"/>
    </row>
    <row r="878" customFormat="false" ht="13.5" hidden="false" customHeight="true" outlineLevel="0" collapsed="false">
      <c r="A878" s="31"/>
    </row>
    <row r="879" customFormat="false" ht="13.5" hidden="false" customHeight="true" outlineLevel="0" collapsed="false">
      <c r="A879" s="31"/>
    </row>
    <row r="880" customFormat="false" ht="13.5" hidden="false" customHeight="true" outlineLevel="0" collapsed="false">
      <c r="A880" s="31"/>
    </row>
    <row r="881" customFormat="false" ht="13.5" hidden="false" customHeight="true" outlineLevel="0" collapsed="false">
      <c r="A881" s="31"/>
    </row>
    <row r="882" customFormat="false" ht="13.5" hidden="false" customHeight="true" outlineLevel="0" collapsed="false">
      <c r="A882" s="31"/>
    </row>
    <row r="883" customFormat="false" ht="13.5" hidden="false" customHeight="true" outlineLevel="0" collapsed="false">
      <c r="A883" s="31"/>
    </row>
    <row r="884" customFormat="false" ht="13.5" hidden="false" customHeight="true" outlineLevel="0" collapsed="false">
      <c r="A884" s="31"/>
    </row>
    <row r="885" customFormat="false" ht="13.5" hidden="false" customHeight="true" outlineLevel="0" collapsed="false">
      <c r="A885" s="31"/>
    </row>
    <row r="886" customFormat="false" ht="13.5" hidden="false" customHeight="true" outlineLevel="0" collapsed="false">
      <c r="A886" s="31"/>
    </row>
    <row r="887" customFormat="false" ht="13.5" hidden="false" customHeight="true" outlineLevel="0" collapsed="false">
      <c r="A887" s="31"/>
    </row>
    <row r="888" customFormat="false" ht="13.5" hidden="false" customHeight="true" outlineLevel="0" collapsed="false">
      <c r="A888" s="31"/>
    </row>
    <row r="889" customFormat="false" ht="13.5" hidden="false" customHeight="true" outlineLevel="0" collapsed="false">
      <c r="A889" s="31"/>
    </row>
    <row r="890" customFormat="false" ht="13.5" hidden="false" customHeight="true" outlineLevel="0" collapsed="false">
      <c r="A890" s="31"/>
    </row>
    <row r="891" customFormat="false" ht="13.5" hidden="false" customHeight="true" outlineLevel="0" collapsed="false">
      <c r="A891" s="31"/>
    </row>
    <row r="892" customFormat="false" ht="13.5" hidden="false" customHeight="true" outlineLevel="0" collapsed="false">
      <c r="A892" s="31"/>
    </row>
    <row r="893" customFormat="false" ht="13.5" hidden="false" customHeight="true" outlineLevel="0" collapsed="false">
      <c r="A893" s="31"/>
    </row>
    <row r="894" customFormat="false" ht="13.5" hidden="false" customHeight="true" outlineLevel="0" collapsed="false">
      <c r="A894" s="31"/>
    </row>
    <row r="895" customFormat="false" ht="13.5" hidden="false" customHeight="true" outlineLevel="0" collapsed="false">
      <c r="A895" s="31"/>
    </row>
    <row r="896" customFormat="false" ht="13.5" hidden="false" customHeight="true" outlineLevel="0" collapsed="false">
      <c r="A896" s="31"/>
    </row>
    <row r="897" customFormat="false" ht="13.5" hidden="false" customHeight="true" outlineLevel="0" collapsed="false">
      <c r="A897" s="31"/>
    </row>
    <row r="898" customFormat="false" ht="13.5" hidden="false" customHeight="true" outlineLevel="0" collapsed="false">
      <c r="A898" s="31"/>
    </row>
    <row r="899" customFormat="false" ht="13.5" hidden="false" customHeight="true" outlineLevel="0" collapsed="false">
      <c r="A899" s="31"/>
    </row>
    <row r="900" customFormat="false" ht="13.5" hidden="false" customHeight="true" outlineLevel="0" collapsed="false">
      <c r="A900" s="31"/>
    </row>
    <row r="901" customFormat="false" ht="13.5" hidden="false" customHeight="true" outlineLevel="0" collapsed="false">
      <c r="A901" s="31"/>
    </row>
    <row r="902" customFormat="false" ht="13.5" hidden="false" customHeight="true" outlineLevel="0" collapsed="false">
      <c r="A902" s="31"/>
    </row>
    <row r="903" customFormat="false" ht="13.5" hidden="false" customHeight="true" outlineLevel="0" collapsed="false">
      <c r="A903" s="31"/>
    </row>
    <row r="904" customFormat="false" ht="13.5" hidden="false" customHeight="true" outlineLevel="0" collapsed="false">
      <c r="A904" s="31"/>
    </row>
    <row r="905" customFormat="false" ht="13.5" hidden="false" customHeight="true" outlineLevel="0" collapsed="false">
      <c r="A905" s="31"/>
    </row>
    <row r="906" customFormat="false" ht="13.5" hidden="false" customHeight="true" outlineLevel="0" collapsed="false">
      <c r="A906" s="31"/>
    </row>
    <row r="907" customFormat="false" ht="13.5" hidden="false" customHeight="true" outlineLevel="0" collapsed="false">
      <c r="A907" s="31"/>
    </row>
    <row r="908" customFormat="false" ht="13.5" hidden="false" customHeight="true" outlineLevel="0" collapsed="false">
      <c r="A908" s="31"/>
    </row>
    <row r="909" customFormat="false" ht="13.5" hidden="false" customHeight="true" outlineLevel="0" collapsed="false">
      <c r="A909" s="31"/>
    </row>
    <row r="910" customFormat="false" ht="13.5" hidden="false" customHeight="true" outlineLevel="0" collapsed="false">
      <c r="A910" s="31"/>
    </row>
    <row r="911" customFormat="false" ht="13.5" hidden="false" customHeight="true" outlineLevel="0" collapsed="false">
      <c r="A911" s="31"/>
    </row>
    <row r="912" customFormat="false" ht="13.5" hidden="false" customHeight="true" outlineLevel="0" collapsed="false">
      <c r="A912" s="31"/>
    </row>
    <row r="913" customFormat="false" ht="13.5" hidden="false" customHeight="true" outlineLevel="0" collapsed="false">
      <c r="A913" s="31"/>
    </row>
    <row r="914" customFormat="false" ht="13.5" hidden="false" customHeight="true" outlineLevel="0" collapsed="false">
      <c r="A914" s="31"/>
    </row>
    <row r="915" customFormat="false" ht="13.5" hidden="false" customHeight="true" outlineLevel="0" collapsed="false">
      <c r="A915" s="31"/>
    </row>
    <row r="916" customFormat="false" ht="13.5" hidden="false" customHeight="true" outlineLevel="0" collapsed="false">
      <c r="A916" s="31"/>
    </row>
    <row r="917" customFormat="false" ht="13.5" hidden="false" customHeight="true" outlineLevel="0" collapsed="false">
      <c r="A917" s="31"/>
    </row>
    <row r="918" customFormat="false" ht="13.5" hidden="false" customHeight="true" outlineLevel="0" collapsed="false">
      <c r="A918" s="31"/>
    </row>
    <row r="919" customFormat="false" ht="13.5" hidden="false" customHeight="true" outlineLevel="0" collapsed="false">
      <c r="A919" s="31"/>
    </row>
    <row r="920" customFormat="false" ht="13.5" hidden="false" customHeight="true" outlineLevel="0" collapsed="false">
      <c r="A920" s="31"/>
    </row>
    <row r="921" customFormat="false" ht="13.5" hidden="false" customHeight="true" outlineLevel="0" collapsed="false">
      <c r="A921" s="31"/>
    </row>
    <row r="922" customFormat="false" ht="13.5" hidden="false" customHeight="true" outlineLevel="0" collapsed="false">
      <c r="A922" s="31"/>
    </row>
    <row r="923" customFormat="false" ht="13.5" hidden="false" customHeight="true" outlineLevel="0" collapsed="false">
      <c r="A923" s="31"/>
    </row>
    <row r="924" customFormat="false" ht="13.5" hidden="false" customHeight="true" outlineLevel="0" collapsed="false">
      <c r="A924" s="31"/>
    </row>
    <row r="925" customFormat="false" ht="13.5" hidden="false" customHeight="true" outlineLevel="0" collapsed="false">
      <c r="A925" s="31"/>
    </row>
    <row r="926" customFormat="false" ht="13.5" hidden="false" customHeight="true" outlineLevel="0" collapsed="false">
      <c r="A926" s="31"/>
    </row>
    <row r="927" customFormat="false" ht="13.5" hidden="false" customHeight="true" outlineLevel="0" collapsed="false">
      <c r="A927" s="31"/>
    </row>
    <row r="928" customFormat="false" ht="13.5" hidden="false" customHeight="true" outlineLevel="0" collapsed="false">
      <c r="A928" s="31"/>
    </row>
    <row r="929" customFormat="false" ht="13.5" hidden="false" customHeight="true" outlineLevel="0" collapsed="false">
      <c r="A929" s="31"/>
    </row>
    <row r="930" customFormat="false" ht="13.5" hidden="false" customHeight="true" outlineLevel="0" collapsed="false">
      <c r="A930" s="31"/>
    </row>
    <row r="931" customFormat="false" ht="13.5" hidden="false" customHeight="true" outlineLevel="0" collapsed="false">
      <c r="A931" s="31"/>
    </row>
    <row r="932" customFormat="false" ht="13.5" hidden="false" customHeight="true" outlineLevel="0" collapsed="false">
      <c r="A932" s="31"/>
    </row>
    <row r="933" customFormat="false" ht="13.5" hidden="false" customHeight="true" outlineLevel="0" collapsed="false">
      <c r="A933" s="31"/>
    </row>
    <row r="934" customFormat="false" ht="13.5" hidden="false" customHeight="true" outlineLevel="0" collapsed="false">
      <c r="A934" s="31"/>
    </row>
    <row r="935" customFormat="false" ht="13.5" hidden="false" customHeight="true" outlineLevel="0" collapsed="false">
      <c r="A935" s="31"/>
    </row>
    <row r="936" customFormat="false" ht="13.5" hidden="false" customHeight="true" outlineLevel="0" collapsed="false">
      <c r="A936" s="31"/>
    </row>
    <row r="937" customFormat="false" ht="13.5" hidden="false" customHeight="true" outlineLevel="0" collapsed="false">
      <c r="A937" s="31"/>
    </row>
    <row r="938" customFormat="false" ht="13.5" hidden="false" customHeight="true" outlineLevel="0" collapsed="false">
      <c r="A938" s="31"/>
    </row>
    <row r="939" customFormat="false" ht="13.5" hidden="false" customHeight="true" outlineLevel="0" collapsed="false">
      <c r="A939" s="31"/>
    </row>
    <row r="940" customFormat="false" ht="13.5" hidden="false" customHeight="true" outlineLevel="0" collapsed="false">
      <c r="A940" s="31"/>
    </row>
    <row r="941" customFormat="false" ht="13.5" hidden="false" customHeight="true" outlineLevel="0" collapsed="false">
      <c r="A941" s="31"/>
    </row>
    <row r="942" customFormat="false" ht="13.5" hidden="false" customHeight="true" outlineLevel="0" collapsed="false">
      <c r="A942" s="31"/>
    </row>
    <row r="943" customFormat="false" ht="13.5" hidden="false" customHeight="true" outlineLevel="0" collapsed="false">
      <c r="A943" s="31"/>
    </row>
    <row r="944" customFormat="false" ht="13.5" hidden="false" customHeight="true" outlineLevel="0" collapsed="false">
      <c r="A944" s="31"/>
    </row>
    <row r="945" customFormat="false" ht="13.5" hidden="false" customHeight="true" outlineLevel="0" collapsed="false">
      <c r="A945" s="31"/>
    </row>
    <row r="946" customFormat="false" ht="13.5" hidden="false" customHeight="true" outlineLevel="0" collapsed="false">
      <c r="A946" s="31"/>
    </row>
    <row r="947" customFormat="false" ht="13.5" hidden="false" customHeight="true" outlineLevel="0" collapsed="false">
      <c r="A947" s="31"/>
    </row>
    <row r="948" customFormat="false" ht="13.5" hidden="false" customHeight="true" outlineLevel="0" collapsed="false">
      <c r="A948" s="31"/>
    </row>
    <row r="949" customFormat="false" ht="13.5" hidden="false" customHeight="true" outlineLevel="0" collapsed="false">
      <c r="A949" s="31"/>
    </row>
    <row r="950" customFormat="false" ht="13.5" hidden="false" customHeight="true" outlineLevel="0" collapsed="false">
      <c r="A950" s="31"/>
    </row>
    <row r="951" customFormat="false" ht="13.5" hidden="false" customHeight="true" outlineLevel="0" collapsed="false">
      <c r="A951" s="31"/>
    </row>
    <row r="952" customFormat="false" ht="13.5" hidden="false" customHeight="true" outlineLevel="0" collapsed="false">
      <c r="A952" s="31"/>
    </row>
    <row r="953" customFormat="false" ht="13.5" hidden="false" customHeight="true" outlineLevel="0" collapsed="false">
      <c r="A953" s="31"/>
    </row>
    <row r="954" customFormat="false" ht="13.5" hidden="false" customHeight="true" outlineLevel="0" collapsed="false">
      <c r="A954" s="31"/>
    </row>
    <row r="955" customFormat="false" ht="13.5" hidden="false" customHeight="true" outlineLevel="0" collapsed="false">
      <c r="A955" s="31"/>
    </row>
    <row r="956" customFormat="false" ht="13.5" hidden="false" customHeight="true" outlineLevel="0" collapsed="false">
      <c r="A956" s="31"/>
    </row>
    <row r="957" customFormat="false" ht="13.5" hidden="false" customHeight="true" outlineLevel="0" collapsed="false">
      <c r="A957" s="31"/>
    </row>
    <row r="958" customFormat="false" ht="13.5" hidden="false" customHeight="true" outlineLevel="0" collapsed="false">
      <c r="A958" s="31"/>
    </row>
    <row r="959" customFormat="false" ht="13.5" hidden="false" customHeight="true" outlineLevel="0" collapsed="false">
      <c r="A959" s="31"/>
    </row>
    <row r="960" customFormat="false" ht="13.5" hidden="false" customHeight="true" outlineLevel="0" collapsed="false">
      <c r="A960" s="31"/>
    </row>
    <row r="961" customFormat="false" ht="13.5" hidden="false" customHeight="true" outlineLevel="0" collapsed="false">
      <c r="A961" s="31"/>
    </row>
    <row r="962" customFormat="false" ht="13.5" hidden="false" customHeight="true" outlineLevel="0" collapsed="false">
      <c r="A962" s="31"/>
    </row>
    <row r="963" customFormat="false" ht="13.5" hidden="false" customHeight="true" outlineLevel="0" collapsed="false">
      <c r="A963" s="31"/>
    </row>
    <row r="964" customFormat="false" ht="13.5" hidden="false" customHeight="true" outlineLevel="0" collapsed="false">
      <c r="A964" s="31"/>
    </row>
    <row r="965" customFormat="false" ht="13.5" hidden="false" customHeight="true" outlineLevel="0" collapsed="false">
      <c r="A965" s="31"/>
    </row>
    <row r="966" customFormat="false" ht="13.5" hidden="false" customHeight="true" outlineLevel="0" collapsed="false">
      <c r="A966" s="31"/>
    </row>
    <row r="967" customFormat="false" ht="13.5" hidden="false" customHeight="true" outlineLevel="0" collapsed="false">
      <c r="A967" s="31"/>
    </row>
    <row r="968" customFormat="false" ht="13.5" hidden="false" customHeight="true" outlineLevel="0" collapsed="false">
      <c r="A968" s="31"/>
    </row>
    <row r="969" customFormat="false" ht="13.5" hidden="false" customHeight="true" outlineLevel="0" collapsed="false">
      <c r="A969" s="31"/>
    </row>
    <row r="970" customFormat="false" ht="13.5" hidden="false" customHeight="true" outlineLevel="0" collapsed="false">
      <c r="A970" s="31"/>
    </row>
    <row r="971" customFormat="false" ht="13.5" hidden="false" customHeight="true" outlineLevel="0" collapsed="false">
      <c r="A971" s="31"/>
    </row>
    <row r="972" customFormat="false" ht="13.5" hidden="false" customHeight="true" outlineLevel="0" collapsed="false">
      <c r="A972" s="31"/>
    </row>
    <row r="973" customFormat="false" ht="13.5" hidden="false" customHeight="true" outlineLevel="0" collapsed="false">
      <c r="A973" s="31"/>
    </row>
    <row r="974" customFormat="false" ht="13.5" hidden="false" customHeight="true" outlineLevel="0" collapsed="false">
      <c r="A974" s="31"/>
    </row>
    <row r="975" customFormat="false" ht="13.5" hidden="false" customHeight="true" outlineLevel="0" collapsed="false">
      <c r="A975" s="31"/>
    </row>
    <row r="976" customFormat="false" ht="13.5" hidden="false" customHeight="true" outlineLevel="0" collapsed="false">
      <c r="A976" s="31"/>
    </row>
    <row r="977" customFormat="false" ht="13.5" hidden="false" customHeight="true" outlineLevel="0" collapsed="false">
      <c r="A977" s="31"/>
    </row>
    <row r="978" customFormat="false" ht="13.5" hidden="false" customHeight="true" outlineLevel="0" collapsed="false">
      <c r="A978" s="31"/>
    </row>
    <row r="979" customFormat="false" ht="13.5" hidden="false" customHeight="true" outlineLevel="0" collapsed="false">
      <c r="A979" s="31"/>
    </row>
    <row r="980" customFormat="false" ht="13.5" hidden="false" customHeight="true" outlineLevel="0" collapsed="false">
      <c r="A980" s="31"/>
    </row>
    <row r="981" customFormat="false" ht="13.5" hidden="false" customHeight="true" outlineLevel="0" collapsed="false">
      <c r="A981" s="31"/>
    </row>
    <row r="982" customFormat="false" ht="13.5" hidden="false" customHeight="true" outlineLevel="0" collapsed="false">
      <c r="A982" s="31"/>
    </row>
    <row r="983" customFormat="false" ht="13.5" hidden="false" customHeight="true" outlineLevel="0" collapsed="false">
      <c r="A983" s="31"/>
    </row>
    <row r="984" customFormat="false" ht="13.5" hidden="false" customHeight="true" outlineLevel="0" collapsed="false">
      <c r="A984" s="31"/>
    </row>
    <row r="985" customFormat="false" ht="13.5" hidden="false" customHeight="true" outlineLevel="0" collapsed="false">
      <c r="A985" s="31"/>
    </row>
    <row r="986" customFormat="false" ht="13.5" hidden="false" customHeight="true" outlineLevel="0" collapsed="false">
      <c r="A986" s="31"/>
    </row>
    <row r="987" customFormat="false" ht="13.5" hidden="false" customHeight="true" outlineLevel="0" collapsed="false">
      <c r="A987" s="31"/>
    </row>
    <row r="988" customFormat="false" ht="13.5" hidden="false" customHeight="true" outlineLevel="0" collapsed="false">
      <c r="A988" s="31"/>
    </row>
    <row r="989" customFormat="false" ht="13.5" hidden="false" customHeight="true" outlineLevel="0" collapsed="false">
      <c r="A989" s="31"/>
    </row>
    <row r="990" customFormat="false" ht="13.5" hidden="false" customHeight="true" outlineLevel="0" collapsed="false">
      <c r="A990" s="31"/>
    </row>
    <row r="991" customFormat="false" ht="13.5" hidden="false" customHeight="true" outlineLevel="0" collapsed="false">
      <c r="A991" s="31"/>
    </row>
    <row r="992" customFormat="false" ht="13.5" hidden="false" customHeight="true" outlineLevel="0" collapsed="false">
      <c r="A992" s="31"/>
    </row>
    <row r="993" customFormat="false" ht="13.5" hidden="false" customHeight="true" outlineLevel="0" collapsed="false">
      <c r="A993" s="31"/>
    </row>
    <row r="994" customFormat="false" ht="13.5" hidden="false" customHeight="true" outlineLevel="0" collapsed="false">
      <c r="A994" s="31"/>
    </row>
    <row r="995" customFormat="false" ht="13.5" hidden="false" customHeight="true" outlineLevel="0" collapsed="false">
      <c r="A995" s="31"/>
    </row>
    <row r="996" customFormat="false" ht="13.5" hidden="false" customHeight="true" outlineLevel="0" collapsed="false">
      <c r="A996" s="31"/>
    </row>
    <row r="997" customFormat="false" ht="13.5" hidden="false" customHeight="true" outlineLevel="0" collapsed="false">
      <c r="A997" s="31"/>
    </row>
    <row r="998" customFormat="false" ht="13.5" hidden="false" customHeight="true" outlineLevel="0" collapsed="false">
      <c r="A998" s="31"/>
    </row>
    <row r="999" customFormat="false" ht="13.5" hidden="false" customHeight="true" outlineLevel="0" collapsed="false">
      <c r="A999" s="31"/>
    </row>
    <row r="1000" customFormat="false" ht="13.5" hidden="false" customHeight="true" outlineLevel="0" collapsed="false">
      <c r="A1000" s="31"/>
    </row>
    <row r="1001" customFormat="false" ht="13.5" hidden="false" customHeight="true" outlineLevel="0" collapsed="false">
      <c r="A1001" s="31"/>
    </row>
  </sheetData>
  <autoFilter ref="A1:E17872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I10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9.71"/>
    <col collapsed="false" customWidth="true" hidden="false" outlineLevel="0" max="2" min="2" style="0" width="11.28"/>
    <col collapsed="false" customWidth="true" hidden="false" outlineLevel="0" max="7" min="3" style="0" width="9"/>
    <col collapsed="false" customWidth="true" hidden="false" outlineLevel="0" max="8" min="8" style="0" width="10"/>
    <col collapsed="false" customWidth="true" hidden="false" outlineLevel="0" max="9" min="9" style="0" width="9.71"/>
  </cols>
  <sheetData>
    <row r="2" customFormat="false" ht="15" hidden="false" customHeight="false" outlineLevel="0" collapsed="false">
      <c r="B2" s="32"/>
    </row>
    <row r="3" customFormat="false" ht="15" hidden="false" customHeight="false" outlineLevel="0" collapsed="false">
      <c r="B3" s="32"/>
    </row>
    <row r="4" customFormat="false" ht="15" hidden="false" customHeight="false" outlineLevel="0" collapsed="false">
      <c r="B4" s="32"/>
    </row>
    <row r="5" customFormat="false" ht="15" hidden="false" customHeight="false" outlineLevel="0" collapsed="false">
      <c r="B5" s="32"/>
      <c r="I5" s="32"/>
    </row>
    <row r="6" customFormat="false" ht="15" hidden="false" customHeight="false" outlineLevel="0" collapsed="false">
      <c r="B6" s="32"/>
    </row>
    <row r="7" customFormat="false" ht="15" hidden="false" customHeight="false" outlineLevel="0" collapsed="false">
      <c r="B7" s="32"/>
    </row>
    <row r="8" customFormat="false" ht="15" hidden="false" customHeight="false" outlineLevel="0" collapsed="false">
      <c r="B8" s="32"/>
    </row>
    <row r="9" customFormat="false" ht="15" hidden="false" customHeight="false" outlineLevel="0" collapsed="false">
      <c r="B9" s="32"/>
    </row>
    <row r="10" customFormat="false" ht="15" hidden="false" customHeight="false" outlineLevel="0" collapsed="false">
      <c r="B10" s="32"/>
    </row>
    <row r="11" customFormat="false" ht="15" hidden="false" customHeight="false" outlineLevel="0" collapsed="false">
      <c r="B11" s="32"/>
    </row>
    <row r="12" customFormat="false" ht="15" hidden="false" customHeight="false" outlineLevel="0" collapsed="false">
      <c r="B12" s="32"/>
    </row>
    <row r="13" customFormat="false" ht="15" hidden="false" customHeight="false" outlineLevel="0" collapsed="false">
      <c r="B13" s="32"/>
    </row>
    <row r="14" customFormat="false" ht="15" hidden="false" customHeight="false" outlineLevel="0" collapsed="false">
      <c r="B14" s="32"/>
    </row>
    <row r="15" customFormat="false" ht="15" hidden="false" customHeight="false" outlineLevel="0" collapsed="false">
      <c r="B15" s="32"/>
    </row>
    <row r="16" customFormat="false" ht="15" hidden="false" customHeight="false" outlineLevel="0" collapsed="false">
      <c r="B16" s="32"/>
    </row>
    <row r="17" customFormat="false" ht="15" hidden="false" customHeight="false" outlineLevel="0" collapsed="false">
      <c r="B17" s="32"/>
    </row>
    <row r="18" customFormat="false" ht="15" hidden="false" customHeight="false" outlineLevel="0" collapsed="false">
      <c r="B18" s="32"/>
    </row>
    <row r="19" customFormat="false" ht="15" hidden="false" customHeight="false" outlineLevel="0" collapsed="false">
      <c r="B19" s="32"/>
    </row>
    <row r="20" customFormat="false" ht="15" hidden="false" customHeight="false" outlineLevel="0" collapsed="false">
      <c r="B20" s="32"/>
    </row>
    <row r="21" customFormat="false" ht="15" hidden="false" customHeight="false" outlineLevel="0" collapsed="false">
      <c r="B21" s="32"/>
    </row>
    <row r="22" customFormat="false" ht="15" hidden="false" customHeight="false" outlineLevel="0" collapsed="false">
      <c r="B22" s="32"/>
    </row>
    <row r="23" customFormat="false" ht="15" hidden="false" customHeight="false" outlineLevel="0" collapsed="false">
      <c r="B23" s="32"/>
    </row>
    <row r="24" customFormat="false" ht="15" hidden="false" customHeight="false" outlineLevel="0" collapsed="false">
      <c r="B24" s="32"/>
    </row>
    <row r="25" customFormat="false" ht="15" hidden="false" customHeight="false" outlineLevel="0" collapsed="false">
      <c r="B25" s="32"/>
    </row>
    <row r="26" customFormat="false" ht="15" hidden="false" customHeight="false" outlineLevel="0" collapsed="false">
      <c r="B26" s="32"/>
    </row>
    <row r="27" customFormat="false" ht="15" hidden="false" customHeight="false" outlineLevel="0" collapsed="false">
      <c r="B27" s="32"/>
    </row>
    <row r="28" customFormat="false" ht="15" hidden="false" customHeight="false" outlineLevel="0" collapsed="false">
      <c r="B28" s="32"/>
    </row>
    <row r="29" customFormat="false" ht="15" hidden="false" customHeight="false" outlineLevel="0" collapsed="false">
      <c r="B29" s="32"/>
    </row>
    <row r="30" customFormat="false" ht="15" hidden="false" customHeight="false" outlineLevel="0" collapsed="false">
      <c r="B30" s="32"/>
    </row>
    <row r="31" customFormat="false" ht="15" hidden="false" customHeight="false" outlineLevel="0" collapsed="false">
      <c r="B31" s="32"/>
    </row>
    <row r="32" customFormat="false" ht="15" hidden="false" customHeight="false" outlineLevel="0" collapsed="false">
      <c r="B32" s="32"/>
    </row>
    <row r="33" customFormat="false" ht="15" hidden="false" customHeight="false" outlineLevel="0" collapsed="false">
      <c r="B33" s="32"/>
    </row>
    <row r="34" customFormat="false" ht="15" hidden="false" customHeight="false" outlineLevel="0" collapsed="false">
      <c r="B34" s="32"/>
    </row>
    <row r="35" customFormat="false" ht="15" hidden="false" customHeight="false" outlineLevel="0" collapsed="false">
      <c r="B35" s="32"/>
    </row>
    <row r="36" customFormat="false" ht="15" hidden="false" customHeight="false" outlineLevel="0" collapsed="false">
      <c r="B36" s="32"/>
    </row>
    <row r="37" customFormat="false" ht="15" hidden="false" customHeight="false" outlineLevel="0" collapsed="false">
      <c r="B37" s="32"/>
    </row>
    <row r="38" customFormat="false" ht="15" hidden="false" customHeight="false" outlineLevel="0" collapsed="false">
      <c r="B38" s="32"/>
    </row>
    <row r="39" customFormat="false" ht="15" hidden="false" customHeight="false" outlineLevel="0" collapsed="false">
      <c r="B39" s="32"/>
    </row>
    <row r="40" customFormat="false" ht="15" hidden="false" customHeight="false" outlineLevel="0" collapsed="false">
      <c r="B40" s="32"/>
    </row>
    <row r="41" customFormat="false" ht="15" hidden="false" customHeight="false" outlineLevel="0" collapsed="false">
      <c r="B41" s="32"/>
    </row>
    <row r="42" customFormat="false" ht="15" hidden="false" customHeight="false" outlineLevel="0" collapsed="false">
      <c r="B42" s="32"/>
    </row>
    <row r="43" customFormat="false" ht="15" hidden="false" customHeight="false" outlineLevel="0" collapsed="false">
      <c r="B43" s="32"/>
    </row>
    <row r="44" customFormat="false" ht="15" hidden="false" customHeight="false" outlineLevel="0" collapsed="false">
      <c r="B44" s="32"/>
    </row>
    <row r="45" customFormat="false" ht="15" hidden="false" customHeight="false" outlineLevel="0" collapsed="false">
      <c r="B45" s="32"/>
    </row>
    <row r="46" customFormat="false" ht="15" hidden="false" customHeight="false" outlineLevel="0" collapsed="false">
      <c r="B46" s="32"/>
    </row>
    <row r="47" customFormat="false" ht="15" hidden="false" customHeight="false" outlineLevel="0" collapsed="false">
      <c r="B47" s="32"/>
    </row>
    <row r="48" customFormat="false" ht="15" hidden="false" customHeight="false" outlineLevel="0" collapsed="false">
      <c r="B48" s="32"/>
    </row>
    <row r="49" customFormat="false" ht="15" hidden="false" customHeight="false" outlineLevel="0" collapsed="false">
      <c r="B49" s="32"/>
    </row>
    <row r="50" customFormat="false" ht="15" hidden="false" customHeight="false" outlineLevel="0" collapsed="false">
      <c r="B50" s="32"/>
    </row>
    <row r="51" customFormat="false" ht="15" hidden="false" customHeight="false" outlineLevel="0" collapsed="false">
      <c r="B51" s="32"/>
    </row>
    <row r="52" customFormat="false" ht="15" hidden="false" customHeight="false" outlineLevel="0" collapsed="false">
      <c r="B52" s="32"/>
    </row>
    <row r="53" customFormat="false" ht="15" hidden="false" customHeight="false" outlineLevel="0" collapsed="false">
      <c r="B53" s="32"/>
    </row>
    <row r="54" customFormat="false" ht="15" hidden="false" customHeight="false" outlineLevel="0" collapsed="false">
      <c r="B54" s="32"/>
    </row>
    <row r="55" customFormat="false" ht="15" hidden="false" customHeight="false" outlineLevel="0" collapsed="false">
      <c r="B55" s="32"/>
    </row>
    <row r="56" customFormat="false" ht="15" hidden="false" customHeight="false" outlineLevel="0" collapsed="false">
      <c r="B56" s="32"/>
    </row>
    <row r="57" customFormat="false" ht="15" hidden="false" customHeight="false" outlineLevel="0" collapsed="false">
      <c r="B57" s="32"/>
    </row>
    <row r="58" customFormat="false" ht="15" hidden="false" customHeight="false" outlineLevel="0" collapsed="false">
      <c r="B58" s="32"/>
    </row>
    <row r="59" customFormat="false" ht="15" hidden="false" customHeight="false" outlineLevel="0" collapsed="false">
      <c r="B59" s="32"/>
    </row>
    <row r="60" customFormat="false" ht="15" hidden="false" customHeight="false" outlineLevel="0" collapsed="false">
      <c r="B60" s="32"/>
    </row>
    <row r="61" customFormat="false" ht="15" hidden="false" customHeight="false" outlineLevel="0" collapsed="false">
      <c r="B61" s="32"/>
    </row>
    <row r="62" customFormat="false" ht="15" hidden="false" customHeight="false" outlineLevel="0" collapsed="false">
      <c r="B62" s="32"/>
    </row>
    <row r="63" customFormat="false" ht="15" hidden="false" customHeight="false" outlineLevel="0" collapsed="false">
      <c r="B63" s="32"/>
    </row>
    <row r="64" customFormat="false" ht="15" hidden="false" customHeight="false" outlineLevel="0" collapsed="false">
      <c r="B64" s="32"/>
    </row>
    <row r="65" customFormat="false" ht="15" hidden="false" customHeight="false" outlineLevel="0" collapsed="false">
      <c r="B65" s="32"/>
    </row>
    <row r="66" customFormat="false" ht="15" hidden="false" customHeight="false" outlineLevel="0" collapsed="false">
      <c r="B66" s="32"/>
    </row>
    <row r="67" customFormat="false" ht="15" hidden="false" customHeight="false" outlineLevel="0" collapsed="false">
      <c r="B67" s="32"/>
    </row>
    <row r="68" customFormat="false" ht="15" hidden="false" customHeight="false" outlineLevel="0" collapsed="false">
      <c r="B68" s="32"/>
    </row>
    <row r="69" customFormat="false" ht="15" hidden="false" customHeight="false" outlineLevel="0" collapsed="false">
      <c r="B69" s="32"/>
    </row>
    <row r="70" customFormat="false" ht="15" hidden="false" customHeight="false" outlineLevel="0" collapsed="false">
      <c r="B70" s="32"/>
    </row>
    <row r="71" customFormat="false" ht="15" hidden="false" customHeight="false" outlineLevel="0" collapsed="false">
      <c r="B71" s="32"/>
    </row>
    <row r="72" customFormat="false" ht="15" hidden="false" customHeight="false" outlineLevel="0" collapsed="false">
      <c r="B72" s="32"/>
    </row>
    <row r="73" customFormat="false" ht="15" hidden="false" customHeight="false" outlineLevel="0" collapsed="false">
      <c r="B73" s="32"/>
    </row>
    <row r="74" customFormat="false" ht="15" hidden="false" customHeight="false" outlineLevel="0" collapsed="false">
      <c r="B74" s="32"/>
    </row>
    <row r="75" customFormat="false" ht="15" hidden="false" customHeight="false" outlineLevel="0" collapsed="false">
      <c r="B75" s="32"/>
    </row>
    <row r="76" customFormat="false" ht="15" hidden="false" customHeight="false" outlineLevel="0" collapsed="false">
      <c r="B76" s="32"/>
    </row>
    <row r="77" customFormat="false" ht="15" hidden="false" customHeight="false" outlineLevel="0" collapsed="false">
      <c r="B77" s="32"/>
    </row>
    <row r="78" customFormat="false" ht="15" hidden="false" customHeight="false" outlineLevel="0" collapsed="false">
      <c r="B78" s="32"/>
    </row>
    <row r="79" customFormat="false" ht="15" hidden="false" customHeight="false" outlineLevel="0" collapsed="false">
      <c r="B79" s="32"/>
    </row>
    <row r="80" customFormat="false" ht="15" hidden="false" customHeight="false" outlineLevel="0" collapsed="false">
      <c r="B80" s="32"/>
    </row>
    <row r="81" customFormat="false" ht="15" hidden="false" customHeight="false" outlineLevel="0" collapsed="false">
      <c r="B81" s="32"/>
    </row>
    <row r="82" customFormat="false" ht="15" hidden="false" customHeight="false" outlineLevel="0" collapsed="false">
      <c r="B82" s="32"/>
    </row>
    <row r="83" customFormat="false" ht="15" hidden="false" customHeight="false" outlineLevel="0" collapsed="false">
      <c r="B83" s="32"/>
    </row>
    <row r="84" customFormat="false" ht="15" hidden="false" customHeight="false" outlineLevel="0" collapsed="false">
      <c r="B84" s="32"/>
    </row>
    <row r="85" customFormat="false" ht="15" hidden="false" customHeight="false" outlineLevel="0" collapsed="false">
      <c r="B85" s="32"/>
    </row>
    <row r="86" customFormat="false" ht="15" hidden="false" customHeight="false" outlineLevel="0" collapsed="false">
      <c r="B86" s="32"/>
    </row>
    <row r="87" customFormat="false" ht="15" hidden="false" customHeight="false" outlineLevel="0" collapsed="false">
      <c r="B87" s="32"/>
    </row>
    <row r="88" customFormat="false" ht="15" hidden="false" customHeight="false" outlineLevel="0" collapsed="false">
      <c r="B88" s="32"/>
    </row>
    <row r="89" customFormat="false" ht="15" hidden="false" customHeight="false" outlineLevel="0" collapsed="false">
      <c r="B89" s="32"/>
    </row>
    <row r="90" customFormat="false" ht="15" hidden="false" customHeight="false" outlineLevel="0" collapsed="false">
      <c r="B90" s="32"/>
    </row>
    <row r="91" customFormat="false" ht="15" hidden="false" customHeight="false" outlineLevel="0" collapsed="false">
      <c r="B91" s="32"/>
    </row>
    <row r="92" customFormat="false" ht="15" hidden="false" customHeight="false" outlineLevel="0" collapsed="false">
      <c r="B92" s="32"/>
    </row>
    <row r="93" customFormat="false" ht="15" hidden="false" customHeight="false" outlineLevel="0" collapsed="false">
      <c r="B93" s="32"/>
    </row>
    <row r="94" customFormat="false" ht="15" hidden="false" customHeight="false" outlineLevel="0" collapsed="false">
      <c r="B94" s="32"/>
    </row>
    <row r="95" customFormat="false" ht="15" hidden="false" customHeight="false" outlineLevel="0" collapsed="false">
      <c r="B95" s="32"/>
    </row>
    <row r="96" customFormat="false" ht="15" hidden="false" customHeight="false" outlineLevel="0" collapsed="false">
      <c r="B96" s="32"/>
    </row>
    <row r="97" customFormat="false" ht="15" hidden="false" customHeight="false" outlineLevel="0" collapsed="false">
      <c r="B97" s="32"/>
    </row>
    <row r="98" customFormat="false" ht="15" hidden="false" customHeight="false" outlineLevel="0" collapsed="false">
      <c r="B98" s="32"/>
    </row>
    <row r="99" customFormat="false" ht="15" hidden="false" customHeight="false" outlineLevel="0" collapsed="false">
      <c r="B99" s="32"/>
    </row>
    <row r="100" customFormat="false" ht="15" hidden="false" customHeight="false" outlineLevel="0" collapsed="false">
      <c r="B100" s="32"/>
    </row>
    <row r="101" customFormat="false" ht="15" hidden="false" customHeight="false" outlineLevel="0" collapsed="false">
      <c r="B101" s="32"/>
    </row>
    <row r="102" customFormat="false" ht="15" hidden="false" customHeight="false" outlineLevel="0" collapsed="false">
      <c r="B102" s="32"/>
    </row>
    <row r="103" customFormat="false" ht="15" hidden="false" customHeight="false" outlineLevel="0" collapsed="false">
      <c r="B103" s="32"/>
    </row>
    <row r="104" customFormat="false" ht="15" hidden="false" customHeight="false" outlineLevel="0" collapsed="false">
      <c r="B104" s="32"/>
    </row>
    <row r="105" customFormat="false" ht="15" hidden="false" customHeight="false" outlineLevel="0" collapsed="false">
      <c r="B105" s="32"/>
    </row>
    <row r="106" customFormat="false" ht="15" hidden="false" customHeight="false" outlineLevel="0" collapsed="false">
      <c r="B106" s="32"/>
    </row>
    <row r="107" customFormat="false" ht="15" hidden="false" customHeight="false" outlineLevel="0" collapsed="false">
      <c r="B107" s="32"/>
    </row>
    <row r="108" customFormat="false" ht="15" hidden="false" customHeight="false" outlineLevel="0" collapsed="false">
      <c r="B108" s="32"/>
    </row>
    <row r="109" customFormat="false" ht="15" hidden="false" customHeight="false" outlineLevel="0" collapsed="false">
      <c r="B109" s="32"/>
    </row>
    <row r="110" customFormat="false" ht="15" hidden="false" customHeight="false" outlineLevel="0" collapsed="false">
      <c r="B110" s="32"/>
    </row>
    <row r="111" customFormat="false" ht="15" hidden="false" customHeight="false" outlineLevel="0" collapsed="false">
      <c r="B111" s="32"/>
    </row>
    <row r="112" customFormat="false" ht="15" hidden="false" customHeight="false" outlineLevel="0" collapsed="false">
      <c r="B112" s="32"/>
    </row>
    <row r="113" customFormat="false" ht="15" hidden="false" customHeight="false" outlineLevel="0" collapsed="false">
      <c r="B113" s="32"/>
    </row>
    <row r="114" customFormat="false" ht="15" hidden="false" customHeight="false" outlineLevel="0" collapsed="false">
      <c r="B114" s="32"/>
    </row>
    <row r="115" customFormat="false" ht="15" hidden="false" customHeight="false" outlineLevel="0" collapsed="false">
      <c r="B115" s="32"/>
    </row>
    <row r="116" customFormat="false" ht="15" hidden="false" customHeight="false" outlineLevel="0" collapsed="false">
      <c r="B116" s="32"/>
    </row>
    <row r="117" customFormat="false" ht="15" hidden="false" customHeight="false" outlineLevel="0" collapsed="false">
      <c r="B117" s="32"/>
    </row>
    <row r="118" customFormat="false" ht="15" hidden="false" customHeight="false" outlineLevel="0" collapsed="false">
      <c r="B118" s="32"/>
    </row>
    <row r="119" customFormat="false" ht="15" hidden="false" customHeight="false" outlineLevel="0" collapsed="false">
      <c r="B119" s="32"/>
    </row>
    <row r="120" customFormat="false" ht="15" hidden="false" customHeight="false" outlineLevel="0" collapsed="false">
      <c r="B120" s="32"/>
    </row>
    <row r="121" customFormat="false" ht="15" hidden="false" customHeight="false" outlineLevel="0" collapsed="false">
      <c r="B121" s="32"/>
    </row>
    <row r="122" customFormat="false" ht="15" hidden="false" customHeight="false" outlineLevel="0" collapsed="false">
      <c r="B122" s="32"/>
    </row>
    <row r="123" customFormat="false" ht="15" hidden="false" customHeight="false" outlineLevel="0" collapsed="false">
      <c r="B123" s="32"/>
    </row>
    <row r="124" customFormat="false" ht="15" hidden="false" customHeight="false" outlineLevel="0" collapsed="false">
      <c r="B124" s="32"/>
    </row>
    <row r="125" customFormat="false" ht="15" hidden="false" customHeight="false" outlineLevel="0" collapsed="false">
      <c r="B125" s="32"/>
    </row>
    <row r="126" customFormat="false" ht="15" hidden="false" customHeight="false" outlineLevel="0" collapsed="false">
      <c r="B126" s="32"/>
    </row>
    <row r="127" customFormat="false" ht="15" hidden="false" customHeight="false" outlineLevel="0" collapsed="false">
      <c r="B127" s="32"/>
    </row>
    <row r="128" customFormat="false" ht="15" hidden="false" customHeight="false" outlineLevel="0" collapsed="false">
      <c r="B128" s="32"/>
    </row>
    <row r="129" customFormat="false" ht="15" hidden="false" customHeight="false" outlineLevel="0" collapsed="false">
      <c r="B129" s="32"/>
    </row>
    <row r="130" customFormat="false" ht="15" hidden="false" customHeight="false" outlineLevel="0" collapsed="false">
      <c r="B130" s="32"/>
    </row>
    <row r="131" customFormat="false" ht="15" hidden="false" customHeight="false" outlineLevel="0" collapsed="false">
      <c r="B131" s="32"/>
    </row>
    <row r="132" customFormat="false" ht="15" hidden="false" customHeight="false" outlineLevel="0" collapsed="false">
      <c r="B132" s="32"/>
    </row>
    <row r="133" customFormat="false" ht="15" hidden="false" customHeight="false" outlineLevel="0" collapsed="false">
      <c r="B133" s="32"/>
    </row>
    <row r="134" customFormat="false" ht="15" hidden="false" customHeight="false" outlineLevel="0" collapsed="false">
      <c r="B134" s="32"/>
    </row>
    <row r="135" customFormat="false" ht="15" hidden="false" customHeight="false" outlineLevel="0" collapsed="false">
      <c r="B135" s="32"/>
    </row>
    <row r="136" customFormat="false" ht="15" hidden="false" customHeight="false" outlineLevel="0" collapsed="false">
      <c r="B136" s="32"/>
    </row>
    <row r="137" customFormat="false" ht="15" hidden="false" customHeight="false" outlineLevel="0" collapsed="false">
      <c r="B137" s="32"/>
    </row>
    <row r="138" customFormat="false" ht="15" hidden="false" customHeight="false" outlineLevel="0" collapsed="false">
      <c r="B138" s="32"/>
    </row>
    <row r="139" customFormat="false" ht="15" hidden="false" customHeight="false" outlineLevel="0" collapsed="false">
      <c r="B139" s="32"/>
    </row>
    <row r="140" customFormat="false" ht="15" hidden="false" customHeight="false" outlineLevel="0" collapsed="false">
      <c r="B140" s="32"/>
    </row>
    <row r="141" customFormat="false" ht="15" hidden="false" customHeight="false" outlineLevel="0" collapsed="false">
      <c r="B141" s="32"/>
    </row>
    <row r="142" customFormat="false" ht="15" hidden="false" customHeight="false" outlineLevel="0" collapsed="false">
      <c r="B142" s="32"/>
    </row>
    <row r="143" customFormat="false" ht="15" hidden="false" customHeight="false" outlineLevel="0" collapsed="false">
      <c r="B143" s="32"/>
    </row>
    <row r="144" customFormat="false" ht="15" hidden="false" customHeight="false" outlineLevel="0" collapsed="false">
      <c r="B144" s="32"/>
    </row>
    <row r="145" customFormat="false" ht="15" hidden="false" customHeight="false" outlineLevel="0" collapsed="false">
      <c r="B145" s="32"/>
    </row>
    <row r="146" customFormat="false" ht="15" hidden="false" customHeight="false" outlineLevel="0" collapsed="false">
      <c r="B146" s="32"/>
    </row>
    <row r="147" customFormat="false" ht="15" hidden="false" customHeight="false" outlineLevel="0" collapsed="false">
      <c r="B147" s="32"/>
    </row>
    <row r="148" customFormat="false" ht="15" hidden="false" customHeight="false" outlineLevel="0" collapsed="false">
      <c r="B148" s="32"/>
    </row>
    <row r="149" customFormat="false" ht="15" hidden="false" customHeight="false" outlineLevel="0" collapsed="false">
      <c r="B149" s="32"/>
    </row>
    <row r="150" customFormat="false" ht="15" hidden="false" customHeight="false" outlineLevel="0" collapsed="false">
      <c r="B150" s="32"/>
    </row>
    <row r="151" customFormat="false" ht="15" hidden="false" customHeight="false" outlineLevel="0" collapsed="false">
      <c r="B151" s="32"/>
    </row>
    <row r="152" customFormat="false" ht="15" hidden="false" customHeight="false" outlineLevel="0" collapsed="false">
      <c r="B152" s="32"/>
    </row>
    <row r="153" customFormat="false" ht="15" hidden="false" customHeight="false" outlineLevel="0" collapsed="false">
      <c r="B153" s="32"/>
    </row>
    <row r="154" customFormat="false" ht="15" hidden="false" customHeight="false" outlineLevel="0" collapsed="false">
      <c r="B154" s="32"/>
    </row>
    <row r="155" customFormat="false" ht="15" hidden="false" customHeight="false" outlineLevel="0" collapsed="false">
      <c r="B155" s="32"/>
    </row>
    <row r="156" customFormat="false" ht="15" hidden="false" customHeight="false" outlineLevel="0" collapsed="false">
      <c r="B156" s="32"/>
    </row>
    <row r="157" customFormat="false" ht="15" hidden="false" customHeight="false" outlineLevel="0" collapsed="false">
      <c r="B157" s="32"/>
    </row>
    <row r="158" customFormat="false" ht="15" hidden="false" customHeight="false" outlineLevel="0" collapsed="false">
      <c r="B158" s="32"/>
    </row>
    <row r="159" customFormat="false" ht="15" hidden="false" customHeight="false" outlineLevel="0" collapsed="false">
      <c r="B159" s="32"/>
    </row>
    <row r="160" customFormat="false" ht="15" hidden="false" customHeight="false" outlineLevel="0" collapsed="false">
      <c r="B160" s="32"/>
    </row>
    <row r="161" customFormat="false" ht="15" hidden="false" customHeight="false" outlineLevel="0" collapsed="false">
      <c r="B161" s="32"/>
    </row>
    <row r="162" customFormat="false" ht="15" hidden="false" customHeight="false" outlineLevel="0" collapsed="false">
      <c r="B162" s="32"/>
    </row>
    <row r="163" customFormat="false" ht="15" hidden="false" customHeight="false" outlineLevel="0" collapsed="false">
      <c r="B163" s="32"/>
    </row>
    <row r="164" customFormat="false" ht="15" hidden="false" customHeight="false" outlineLevel="0" collapsed="false">
      <c r="B164" s="32"/>
    </row>
    <row r="165" customFormat="false" ht="15" hidden="false" customHeight="false" outlineLevel="0" collapsed="false">
      <c r="B165" s="32"/>
    </row>
    <row r="166" customFormat="false" ht="15" hidden="false" customHeight="false" outlineLevel="0" collapsed="false">
      <c r="B166" s="32"/>
    </row>
    <row r="167" customFormat="false" ht="15" hidden="false" customHeight="false" outlineLevel="0" collapsed="false">
      <c r="B167" s="32"/>
    </row>
    <row r="168" customFormat="false" ht="15" hidden="false" customHeight="false" outlineLevel="0" collapsed="false">
      <c r="B168" s="32"/>
    </row>
    <row r="169" customFormat="false" ht="15" hidden="false" customHeight="false" outlineLevel="0" collapsed="false">
      <c r="B169" s="32"/>
    </row>
    <row r="170" customFormat="false" ht="15" hidden="false" customHeight="false" outlineLevel="0" collapsed="false">
      <c r="B170" s="32"/>
    </row>
    <row r="171" customFormat="false" ht="15" hidden="false" customHeight="false" outlineLevel="0" collapsed="false">
      <c r="B171" s="32"/>
    </row>
    <row r="172" customFormat="false" ht="15" hidden="false" customHeight="false" outlineLevel="0" collapsed="false">
      <c r="B172" s="32"/>
    </row>
    <row r="173" customFormat="false" ht="15" hidden="false" customHeight="false" outlineLevel="0" collapsed="false">
      <c r="B173" s="32"/>
    </row>
    <row r="174" customFormat="false" ht="15" hidden="false" customHeight="false" outlineLevel="0" collapsed="false">
      <c r="B174" s="32"/>
    </row>
    <row r="175" customFormat="false" ht="15" hidden="false" customHeight="false" outlineLevel="0" collapsed="false">
      <c r="B175" s="32"/>
    </row>
    <row r="176" customFormat="false" ht="15" hidden="false" customHeight="false" outlineLevel="0" collapsed="false">
      <c r="B176" s="32"/>
    </row>
    <row r="177" customFormat="false" ht="15" hidden="false" customHeight="false" outlineLevel="0" collapsed="false">
      <c r="B177" s="32"/>
    </row>
    <row r="178" customFormat="false" ht="15" hidden="false" customHeight="false" outlineLevel="0" collapsed="false">
      <c r="B178" s="32"/>
    </row>
    <row r="179" customFormat="false" ht="15" hidden="false" customHeight="false" outlineLevel="0" collapsed="false">
      <c r="B179" s="32"/>
    </row>
    <row r="180" customFormat="false" ht="15" hidden="false" customHeight="false" outlineLevel="0" collapsed="false">
      <c r="B180" s="32"/>
    </row>
    <row r="181" customFormat="false" ht="15" hidden="false" customHeight="false" outlineLevel="0" collapsed="false">
      <c r="B181" s="32"/>
    </row>
    <row r="182" customFormat="false" ht="15" hidden="false" customHeight="false" outlineLevel="0" collapsed="false">
      <c r="B182" s="32"/>
    </row>
    <row r="183" customFormat="false" ht="15" hidden="false" customHeight="false" outlineLevel="0" collapsed="false">
      <c r="B183" s="32"/>
    </row>
    <row r="184" customFormat="false" ht="15" hidden="false" customHeight="false" outlineLevel="0" collapsed="false">
      <c r="B184" s="32"/>
    </row>
    <row r="185" customFormat="false" ht="15" hidden="false" customHeight="false" outlineLevel="0" collapsed="false">
      <c r="B185" s="32"/>
    </row>
    <row r="186" customFormat="false" ht="15" hidden="false" customHeight="false" outlineLevel="0" collapsed="false">
      <c r="B186" s="32"/>
    </row>
    <row r="187" customFormat="false" ht="15" hidden="false" customHeight="false" outlineLevel="0" collapsed="false">
      <c r="B187" s="32"/>
    </row>
    <row r="188" customFormat="false" ht="15" hidden="false" customHeight="false" outlineLevel="0" collapsed="false">
      <c r="B188" s="32"/>
    </row>
    <row r="189" customFormat="false" ht="15" hidden="false" customHeight="false" outlineLevel="0" collapsed="false">
      <c r="B189" s="32"/>
    </row>
    <row r="190" customFormat="false" ht="15" hidden="false" customHeight="false" outlineLevel="0" collapsed="false">
      <c r="B190" s="32"/>
    </row>
    <row r="191" customFormat="false" ht="15" hidden="false" customHeight="false" outlineLevel="0" collapsed="false">
      <c r="B191" s="32"/>
    </row>
    <row r="192" customFormat="false" ht="15" hidden="false" customHeight="false" outlineLevel="0" collapsed="false">
      <c r="B192" s="32"/>
    </row>
    <row r="193" customFormat="false" ht="15" hidden="false" customHeight="false" outlineLevel="0" collapsed="false">
      <c r="B193" s="32"/>
    </row>
    <row r="194" customFormat="false" ht="15" hidden="false" customHeight="false" outlineLevel="0" collapsed="false">
      <c r="B194" s="32"/>
    </row>
    <row r="195" customFormat="false" ht="15" hidden="false" customHeight="false" outlineLevel="0" collapsed="false">
      <c r="B195" s="32"/>
    </row>
    <row r="196" customFormat="false" ht="15" hidden="false" customHeight="false" outlineLevel="0" collapsed="false">
      <c r="B196" s="32"/>
    </row>
    <row r="197" customFormat="false" ht="15" hidden="false" customHeight="false" outlineLevel="0" collapsed="false">
      <c r="B197" s="32"/>
    </row>
    <row r="198" customFormat="false" ht="15" hidden="false" customHeight="false" outlineLevel="0" collapsed="false">
      <c r="B198" s="32"/>
    </row>
    <row r="199" customFormat="false" ht="15" hidden="false" customHeight="false" outlineLevel="0" collapsed="false">
      <c r="B199" s="32"/>
    </row>
    <row r="200" customFormat="false" ht="15" hidden="false" customHeight="false" outlineLevel="0" collapsed="false">
      <c r="B200" s="32"/>
    </row>
    <row r="201" customFormat="false" ht="15" hidden="false" customHeight="false" outlineLevel="0" collapsed="false">
      <c r="B201" s="32"/>
    </row>
    <row r="202" customFormat="false" ht="15" hidden="false" customHeight="false" outlineLevel="0" collapsed="false">
      <c r="B202" s="32"/>
    </row>
    <row r="203" customFormat="false" ht="15" hidden="false" customHeight="false" outlineLevel="0" collapsed="false">
      <c r="B203" s="32"/>
    </row>
    <row r="204" customFormat="false" ht="15" hidden="false" customHeight="false" outlineLevel="0" collapsed="false">
      <c r="B204" s="32"/>
    </row>
    <row r="205" customFormat="false" ht="15" hidden="false" customHeight="false" outlineLevel="0" collapsed="false">
      <c r="B205" s="32"/>
    </row>
    <row r="206" customFormat="false" ht="15" hidden="false" customHeight="false" outlineLevel="0" collapsed="false">
      <c r="B206" s="32"/>
    </row>
    <row r="207" customFormat="false" ht="15" hidden="false" customHeight="false" outlineLevel="0" collapsed="false">
      <c r="B207" s="32"/>
    </row>
    <row r="208" customFormat="false" ht="15" hidden="false" customHeight="false" outlineLevel="0" collapsed="false">
      <c r="B208" s="32"/>
    </row>
    <row r="209" customFormat="false" ht="15" hidden="false" customHeight="false" outlineLevel="0" collapsed="false">
      <c r="B209" s="32"/>
    </row>
    <row r="210" customFormat="false" ht="15" hidden="false" customHeight="false" outlineLevel="0" collapsed="false">
      <c r="B210" s="32"/>
    </row>
    <row r="211" customFormat="false" ht="15" hidden="false" customHeight="false" outlineLevel="0" collapsed="false">
      <c r="B211" s="32"/>
    </row>
    <row r="212" customFormat="false" ht="15" hidden="false" customHeight="false" outlineLevel="0" collapsed="false">
      <c r="B212" s="32"/>
    </row>
    <row r="213" customFormat="false" ht="15" hidden="false" customHeight="false" outlineLevel="0" collapsed="false">
      <c r="B213" s="32"/>
    </row>
    <row r="214" customFormat="false" ht="15" hidden="false" customHeight="false" outlineLevel="0" collapsed="false">
      <c r="B214" s="32"/>
    </row>
    <row r="215" customFormat="false" ht="15" hidden="false" customHeight="false" outlineLevel="0" collapsed="false">
      <c r="B215" s="32"/>
    </row>
    <row r="216" customFormat="false" ht="15" hidden="false" customHeight="false" outlineLevel="0" collapsed="false">
      <c r="B216" s="32"/>
    </row>
    <row r="217" customFormat="false" ht="15" hidden="false" customHeight="false" outlineLevel="0" collapsed="false">
      <c r="B217" s="32"/>
    </row>
    <row r="218" customFormat="false" ht="15" hidden="false" customHeight="false" outlineLevel="0" collapsed="false">
      <c r="B218" s="32"/>
    </row>
    <row r="219" customFormat="false" ht="15" hidden="false" customHeight="false" outlineLevel="0" collapsed="false">
      <c r="B219" s="32"/>
    </row>
    <row r="220" customFormat="false" ht="15" hidden="false" customHeight="false" outlineLevel="0" collapsed="false">
      <c r="B220" s="32"/>
    </row>
    <row r="221" customFormat="false" ht="15" hidden="false" customHeight="false" outlineLevel="0" collapsed="false">
      <c r="B221" s="32"/>
    </row>
    <row r="222" customFormat="false" ht="15" hidden="false" customHeight="false" outlineLevel="0" collapsed="false">
      <c r="B222" s="32"/>
    </row>
    <row r="223" customFormat="false" ht="15" hidden="false" customHeight="false" outlineLevel="0" collapsed="false">
      <c r="B223" s="32"/>
    </row>
    <row r="224" customFormat="false" ht="15" hidden="false" customHeight="false" outlineLevel="0" collapsed="false">
      <c r="B224" s="32"/>
    </row>
    <row r="225" customFormat="false" ht="15" hidden="false" customHeight="false" outlineLevel="0" collapsed="false">
      <c r="B225" s="32"/>
    </row>
    <row r="226" customFormat="false" ht="15" hidden="false" customHeight="false" outlineLevel="0" collapsed="false">
      <c r="B226" s="32"/>
    </row>
    <row r="227" customFormat="false" ht="15" hidden="false" customHeight="false" outlineLevel="0" collapsed="false">
      <c r="B227" s="32"/>
    </row>
    <row r="228" customFormat="false" ht="15" hidden="false" customHeight="false" outlineLevel="0" collapsed="false">
      <c r="B228" s="32"/>
    </row>
    <row r="229" customFormat="false" ht="15" hidden="false" customHeight="false" outlineLevel="0" collapsed="false">
      <c r="B229" s="32"/>
    </row>
    <row r="230" customFormat="false" ht="15" hidden="false" customHeight="false" outlineLevel="0" collapsed="false">
      <c r="B230" s="32"/>
    </row>
    <row r="231" customFormat="false" ht="15" hidden="false" customHeight="false" outlineLevel="0" collapsed="false">
      <c r="B231" s="32"/>
    </row>
    <row r="232" customFormat="false" ht="15" hidden="false" customHeight="false" outlineLevel="0" collapsed="false">
      <c r="B232" s="32"/>
    </row>
    <row r="233" customFormat="false" ht="15" hidden="false" customHeight="false" outlineLevel="0" collapsed="false">
      <c r="B233" s="32"/>
    </row>
    <row r="234" customFormat="false" ht="15" hidden="false" customHeight="false" outlineLevel="0" collapsed="false">
      <c r="B234" s="32"/>
    </row>
    <row r="235" customFormat="false" ht="15" hidden="false" customHeight="false" outlineLevel="0" collapsed="false">
      <c r="B235" s="32"/>
    </row>
    <row r="236" customFormat="false" ht="15" hidden="false" customHeight="false" outlineLevel="0" collapsed="false">
      <c r="B236" s="32"/>
    </row>
    <row r="237" customFormat="false" ht="15" hidden="false" customHeight="false" outlineLevel="0" collapsed="false">
      <c r="B237" s="32"/>
    </row>
    <row r="238" customFormat="false" ht="15" hidden="false" customHeight="false" outlineLevel="0" collapsed="false">
      <c r="B238" s="32"/>
    </row>
    <row r="239" customFormat="false" ht="15" hidden="false" customHeight="false" outlineLevel="0" collapsed="false">
      <c r="B239" s="32"/>
    </row>
    <row r="240" customFormat="false" ht="15" hidden="false" customHeight="false" outlineLevel="0" collapsed="false">
      <c r="B240" s="32"/>
    </row>
    <row r="241" customFormat="false" ht="15" hidden="false" customHeight="false" outlineLevel="0" collapsed="false">
      <c r="B241" s="32"/>
    </row>
    <row r="242" customFormat="false" ht="15" hidden="false" customHeight="false" outlineLevel="0" collapsed="false">
      <c r="B242" s="32"/>
    </row>
    <row r="243" customFormat="false" ht="15" hidden="false" customHeight="false" outlineLevel="0" collapsed="false">
      <c r="B243" s="32"/>
    </row>
    <row r="244" customFormat="false" ht="15" hidden="false" customHeight="false" outlineLevel="0" collapsed="false">
      <c r="B244" s="32"/>
    </row>
    <row r="245" customFormat="false" ht="15" hidden="false" customHeight="false" outlineLevel="0" collapsed="false">
      <c r="B245" s="32"/>
    </row>
    <row r="246" customFormat="false" ht="15" hidden="false" customHeight="false" outlineLevel="0" collapsed="false">
      <c r="B246" s="32"/>
    </row>
    <row r="247" customFormat="false" ht="15" hidden="false" customHeight="false" outlineLevel="0" collapsed="false">
      <c r="B247" s="32"/>
    </row>
    <row r="248" customFormat="false" ht="15" hidden="false" customHeight="false" outlineLevel="0" collapsed="false">
      <c r="B248" s="32"/>
    </row>
    <row r="249" customFormat="false" ht="15" hidden="false" customHeight="false" outlineLevel="0" collapsed="false">
      <c r="B249" s="32"/>
    </row>
    <row r="250" customFormat="false" ht="15" hidden="false" customHeight="false" outlineLevel="0" collapsed="false">
      <c r="B250" s="32"/>
    </row>
    <row r="251" customFormat="false" ht="15" hidden="false" customHeight="false" outlineLevel="0" collapsed="false">
      <c r="B251" s="32"/>
    </row>
    <row r="252" customFormat="false" ht="15" hidden="false" customHeight="false" outlineLevel="0" collapsed="false">
      <c r="B252" s="32"/>
    </row>
    <row r="253" customFormat="false" ht="15" hidden="false" customHeight="false" outlineLevel="0" collapsed="false">
      <c r="B253" s="32"/>
    </row>
    <row r="254" customFormat="false" ht="15" hidden="false" customHeight="false" outlineLevel="0" collapsed="false">
      <c r="B254" s="32"/>
    </row>
    <row r="255" customFormat="false" ht="15" hidden="false" customHeight="false" outlineLevel="0" collapsed="false">
      <c r="B255" s="32"/>
    </row>
    <row r="256" customFormat="false" ht="15" hidden="false" customHeight="false" outlineLevel="0" collapsed="false">
      <c r="B256" s="32"/>
    </row>
    <row r="257" customFormat="false" ht="15" hidden="false" customHeight="false" outlineLevel="0" collapsed="false">
      <c r="B257" s="32"/>
    </row>
    <row r="258" customFormat="false" ht="15" hidden="false" customHeight="false" outlineLevel="0" collapsed="false">
      <c r="B258" s="32"/>
    </row>
    <row r="259" customFormat="false" ht="15" hidden="false" customHeight="false" outlineLevel="0" collapsed="false">
      <c r="B259" s="32"/>
    </row>
    <row r="260" customFormat="false" ht="15" hidden="false" customHeight="false" outlineLevel="0" collapsed="false">
      <c r="B260" s="32"/>
    </row>
    <row r="261" customFormat="false" ht="15" hidden="false" customHeight="false" outlineLevel="0" collapsed="false">
      <c r="B261" s="32"/>
    </row>
    <row r="262" customFormat="false" ht="15" hidden="false" customHeight="false" outlineLevel="0" collapsed="false">
      <c r="B262" s="32"/>
    </row>
    <row r="263" customFormat="false" ht="15" hidden="false" customHeight="false" outlineLevel="0" collapsed="false">
      <c r="B263" s="32"/>
    </row>
    <row r="264" customFormat="false" ht="15" hidden="false" customHeight="false" outlineLevel="0" collapsed="false">
      <c r="B264" s="32"/>
    </row>
    <row r="265" customFormat="false" ht="15" hidden="false" customHeight="false" outlineLevel="0" collapsed="false">
      <c r="B265" s="32"/>
    </row>
    <row r="266" customFormat="false" ht="15" hidden="false" customHeight="false" outlineLevel="0" collapsed="false">
      <c r="B266" s="32"/>
    </row>
    <row r="267" customFormat="false" ht="15" hidden="false" customHeight="false" outlineLevel="0" collapsed="false">
      <c r="B267" s="32"/>
    </row>
    <row r="268" customFormat="false" ht="15" hidden="false" customHeight="false" outlineLevel="0" collapsed="false">
      <c r="B268" s="32"/>
    </row>
    <row r="269" customFormat="false" ht="15" hidden="false" customHeight="false" outlineLevel="0" collapsed="false">
      <c r="B269" s="32"/>
    </row>
    <row r="270" customFormat="false" ht="15" hidden="false" customHeight="false" outlineLevel="0" collapsed="false">
      <c r="B270" s="32"/>
    </row>
    <row r="271" customFormat="false" ht="15" hidden="false" customHeight="false" outlineLevel="0" collapsed="false">
      <c r="B271" s="32"/>
    </row>
    <row r="272" customFormat="false" ht="15" hidden="false" customHeight="false" outlineLevel="0" collapsed="false">
      <c r="B272" s="32"/>
    </row>
    <row r="273" customFormat="false" ht="15" hidden="false" customHeight="false" outlineLevel="0" collapsed="false">
      <c r="B273" s="32"/>
    </row>
    <row r="274" customFormat="false" ht="15" hidden="false" customHeight="false" outlineLevel="0" collapsed="false">
      <c r="B274" s="32"/>
    </row>
    <row r="275" customFormat="false" ht="15" hidden="false" customHeight="false" outlineLevel="0" collapsed="false">
      <c r="B275" s="32"/>
    </row>
    <row r="276" customFormat="false" ht="15" hidden="false" customHeight="false" outlineLevel="0" collapsed="false">
      <c r="B276" s="32"/>
    </row>
    <row r="277" customFormat="false" ht="15" hidden="false" customHeight="false" outlineLevel="0" collapsed="false">
      <c r="B277" s="32"/>
    </row>
    <row r="278" customFormat="false" ht="15" hidden="false" customHeight="false" outlineLevel="0" collapsed="false">
      <c r="B278" s="32"/>
    </row>
    <row r="279" customFormat="false" ht="15" hidden="false" customHeight="false" outlineLevel="0" collapsed="false">
      <c r="B279" s="32"/>
    </row>
    <row r="280" customFormat="false" ht="15" hidden="false" customHeight="false" outlineLevel="0" collapsed="false">
      <c r="B280" s="32"/>
    </row>
    <row r="281" customFormat="false" ht="15" hidden="false" customHeight="false" outlineLevel="0" collapsed="false">
      <c r="B281" s="32"/>
    </row>
    <row r="282" customFormat="false" ht="15" hidden="false" customHeight="false" outlineLevel="0" collapsed="false">
      <c r="B282" s="32"/>
    </row>
    <row r="283" customFormat="false" ht="15" hidden="false" customHeight="false" outlineLevel="0" collapsed="false">
      <c r="B283" s="32"/>
    </row>
    <row r="284" customFormat="false" ht="15" hidden="false" customHeight="false" outlineLevel="0" collapsed="false">
      <c r="B284" s="32"/>
    </row>
    <row r="285" customFormat="false" ht="15" hidden="false" customHeight="false" outlineLevel="0" collapsed="false">
      <c r="B285" s="32"/>
    </row>
    <row r="286" customFormat="false" ht="15" hidden="false" customHeight="false" outlineLevel="0" collapsed="false">
      <c r="B286" s="32"/>
    </row>
    <row r="287" customFormat="false" ht="15" hidden="false" customHeight="false" outlineLevel="0" collapsed="false">
      <c r="B287" s="32"/>
    </row>
    <row r="288" customFormat="false" ht="15" hidden="false" customHeight="false" outlineLevel="0" collapsed="false">
      <c r="B288" s="32"/>
    </row>
    <row r="289" customFormat="false" ht="15" hidden="false" customHeight="false" outlineLevel="0" collapsed="false">
      <c r="B289" s="32"/>
    </row>
    <row r="290" customFormat="false" ht="15" hidden="false" customHeight="false" outlineLevel="0" collapsed="false">
      <c r="B290" s="32"/>
    </row>
    <row r="291" customFormat="false" ht="15" hidden="false" customHeight="false" outlineLevel="0" collapsed="false">
      <c r="B291" s="32"/>
    </row>
    <row r="292" customFormat="false" ht="15" hidden="false" customHeight="false" outlineLevel="0" collapsed="false">
      <c r="B292" s="32"/>
    </row>
    <row r="293" customFormat="false" ht="15" hidden="false" customHeight="false" outlineLevel="0" collapsed="false">
      <c r="B293" s="32"/>
    </row>
    <row r="294" customFormat="false" ht="15" hidden="false" customHeight="false" outlineLevel="0" collapsed="false">
      <c r="B294" s="32"/>
    </row>
    <row r="295" customFormat="false" ht="15" hidden="false" customHeight="false" outlineLevel="0" collapsed="false">
      <c r="B295" s="32"/>
    </row>
    <row r="296" customFormat="false" ht="15" hidden="false" customHeight="false" outlineLevel="0" collapsed="false">
      <c r="B296" s="32"/>
    </row>
    <row r="297" customFormat="false" ht="15" hidden="false" customHeight="false" outlineLevel="0" collapsed="false">
      <c r="B297" s="32"/>
    </row>
    <row r="298" customFormat="false" ht="15" hidden="false" customHeight="false" outlineLevel="0" collapsed="false">
      <c r="B298" s="32"/>
    </row>
    <row r="299" customFormat="false" ht="15" hidden="false" customHeight="false" outlineLevel="0" collapsed="false">
      <c r="B299" s="32"/>
    </row>
    <row r="300" customFormat="false" ht="15" hidden="false" customHeight="false" outlineLevel="0" collapsed="false">
      <c r="B300" s="32"/>
    </row>
    <row r="301" customFormat="false" ht="15" hidden="false" customHeight="false" outlineLevel="0" collapsed="false">
      <c r="B301" s="32"/>
    </row>
    <row r="302" customFormat="false" ht="15" hidden="false" customHeight="false" outlineLevel="0" collapsed="false">
      <c r="B302" s="32"/>
    </row>
    <row r="303" customFormat="false" ht="15" hidden="false" customHeight="false" outlineLevel="0" collapsed="false">
      <c r="B303" s="32"/>
    </row>
    <row r="304" customFormat="false" ht="15" hidden="false" customHeight="false" outlineLevel="0" collapsed="false">
      <c r="B304" s="32"/>
    </row>
    <row r="305" customFormat="false" ht="15" hidden="false" customHeight="false" outlineLevel="0" collapsed="false">
      <c r="B305" s="32"/>
    </row>
    <row r="306" customFormat="false" ht="15" hidden="false" customHeight="false" outlineLevel="0" collapsed="false">
      <c r="B306" s="32"/>
    </row>
    <row r="307" customFormat="false" ht="15" hidden="false" customHeight="false" outlineLevel="0" collapsed="false">
      <c r="B307" s="32"/>
    </row>
    <row r="308" customFormat="false" ht="15" hidden="false" customHeight="false" outlineLevel="0" collapsed="false">
      <c r="B308" s="32"/>
    </row>
    <row r="309" customFormat="false" ht="15" hidden="false" customHeight="false" outlineLevel="0" collapsed="false">
      <c r="B309" s="32"/>
    </row>
    <row r="310" customFormat="false" ht="15" hidden="false" customHeight="false" outlineLevel="0" collapsed="false">
      <c r="B310" s="32"/>
    </row>
    <row r="311" customFormat="false" ht="15" hidden="false" customHeight="false" outlineLevel="0" collapsed="false">
      <c r="B311" s="32"/>
    </row>
    <row r="312" customFormat="false" ht="15" hidden="false" customHeight="false" outlineLevel="0" collapsed="false">
      <c r="B312" s="32"/>
    </row>
    <row r="313" customFormat="false" ht="15" hidden="false" customHeight="false" outlineLevel="0" collapsed="false">
      <c r="B313" s="32"/>
    </row>
    <row r="314" customFormat="false" ht="15" hidden="false" customHeight="false" outlineLevel="0" collapsed="false">
      <c r="B314" s="32"/>
    </row>
    <row r="315" customFormat="false" ht="15" hidden="false" customHeight="false" outlineLevel="0" collapsed="false">
      <c r="B315" s="32"/>
    </row>
    <row r="316" customFormat="false" ht="15" hidden="false" customHeight="false" outlineLevel="0" collapsed="false">
      <c r="B316" s="32"/>
    </row>
    <row r="317" customFormat="false" ht="15" hidden="false" customHeight="false" outlineLevel="0" collapsed="false">
      <c r="B317" s="32"/>
    </row>
    <row r="318" customFormat="false" ht="15" hidden="false" customHeight="false" outlineLevel="0" collapsed="false">
      <c r="B318" s="32"/>
    </row>
    <row r="319" customFormat="false" ht="15" hidden="false" customHeight="false" outlineLevel="0" collapsed="false">
      <c r="B319" s="32"/>
    </row>
    <row r="320" customFormat="false" ht="15" hidden="false" customHeight="false" outlineLevel="0" collapsed="false">
      <c r="B320" s="32"/>
    </row>
    <row r="321" customFormat="false" ht="15" hidden="false" customHeight="false" outlineLevel="0" collapsed="false">
      <c r="B321" s="32"/>
    </row>
    <row r="322" customFormat="false" ht="15" hidden="false" customHeight="false" outlineLevel="0" collapsed="false">
      <c r="B322" s="32"/>
    </row>
    <row r="323" customFormat="false" ht="15" hidden="false" customHeight="false" outlineLevel="0" collapsed="false">
      <c r="B323" s="32"/>
    </row>
    <row r="324" customFormat="false" ht="15" hidden="false" customHeight="false" outlineLevel="0" collapsed="false">
      <c r="B324" s="32"/>
    </row>
    <row r="325" customFormat="false" ht="15" hidden="false" customHeight="false" outlineLevel="0" collapsed="false">
      <c r="B325" s="32"/>
    </row>
    <row r="326" customFormat="false" ht="15" hidden="false" customHeight="false" outlineLevel="0" collapsed="false">
      <c r="B326" s="32"/>
    </row>
    <row r="327" customFormat="false" ht="15" hidden="false" customHeight="false" outlineLevel="0" collapsed="false">
      <c r="B327" s="32"/>
    </row>
    <row r="328" customFormat="false" ht="15" hidden="false" customHeight="false" outlineLevel="0" collapsed="false">
      <c r="B328" s="32"/>
    </row>
    <row r="329" customFormat="false" ht="15" hidden="false" customHeight="false" outlineLevel="0" collapsed="false">
      <c r="B329" s="32"/>
    </row>
    <row r="330" customFormat="false" ht="15" hidden="false" customHeight="false" outlineLevel="0" collapsed="false">
      <c r="B330" s="32"/>
    </row>
    <row r="331" customFormat="false" ht="15" hidden="false" customHeight="false" outlineLevel="0" collapsed="false">
      <c r="B331" s="32"/>
    </row>
    <row r="332" customFormat="false" ht="15" hidden="false" customHeight="false" outlineLevel="0" collapsed="false">
      <c r="B332" s="32"/>
    </row>
    <row r="333" customFormat="false" ht="15" hidden="false" customHeight="false" outlineLevel="0" collapsed="false">
      <c r="B333" s="32"/>
    </row>
    <row r="334" customFormat="false" ht="15" hidden="false" customHeight="false" outlineLevel="0" collapsed="false">
      <c r="B334" s="32"/>
    </row>
    <row r="335" customFormat="false" ht="15" hidden="false" customHeight="false" outlineLevel="0" collapsed="false">
      <c r="B335" s="32"/>
    </row>
    <row r="336" customFormat="false" ht="15" hidden="false" customHeight="false" outlineLevel="0" collapsed="false">
      <c r="B336" s="32"/>
    </row>
    <row r="337" customFormat="false" ht="15" hidden="false" customHeight="false" outlineLevel="0" collapsed="false">
      <c r="B337" s="32"/>
    </row>
    <row r="338" customFormat="false" ht="15" hidden="false" customHeight="false" outlineLevel="0" collapsed="false">
      <c r="B338" s="32"/>
    </row>
    <row r="339" customFormat="false" ht="15" hidden="false" customHeight="false" outlineLevel="0" collapsed="false">
      <c r="B339" s="32"/>
    </row>
    <row r="340" customFormat="false" ht="15" hidden="false" customHeight="false" outlineLevel="0" collapsed="false">
      <c r="B340" s="32"/>
    </row>
    <row r="341" customFormat="false" ht="15" hidden="false" customHeight="false" outlineLevel="0" collapsed="false">
      <c r="B341" s="32"/>
    </row>
    <row r="342" customFormat="false" ht="15" hidden="false" customHeight="false" outlineLevel="0" collapsed="false">
      <c r="B342" s="32"/>
    </row>
    <row r="343" customFormat="false" ht="15" hidden="false" customHeight="false" outlineLevel="0" collapsed="false">
      <c r="B343" s="32"/>
    </row>
    <row r="344" customFormat="false" ht="15" hidden="false" customHeight="false" outlineLevel="0" collapsed="false">
      <c r="B344" s="32"/>
    </row>
    <row r="345" customFormat="false" ht="15" hidden="false" customHeight="false" outlineLevel="0" collapsed="false">
      <c r="B345" s="32"/>
    </row>
    <row r="346" customFormat="false" ht="15" hidden="false" customHeight="false" outlineLevel="0" collapsed="false">
      <c r="B346" s="32"/>
    </row>
    <row r="347" customFormat="false" ht="15" hidden="false" customHeight="false" outlineLevel="0" collapsed="false">
      <c r="B347" s="32"/>
    </row>
    <row r="348" customFormat="false" ht="15" hidden="false" customHeight="false" outlineLevel="0" collapsed="false">
      <c r="B348" s="32"/>
    </row>
    <row r="349" customFormat="false" ht="15" hidden="false" customHeight="false" outlineLevel="0" collapsed="false">
      <c r="B349" s="32"/>
    </row>
    <row r="350" customFormat="false" ht="15" hidden="false" customHeight="false" outlineLevel="0" collapsed="false">
      <c r="B350" s="32"/>
    </row>
    <row r="351" customFormat="false" ht="15" hidden="false" customHeight="false" outlineLevel="0" collapsed="false">
      <c r="B351" s="32"/>
    </row>
    <row r="352" customFormat="false" ht="15" hidden="false" customHeight="false" outlineLevel="0" collapsed="false">
      <c r="B352" s="32"/>
    </row>
    <row r="353" customFormat="false" ht="15" hidden="false" customHeight="false" outlineLevel="0" collapsed="false">
      <c r="B353" s="32"/>
    </row>
    <row r="354" customFormat="false" ht="15" hidden="false" customHeight="false" outlineLevel="0" collapsed="false">
      <c r="B354" s="32"/>
    </row>
    <row r="355" customFormat="false" ht="15" hidden="false" customHeight="false" outlineLevel="0" collapsed="false">
      <c r="B355" s="32"/>
    </row>
    <row r="356" customFormat="false" ht="15" hidden="false" customHeight="false" outlineLevel="0" collapsed="false">
      <c r="B356" s="32"/>
    </row>
    <row r="357" customFormat="false" ht="15" hidden="false" customHeight="false" outlineLevel="0" collapsed="false">
      <c r="B357" s="32"/>
    </row>
    <row r="358" customFormat="false" ht="15" hidden="false" customHeight="false" outlineLevel="0" collapsed="false">
      <c r="B358" s="32"/>
    </row>
    <row r="359" customFormat="false" ht="15" hidden="false" customHeight="false" outlineLevel="0" collapsed="false">
      <c r="B359" s="32"/>
    </row>
    <row r="360" customFormat="false" ht="15" hidden="false" customHeight="false" outlineLevel="0" collapsed="false">
      <c r="B360" s="32"/>
    </row>
    <row r="361" customFormat="false" ht="15" hidden="false" customHeight="false" outlineLevel="0" collapsed="false">
      <c r="B361" s="32"/>
    </row>
    <row r="362" customFormat="false" ht="15" hidden="false" customHeight="false" outlineLevel="0" collapsed="false">
      <c r="B362" s="32"/>
    </row>
    <row r="363" customFormat="false" ht="15" hidden="false" customHeight="false" outlineLevel="0" collapsed="false">
      <c r="B363" s="32"/>
    </row>
    <row r="364" customFormat="false" ht="15" hidden="false" customHeight="false" outlineLevel="0" collapsed="false">
      <c r="B364" s="32"/>
    </row>
    <row r="365" customFormat="false" ht="15" hidden="false" customHeight="false" outlineLevel="0" collapsed="false">
      <c r="B365" s="32"/>
    </row>
    <row r="366" customFormat="false" ht="15" hidden="false" customHeight="false" outlineLevel="0" collapsed="false">
      <c r="B366" s="32"/>
    </row>
    <row r="367" customFormat="false" ht="15" hidden="false" customHeight="false" outlineLevel="0" collapsed="false">
      <c r="B367" s="32"/>
    </row>
    <row r="368" customFormat="false" ht="15" hidden="false" customHeight="false" outlineLevel="0" collapsed="false">
      <c r="B368" s="32"/>
    </row>
    <row r="369" customFormat="false" ht="15" hidden="false" customHeight="false" outlineLevel="0" collapsed="false">
      <c r="B369" s="32"/>
    </row>
    <row r="370" customFormat="false" ht="15" hidden="false" customHeight="false" outlineLevel="0" collapsed="false">
      <c r="B370" s="32"/>
    </row>
    <row r="371" customFormat="false" ht="15" hidden="false" customHeight="false" outlineLevel="0" collapsed="false">
      <c r="B371" s="32"/>
    </row>
    <row r="372" customFormat="false" ht="15" hidden="false" customHeight="false" outlineLevel="0" collapsed="false">
      <c r="B372" s="32"/>
    </row>
    <row r="373" customFormat="false" ht="15" hidden="false" customHeight="false" outlineLevel="0" collapsed="false">
      <c r="B373" s="32"/>
    </row>
    <row r="374" customFormat="false" ht="15" hidden="false" customHeight="false" outlineLevel="0" collapsed="false">
      <c r="B374" s="32"/>
    </row>
    <row r="375" customFormat="false" ht="15" hidden="false" customHeight="false" outlineLevel="0" collapsed="false">
      <c r="B375" s="32"/>
    </row>
    <row r="376" customFormat="false" ht="15" hidden="false" customHeight="false" outlineLevel="0" collapsed="false">
      <c r="B376" s="32"/>
    </row>
    <row r="377" customFormat="false" ht="15" hidden="false" customHeight="false" outlineLevel="0" collapsed="false">
      <c r="B377" s="32"/>
    </row>
    <row r="378" customFormat="false" ht="15" hidden="false" customHeight="false" outlineLevel="0" collapsed="false">
      <c r="B378" s="32"/>
    </row>
    <row r="379" customFormat="false" ht="15" hidden="false" customHeight="false" outlineLevel="0" collapsed="false">
      <c r="B379" s="32"/>
    </row>
    <row r="380" customFormat="false" ht="15" hidden="false" customHeight="false" outlineLevel="0" collapsed="false">
      <c r="B380" s="32"/>
    </row>
    <row r="381" customFormat="false" ht="15" hidden="false" customHeight="false" outlineLevel="0" collapsed="false">
      <c r="B381" s="32"/>
    </row>
    <row r="382" customFormat="false" ht="15" hidden="false" customHeight="false" outlineLevel="0" collapsed="false">
      <c r="B382" s="32"/>
    </row>
    <row r="383" customFormat="false" ht="15" hidden="false" customHeight="false" outlineLevel="0" collapsed="false">
      <c r="B383" s="32"/>
    </row>
    <row r="384" customFormat="false" ht="15" hidden="false" customHeight="false" outlineLevel="0" collapsed="false">
      <c r="B384" s="32"/>
    </row>
    <row r="385" customFormat="false" ht="15" hidden="false" customHeight="false" outlineLevel="0" collapsed="false">
      <c r="B385" s="32"/>
    </row>
    <row r="386" customFormat="false" ht="15" hidden="false" customHeight="false" outlineLevel="0" collapsed="false">
      <c r="B386" s="32"/>
    </row>
    <row r="387" customFormat="false" ht="15" hidden="false" customHeight="false" outlineLevel="0" collapsed="false">
      <c r="B387" s="32"/>
    </row>
    <row r="388" customFormat="false" ht="15" hidden="false" customHeight="false" outlineLevel="0" collapsed="false">
      <c r="B388" s="32"/>
    </row>
    <row r="389" customFormat="false" ht="15" hidden="false" customHeight="false" outlineLevel="0" collapsed="false">
      <c r="B389" s="32"/>
    </row>
    <row r="390" customFormat="false" ht="15" hidden="false" customHeight="false" outlineLevel="0" collapsed="false">
      <c r="B390" s="32"/>
    </row>
    <row r="391" customFormat="false" ht="15" hidden="false" customHeight="false" outlineLevel="0" collapsed="false">
      <c r="B391" s="32"/>
    </row>
    <row r="392" customFormat="false" ht="15" hidden="false" customHeight="false" outlineLevel="0" collapsed="false">
      <c r="B392" s="32"/>
    </row>
    <row r="393" customFormat="false" ht="15" hidden="false" customHeight="false" outlineLevel="0" collapsed="false">
      <c r="B393" s="32"/>
    </row>
    <row r="394" customFormat="false" ht="15" hidden="false" customHeight="false" outlineLevel="0" collapsed="false">
      <c r="B394" s="32"/>
    </row>
    <row r="395" customFormat="false" ht="15" hidden="false" customHeight="false" outlineLevel="0" collapsed="false">
      <c r="B395" s="32"/>
    </row>
    <row r="396" customFormat="false" ht="15" hidden="false" customHeight="false" outlineLevel="0" collapsed="false">
      <c r="B396" s="32"/>
    </row>
    <row r="397" customFormat="false" ht="15" hidden="false" customHeight="false" outlineLevel="0" collapsed="false">
      <c r="B397" s="32"/>
    </row>
    <row r="398" customFormat="false" ht="15" hidden="false" customHeight="false" outlineLevel="0" collapsed="false">
      <c r="B398" s="32"/>
    </row>
    <row r="399" customFormat="false" ht="15" hidden="false" customHeight="false" outlineLevel="0" collapsed="false">
      <c r="B399" s="32"/>
    </row>
    <row r="400" customFormat="false" ht="15" hidden="false" customHeight="false" outlineLevel="0" collapsed="false">
      <c r="B400" s="32"/>
    </row>
    <row r="401" customFormat="false" ht="15" hidden="false" customHeight="false" outlineLevel="0" collapsed="false">
      <c r="B401" s="32"/>
    </row>
    <row r="402" customFormat="false" ht="15" hidden="false" customHeight="false" outlineLevel="0" collapsed="false">
      <c r="B402" s="32"/>
    </row>
    <row r="403" customFormat="false" ht="15" hidden="false" customHeight="false" outlineLevel="0" collapsed="false">
      <c r="B403" s="32"/>
    </row>
    <row r="404" customFormat="false" ht="15" hidden="false" customHeight="false" outlineLevel="0" collapsed="false">
      <c r="B404" s="32"/>
    </row>
    <row r="405" customFormat="false" ht="15" hidden="false" customHeight="false" outlineLevel="0" collapsed="false">
      <c r="B405" s="32"/>
    </row>
    <row r="406" customFormat="false" ht="15" hidden="false" customHeight="false" outlineLevel="0" collapsed="false">
      <c r="B406" s="32"/>
    </row>
    <row r="407" customFormat="false" ht="15" hidden="false" customHeight="false" outlineLevel="0" collapsed="false">
      <c r="B407" s="32"/>
    </row>
    <row r="408" customFormat="false" ht="15" hidden="false" customHeight="false" outlineLevel="0" collapsed="false">
      <c r="B408" s="32"/>
    </row>
    <row r="409" customFormat="false" ht="15" hidden="false" customHeight="false" outlineLevel="0" collapsed="false">
      <c r="B409" s="32"/>
    </row>
    <row r="410" customFormat="false" ht="15" hidden="false" customHeight="false" outlineLevel="0" collapsed="false">
      <c r="B410" s="32"/>
    </row>
    <row r="411" customFormat="false" ht="15" hidden="false" customHeight="false" outlineLevel="0" collapsed="false">
      <c r="B411" s="32"/>
    </row>
    <row r="412" customFormat="false" ht="15" hidden="false" customHeight="false" outlineLevel="0" collapsed="false">
      <c r="B412" s="32"/>
    </row>
    <row r="413" customFormat="false" ht="15" hidden="false" customHeight="false" outlineLevel="0" collapsed="false">
      <c r="B413" s="32"/>
    </row>
    <row r="414" customFormat="false" ht="15" hidden="false" customHeight="false" outlineLevel="0" collapsed="false">
      <c r="B414" s="32"/>
    </row>
    <row r="415" customFormat="false" ht="15" hidden="false" customHeight="false" outlineLevel="0" collapsed="false">
      <c r="B415" s="32"/>
    </row>
    <row r="416" customFormat="false" ht="15" hidden="false" customHeight="false" outlineLevel="0" collapsed="false">
      <c r="B416" s="32"/>
    </row>
    <row r="417" customFormat="false" ht="15" hidden="false" customHeight="false" outlineLevel="0" collapsed="false">
      <c r="B417" s="32"/>
    </row>
    <row r="418" customFormat="false" ht="15" hidden="false" customHeight="false" outlineLevel="0" collapsed="false">
      <c r="B418" s="32"/>
    </row>
    <row r="419" customFormat="false" ht="15" hidden="false" customHeight="false" outlineLevel="0" collapsed="false">
      <c r="B419" s="32"/>
    </row>
    <row r="420" customFormat="false" ht="15" hidden="false" customHeight="false" outlineLevel="0" collapsed="false">
      <c r="B420" s="32"/>
    </row>
    <row r="421" customFormat="false" ht="15" hidden="false" customHeight="false" outlineLevel="0" collapsed="false">
      <c r="B421" s="32"/>
    </row>
    <row r="422" customFormat="false" ht="15" hidden="false" customHeight="false" outlineLevel="0" collapsed="false">
      <c r="B422" s="32"/>
    </row>
    <row r="423" customFormat="false" ht="15" hidden="false" customHeight="false" outlineLevel="0" collapsed="false">
      <c r="B423" s="32"/>
    </row>
    <row r="424" customFormat="false" ht="15" hidden="false" customHeight="false" outlineLevel="0" collapsed="false">
      <c r="B424" s="32"/>
    </row>
    <row r="425" customFormat="false" ht="15" hidden="false" customHeight="false" outlineLevel="0" collapsed="false">
      <c r="B425" s="32"/>
    </row>
    <row r="426" customFormat="false" ht="15" hidden="false" customHeight="false" outlineLevel="0" collapsed="false">
      <c r="B426" s="32"/>
    </row>
    <row r="427" customFormat="false" ht="15" hidden="false" customHeight="false" outlineLevel="0" collapsed="false">
      <c r="B427" s="32"/>
    </row>
    <row r="428" customFormat="false" ht="15" hidden="false" customHeight="false" outlineLevel="0" collapsed="false">
      <c r="B428" s="32"/>
    </row>
    <row r="429" customFormat="false" ht="15" hidden="false" customHeight="false" outlineLevel="0" collapsed="false">
      <c r="B429" s="32"/>
    </row>
    <row r="430" customFormat="false" ht="15" hidden="false" customHeight="false" outlineLevel="0" collapsed="false">
      <c r="B430" s="32"/>
    </row>
    <row r="431" customFormat="false" ht="15" hidden="false" customHeight="false" outlineLevel="0" collapsed="false">
      <c r="B431" s="32"/>
    </row>
    <row r="432" customFormat="false" ht="15" hidden="false" customHeight="false" outlineLevel="0" collapsed="false">
      <c r="B432" s="32"/>
    </row>
    <row r="433" customFormat="false" ht="15" hidden="false" customHeight="false" outlineLevel="0" collapsed="false">
      <c r="B433" s="32"/>
    </row>
    <row r="434" customFormat="false" ht="15" hidden="false" customHeight="false" outlineLevel="0" collapsed="false">
      <c r="B434" s="32"/>
    </row>
    <row r="435" customFormat="false" ht="15" hidden="false" customHeight="false" outlineLevel="0" collapsed="false">
      <c r="B435" s="32"/>
    </row>
    <row r="436" customFormat="false" ht="15" hidden="false" customHeight="false" outlineLevel="0" collapsed="false">
      <c r="B436" s="32"/>
    </row>
    <row r="437" customFormat="false" ht="15" hidden="false" customHeight="false" outlineLevel="0" collapsed="false">
      <c r="B437" s="32"/>
    </row>
    <row r="438" customFormat="false" ht="15" hidden="false" customHeight="false" outlineLevel="0" collapsed="false">
      <c r="B438" s="32"/>
    </row>
    <row r="439" customFormat="false" ht="15" hidden="false" customHeight="false" outlineLevel="0" collapsed="false">
      <c r="B439" s="32"/>
    </row>
    <row r="440" customFormat="false" ht="15" hidden="false" customHeight="false" outlineLevel="0" collapsed="false">
      <c r="B440" s="32"/>
    </row>
    <row r="441" customFormat="false" ht="15" hidden="false" customHeight="false" outlineLevel="0" collapsed="false">
      <c r="B441" s="32"/>
    </row>
    <row r="442" customFormat="false" ht="15" hidden="false" customHeight="false" outlineLevel="0" collapsed="false">
      <c r="B442" s="32"/>
    </row>
    <row r="443" customFormat="false" ht="15" hidden="false" customHeight="false" outlineLevel="0" collapsed="false">
      <c r="B443" s="32"/>
    </row>
    <row r="444" customFormat="false" ht="15" hidden="false" customHeight="false" outlineLevel="0" collapsed="false">
      <c r="B444" s="32"/>
    </row>
    <row r="445" customFormat="false" ht="15" hidden="false" customHeight="false" outlineLevel="0" collapsed="false">
      <c r="B445" s="32"/>
    </row>
    <row r="446" customFormat="false" ht="15" hidden="false" customHeight="false" outlineLevel="0" collapsed="false">
      <c r="B446" s="32"/>
    </row>
    <row r="447" customFormat="false" ht="15" hidden="false" customHeight="false" outlineLevel="0" collapsed="false">
      <c r="B447" s="32"/>
    </row>
    <row r="448" customFormat="false" ht="15" hidden="false" customHeight="false" outlineLevel="0" collapsed="false">
      <c r="B448" s="32"/>
    </row>
    <row r="449" customFormat="false" ht="15" hidden="false" customHeight="false" outlineLevel="0" collapsed="false">
      <c r="B449" s="32"/>
    </row>
    <row r="450" customFormat="false" ht="15" hidden="false" customHeight="false" outlineLevel="0" collapsed="false">
      <c r="B450" s="32"/>
    </row>
    <row r="451" customFormat="false" ht="15" hidden="false" customHeight="false" outlineLevel="0" collapsed="false">
      <c r="B451" s="32"/>
    </row>
    <row r="452" customFormat="false" ht="15" hidden="false" customHeight="false" outlineLevel="0" collapsed="false">
      <c r="B452" s="32"/>
    </row>
    <row r="453" customFormat="false" ht="15" hidden="false" customHeight="false" outlineLevel="0" collapsed="false">
      <c r="B453" s="32"/>
    </row>
    <row r="454" customFormat="false" ht="15" hidden="false" customHeight="false" outlineLevel="0" collapsed="false">
      <c r="B454" s="32"/>
    </row>
    <row r="455" customFormat="false" ht="15" hidden="false" customHeight="false" outlineLevel="0" collapsed="false">
      <c r="B455" s="32"/>
    </row>
    <row r="456" customFormat="false" ht="15" hidden="false" customHeight="false" outlineLevel="0" collapsed="false">
      <c r="B456" s="32"/>
    </row>
    <row r="457" customFormat="false" ht="15" hidden="false" customHeight="false" outlineLevel="0" collapsed="false">
      <c r="B457" s="32"/>
    </row>
    <row r="458" customFormat="false" ht="15" hidden="false" customHeight="false" outlineLevel="0" collapsed="false">
      <c r="B458" s="32"/>
    </row>
    <row r="459" customFormat="false" ht="15" hidden="false" customHeight="false" outlineLevel="0" collapsed="false">
      <c r="B459" s="32"/>
    </row>
    <row r="460" customFormat="false" ht="15" hidden="false" customHeight="false" outlineLevel="0" collapsed="false">
      <c r="B460" s="32"/>
    </row>
    <row r="461" customFormat="false" ht="15" hidden="false" customHeight="false" outlineLevel="0" collapsed="false">
      <c r="B461" s="32"/>
    </row>
    <row r="462" customFormat="false" ht="15" hidden="false" customHeight="false" outlineLevel="0" collapsed="false">
      <c r="B462" s="32"/>
    </row>
    <row r="463" customFormat="false" ht="15" hidden="false" customHeight="false" outlineLevel="0" collapsed="false">
      <c r="B463" s="32"/>
    </row>
    <row r="464" customFormat="false" ht="15" hidden="false" customHeight="false" outlineLevel="0" collapsed="false">
      <c r="B464" s="32"/>
    </row>
    <row r="465" customFormat="false" ht="15" hidden="false" customHeight="false" outlineLevel="0" collapsed="false">
      <c r="B465" s="32"/>
    </row>
    <row r="466" customFormat="false" ht="15" hidden="false" customHeight="false" outlineLevel="0" collapsed="false">
      <c r="B466" s="32"/>
    </row>
    <row r="467" customFormat="false" ht="15" hidden="false" customHeight="false" outlineLevel="0" collapsed="false">
      <c r="B467" s="32"/>
    </row>
    <row r="468" customFormat="false" ht="15" hidden="false" customHeight="false" outlineLevel="0" collapsed="false">
      <c r="B468" s="32"/>
    </row>
    <row r="469" customFormat="false" ht="15" hidden="false" customHeight="false" outlineLevel="0" collapsed="false">
      <c r="B469" s="32"/>
    </row>
    <row r="470" customFormat="false" ht="15" hidden="false" customHeight="false" outlineLevel="0" collapsed="false">
      <c r="B470" s="32"/>
    </row>
    <row r="471" customFormat="false" ht="15" hidden="false" customHeight="false" outlineLevel="0" collapsed="false">
      <c r="B471" s="32"/>
    </row>
    <row r="472" customFormat="false" ht="15" hidden="false" customHeight="false" outlineLevel="0" collapsed="false">
      <c r="B472" s="32"/>
    </row>
    <row r="473" customFormat="false" ht="15" hidden="false" customHeight="false" outlineLevel="0" collapsed="false">
      <c r="B473" s="32"/>
    </row>
    <row r="474" customFormat="false" ht="15" hidden="false" customHeight="false" outlineLevel="0" collapsed="false">
      <c r="B474" s="32"/>
    </row>
    <row r="475" customFormat="false" ht="15" hidden="false" customHeight="false" outlineLevel="0" collapsed="false">
      <c r="B475" s="32"/>
    </row>
    <row r="476" customFormat="false" ht="15" hidden="false" customHeight="false" outlineLevel="0" collapsed="false">
      <c r="B476" s="32"/>
    </row>
    <row r="477" customFormat="false" ht="15" hidden="false" customHeight="false" outlineLevel="0" collapsed="false">
      <c r="B477" s="32"/>
    </row>
    <row r="478" customFormat="false" ht="15" hidden="false" customHeight="false" outlineLevel="0" collapsed="false">
      <c r="B478" s="32"/>
    </row>
    <row r="479" customFormat="false" ht="15" hidden="false" customHeight="false" outlineLevel="0" collapsed="false">
      <c r="B479" s="32"/>
    </row>
    <row r="480" customFormat="false" ht="15" hidden="false" customHeight="false" outlineLevel="0" collapsed="false">
      <c r="B480" s="32"/>
    </row>
    <row r="481" customFormat="false" ht="15" hidden="false" customHeight="false" outlineLevel="0" collapsed="false">
      <c r="B481" s="32"/>
    </row>
    <row r="482" customFormat="false" ht="15" hidden="false" customHeight="false" outlineLevel="0" collapsed="false">
      <c r="B482" s="32"/>
    </row>
    <row r="483" customFormat="false" ht="15" hidden="false" customHeight="false" outlineLevel="0" collapsed="false">
      <c r="B483" s="32"/>
    </row>
    <row r="484" customFormat="false" ht="15" hidden="false" customHeight="false" outlineLevel="0" collapsed="false">
      <c r="B484" s="32"/>
    </row>
    <row r="485" customFormat="false" ht="15" hidden="false" customHeight="false" outlineLevel="0" collapsed="false">
      <c r="B485" s="32"/>
    </row>
    <row r="486" customFormat="false" ht="15" hidden="false" customHeight="false" outlineLevel="0" collapsed="false">
      <c r="B486" s="32"/>
    </row>
    <row r="487" customFormat="false" ht="15" hidden="false" customHeight="false" outlineLevel="0" collapsed="false">
      <c r="B487" s="32"/>
    </row>
    <row r="488" customFormat="false" ht="15" hidden="false" customHeight="false" outlineLevel="0" collapsed="false">
      <c r="B488" s="32"/>
    </row>
    <row r="489" customFormat="false" ht="15" hidden="false" customHeight="false" outlineLevel="0" collapsed="false">
      <c r="B489" s="32"/>
    </row>
    <row r="490" customFormat="false" ht="15" hidden="false" customHeight="false" outlineLevel="0" collapsed="false">
      <c r="B490" s="32"/>
    </row>
    <row r="491" customFormat="false" ht="15" hidden="false" customHeight="false" outlineLevel="0" collapsed="false">
      <c r="B491" s="32"/>
    </row>
    <row r="492" customFormat="false" ht="15" hidden="false" customHeight="false" outlineLevel="0" collapsed="false">
      <c r="B492" s="32"/>
    </row>
    <row r="493" customFormat="false" ht="15" hidden="false" customHeight="false" outlineLevel="0" collapsed="false">
      <c r="B493" s="32"/>
    </row>
    <row r="494" customFormat="false" ht="15" hidden="false" customHeight="false" outlineLevel="0" collapsed="false">
      <c r="B494" s="32"/>
    </row>
    <row r="495" customFormat="false" ht="15" hidden="false" customHeight="false" outlineLevel="0" collapsed="false">
      <c r="B495" s="32"/>
    </row>
    <row r="496" customFormat="false" ht="15" hidden="false" customHeight="false" outlineLevel="0" collapsed="false">
      <c r="B496" s="32"/>
    </row>
    <row r="497" customFormat="false" ht="15" hidden="false" customHeight="false" outlineLevel="0" collapsed="false">
      <c r="B497" s="32"/>
    </row>
    <row r="498" customFormat="false" ht="15" hidden="false" customHeight="false" outlineLevel="0" collapsed="false">
      <c r="B498" s="32"/>
    </row>
    <row r="499" customFormat="false" ht="15" hidden="false" customHeight="false" outlineLevel="0" collapsed="false">
      <c r="B499" s="32"/>
    </row>
    <row r="500" customFormat="false" ht="15" hidden="false" customHeight="false" outlineLevel="0" collapsed="false">
      <c r="B500" s="32"/>
    </row>
    <row r="501" customFormat="false" ht="15" hidden="false" customHeight="false" outlineLevel="0" collapsed="false">
      <c r="B501" s="32"/>
    </row>
    <row r="502" customFormat="false" ht="15" hidden="false" customHeight="false" outlineLevel="0" collapsed="false">
      <c r="B502" s="32"/>
    </row>
    <row r="503" customFormat="false" ht="15" hidden="false" customHeight="false" outlineLevel="0" collapsed="false">
      <c r="B503" s="32"/>
    </row>
    <row r="504" customFormat="false" ht="15" hidden="false" customHeight="false" outlineLevel="0" collapsed="false">
      <c r="B504" s="32"/>
    </row>
    <row r="505" customFormat="false" ht="15" hidden="false" customHeight="false" outlineLevel="0" collapsed="false">
      <c r="B505" s="32"/>
    </row>
    <row r="506" customFormat="false" ht="15" hidden="false" customHeight="false" outlineLevel="0" collapsed="false">
      <c r="B506" s="32"/>
    </row>
    <row r="507" customFormat="false" ht="15" hidden="false" customHeight="false" outlineLevel="0" collapsed="false">
      <c r="B507" s="32"/>
    </row>
    <row r="508" customFormat="false" ht="15" hidden="false" customHeight="false" outlineLevel="0" collapsed="false">
      <c r="B508" s="32"/>
    </row>
    <row r="509" customFormat="false" ht="15" hidden="false" customHeight="false" outlineLevel="0" collapsed="false">
      <c r="B509" s="32"/>
    </row>
    <row r="510" customFormat="false" ht="15" hidden="false" customHeight="false" outlineLevel="0" collapsed="false">
      <c r="B510" s="32"/>
    </row>
    <row r="511" customFormat="false" ht="15" hidden="false" customHeight="false" outlineLevel="0" collapsed="false">
      <c r="B511" s="32"/>
    </row>
    <row r="512" customFormat="false" ht="15" hidden="false" customHeight="false" outlineLevel="0" collapsed="false">
      <c r="B512" s="32"/>
    </row>
    <row r="513" customFormat="false" ht="15" hidden="false" customHeight="false" outlineLevel="0" collapsed="false">
      <c r="B513" s="32"/>
    </row>
    <row r="514" customFormat="false" ht="15" hidden="false" customHeight="false" outlineLevel="0" collapsed="false">
      <c r="B514" s="32"/>
    </row>
    <row r="515" customFormat="false" ht="15" hidden="false" customHeight="false" outlineLevel="0" collapsed="false">
      <c r="B515" s="32"/>
    </row>
    <row r="516" customFormat="false" ht="15" hidden="false" customHeight="false" outlineLevel="0" collapsed="false">
      <c r="B516" s="32"/>
    </row>
    <row r="517" customFormat="false" ht="15" hidden="false" customHeight="false" outlineLevel="0" collapsed="false">
      <c r="B517" s="32"/>
    </row>
    <row r="518" customFormat="false" ht="15" hidden="false" customHeight="false" outlineLevel="0" collapsed="false">
      <c r="B518" s="32"/>
    </row>
    <row r="519" customFormat="false" ht="15" hidden="false" customHeight="false" outlineLevel="0" collapsed="false">
      <c r="B519" s="32"/>
    </row>
    <row r="520" customFormat="false" ht="15" hidden="false" customHeight="false" outlineLevel="0" collapsed="false">
      <c r="B520" s="32"/>
    </row>
    <row r="521" customFormat="false" ht="15" hidden="false" customHeight="false" outlineLevel="0" collapsed="false">
      <c r="B521" s="32"/>
    </row>
    <row r="522" customFormat="false" ht="15" hidden="false" customHeight="false" outlineLevel="0" collapsed="false">
      <c r="B522" s="32"/>
    </row>
    <row r="523" customFormat="false" ht="15" hidden="false" customHeight="false" outlineLevel="0" collapsed="false">
      <c r="B523" s="32"/>
    </row>
    <row r="524" customFormat="false" ht="15" hidden="false" customHeight="false" outlineLevel="0" collapsed="false">
      <c r="B524" s="32"/>
    </row>
    <row r="525" customFormat="false" ht="15" hidden="false" customHeight="false" outlineLevel="0" collapsed="false">
      <c r="B525" s="32"/>
    </row>
    <row r="526" customFormat="false" ht="15" hidden="false" customHeight="false" outlineLevel="0" collapsed="false">
      <c r="B526" s="32"/>
    </row>
    <row r="527" customFormat="false" ht="15" hidden="false" customHeight="false" outlineLevel="0" collapsed="false">
      <c r="B527" s="32"/>
    </row>
    <row r="528" customFormat="false" ht="15" hidden="false" customHeight="false" outlineLevel="0" collapsed="false">
      <c r="B528" s="32"/>
    </row>
    <row r="529" customFormat="false" ht="15" hidden="false" customHeight="false" outlineLevel="0" collapsed="false">
      <c r="B529" s="32"/>
    </row>
    <row r="530" customFormat="false" ht="15" hidden="false" customHeight="false" outlineLevel="0" collapsed="false">
      <c r="B530" s="32"/>
    </row>
    <row r="531" customFormat="false" ht="15" hidden="false" customHeight="false" outlineLevel="0" collapsed="false">
      <c r="B531" s="32"/>
    </row>
    <row r="532" customFormat="false" ht="15" hidden="false" customHeight="false" outlineLevel="0" collapsed="false">
      <c r="B532" s="32"/>
    </row>
    <row r="533" customFormat="false" ht="15" hidden="false" customHeight="false" outlineLevel="0" collapsed="false">
      <c r="B533" s="32"/>
    </row>
    <row r="534" customFormat="false" ht="15" hidden="false" customHeight="false" outlineLevel="0" collapsed="false">
      <c r="B534" s="32"/>
    </row>
    <row r="535" customFormat="false" ht="15" hidden="false" customHeight="false" outlineLevel="0" collapsed="false">
      <c r="B535" s="32"/>
    </row>
    <row r="536" customFormat="false" ht="15" hidden="false" customHeight="false" outlineLevel="0" collapsed="false">
      <c r="B536" s="32"/>
    </row>
    <row r="537" customFormat="false" ht="15" hidden="false" customHeight="false" outlineLevel="0" collapsed="false">
      <c r="B537" s="32"/>
    </row>
    <row r="538" customFormat="false" ht="15" hidden="false" customHeight="false" outlineLevel="0" collapsed="false">
      <c r="B538" s="32"/>
    </row>
    <row r="539" customFormat="false" ht="15" hidden="false" customHeight="false" outlineLevel="0" collapsed="false">
      <c r="B539" s="32"/>
    </row>
    <row r="540" customFormat="false" ht="15" hidden="false" customHeight="false" outlineLevel="0" collapsed="false">
      <c r="B540" s="32"/>
    </row>
    <row r="541" customFormat="false" ht="15" hidden="false" customHeight="false" outlineLevel="0" collapsed="false">
      <c r="B541" s="32"/>
    </row>
    <row r="542" customFormat="false" ht="15" hidden="false" customHeight="false" outlineLevel="0" collapsed="false">
      <c r="B542" s="32"/>
    </row>
    <row r="543" customFormat="false" ht="15" hidden="false" customHeight="false" outlineLevel="0" collapsed="false">
      <c r="B543" s="32"/>
    </row>
    <row r="544" customFormat="false" ht="15" hidden="false" customHeight="false" outlineLevel="0" collapsed="false">
      <c r="B544" s="32"/>
    </row>
    <row r="545" customFormat="false" ht="15" hidden="false" customHeight="false" outlineLevel="0" collapsed="false">
      <c r="B545" s="32"/>
    </row>
    <row r="546" customFormat="false" ht="15" hidden="false" customHeight="false" outlineLevel="0" collapsed="false">
      <c r="B546" s="32"/>
    </row>
    <row r="547" customFormat="false" ht="15" hidden="false" customHeight="false" outlineLevel="0" collapsed="false">
      <c r="B547" s="32"/>
    </row>
    <row r="548" customFormat="false" ht="15" hidden="false" customHeight="false" outlineLevel="0" collapsed="false">
      <c r="B548" s="32"/>
    </row>
    <row r="549" customFormat="false" ht="15" hidden="false" customHeight="false" outlineLevel="0" collapsed="false">
      <c r="B549" s="32"/>
    </row>
    <row r="550" customFormat="false" ht="15" hidden="false" customHeight="false" outlineLevel="0" collapsed="false">
      <c r="B550" s="32"/>
    </row>
    <row r="551" customFormat="false" ht="15" hidden="false" customHeight="false" outlineLevel="0" collapsed="false">
      <c r="B551" s="32"/>
    </row>
    <row r="552" customFormat="false" ht="15" hidden="false" customHeight="false" outlineLevel="0" collapsed="false">
      <c r="B552" s="32"/>
    </row>
    <row r="553" customFormat="false" ht="15" hidden="false" customHeight="false" outlineLevel="0" collapsed="false">
      <c r="B553" s="32"/>
    </row>
    <row r="554" customFormat="false" ht="15" hidden="false" customHeight="false" outlineLevel="0" collapsed="false">
      <c r="B554" s="32"/>
    </row>
    <row r="555" customFormat="false" ht="15" hidden="false" customHeight="false" outlineLevel="0" collapsed="false">
      <c r="B555" s="32"/>
    </row>
    <row r="556" customFormat="false" ht="15" hidden="false" customHeight="false" outlineLevel="0" collapsed="false">
      <c r="B556" s="32"/>
    </row>
    <row r="557" customFormat="false" ht="15" hidden="false" customHeight="false" outlineLevel="0" collapsed="false">
      <c r="B557" s="32"/>
    </row>
    <row r="558" customFormat="false" ht="15" hidden="false" customHeight="false" outlineLevel="0" collapsed="false">
      <c r="B558" s="32"/>
    </row>
    <row r="559" customFormat="false" ht="15" hidden="false" customHeight="false" outlineLevel="0" collapsed="false">
      <c r="B559" s="32"/>
    </row>
    <row r="560" customFormat="false" ht="15" hidden="false" customHeight="false" outlineLevel="0" collapsed="false">
      <c r="B560" s="32"/>
    </row>
    <row r="561" customFormat="false" ht="15" hidden="false" customHeight="false" outlineLevel="0" collapsed="false">
      <c r="B561" s="32"/>
    </row>
    <row r="562" customFormat="false" ht="15" hidden="false" customHeight="false" outlineLevel="0" collapsed="false">
      <c r="B562" s="32"/>
    </row>
    <row r="563" customFormat="false" ht="15" hidden="false" customHeight="false" outlineLevel="0" collapsed="false">
      <c r="B563" s="32"/>
    </row>
    <row r="564" customFormat="false" ht="15" hidden="false" customHeight="false" outlineLevel="0" collapsed="false">
      <c r="B564" s="32"/>
    </row>
    <row r="565" customFormat="false" ht="15" hidden="false" customHeight="false" outlineLevel="0" collapsed="false">
      <c r="B565" s="32"/>
    </row>
    <row r="566" customFormat="false" ht="15" hidden="false" customHeight="false" outlineLevel="0" collapsed="false">
      <c r="B566" s="32"/>
    </row>
    <row r="567" customFormat="false" ht="15" hidden="false" customHeight="false" outlineLevel="0" collapsed="false">
      <c r="B567" s="32"/>
    </row>
    <row r="568" customFormat="false" ht="15" hidden="false" customHeight="false" outlineLevel="0" collapsed="false">
      <c r="B568" s="32"/>
    </row>
    <row r="569" customFormat="false" ht="15" hidden="false" customHeight="false" outlineLevel="0" collapsed="false">
      <c r="B569" s="32"/>
    </row>
    <row r="570" customFormat="false" ht="15" hidden="false" customHeight="false" outlineLevel="0" collapsed="false">
      <c r="B570" s="32"/>
    </row>
    <row r="571" customFormat="false" ht="15" hidden="false" customHeight="false" outlineLevel="0" collapsed="false">
      <c r="B571" s="32"/>
    </row>
    <row r="572" customFormat="false" ht="15" hidden="false" customHeight="false" outlineLevel="0" collapsed="false">
      <c r="B572" s="32"/>
    </row>
    <row r="573" customFormat="false" ht="15" hidden="false" customHeight="false" outlineLevel="0" collapsed="false">
      <c r="B573" s="32"/>
    </row>
    <row r="574" customFormat="false" ht="15" hidden="false" customHeight="false" outlineLevel="0" collapsed="false">
      <c r="B574" s="32"/>
    </row>
    <row r="575" customFormat="false" ht="15" hidden="false" customHeight="false" outlineLevel="0" collapsed="false">
      <c r="B575" s="32"/>
    </row>
    <row r="576" customFormat="false" ht="15" hidden="false" customHeight="false" outlineLevel="0" collapsed="false">
      <c r="B576" s="32"/>
    </row>
    <row r="577" customFormat="false" ht="15" hidden="false" customHeight="false" outlineLevel="0" collapsed="false">
      <c r="B577" s="32"/>
    </row>
    <row r="578" customFormat="false" ht="15" hidden="false" customHeight="false" outlineLevel="0" collapsed="false">
      <c r="B578" s="32"/>
    </row>
    <row r="579" customFormat="false" ht="15" hidden="false" customHeight="false" outlineLevel="0" collapsed="false">
      <c r="B579" s="32"/>
    </row>
    <row r="580" customFormat="false" ht="15" hidden="false" customHeight="false" outlineLevel="0" collapsed="false">
      <c r="B580" s="32"/>
    </row>
    <row r="581" customFormat="false" ht="15" hidden="false" customHeight="false" outlineLevel="0" collapsed="false">
      <c r="B581" s="32"/>
    </row>
    <row r="582" customFormat="false" ht="15" hidden="false" customHeight="false" outlineLevel="0" collapsed="false">
      <c r="B582" s="32"/>
    </row>
    <row r="583" customFormat="false" ht="15" hidden="false" customHeight="false" outlineLevel="0" collapsed="false">
      <c r="B583" s="32"/>
    </row>
    <row r="584" customFormat="false" ht="15" hidden="false" customHeight="false" outlineLevel="0" collapsed="false">
      <c r="B584" s="32"/>
    </row>
    <row r="585" customFormat="false" ht="15" hidden="false" customHeight="false" outlineLevel="0" collapsed="false">
      <c r="B585" s="32"/>
    </row>
    <row r="586" customFormat="false" ht="15" hidden="false" customHeight="false" outlineLevel="0" collapsed="false">
      <c r="B586" s="32"/>
    </row>
    <row r="587" customFormat="false" ht="15" hidden="false" customHeight="false" outlineLevel="0" collapsed="false">
      <c r="B587" s="32"/>
    </row>
    <row r="588" customFormat="false" ht="15" hidden="false" customHeight="false" outlineLevel="0" collapsed="false">
      <c r="B588" s="32"/>
    </row>
    <row r="589" customFormat="false" ht="15" hidden="false" customHeight="false" outlineLevel="0" collapsed="false">
      <c r="B589" s="32"/>
    </row>
    <row r="590" customFormat="false" ht="15" hidden="false" customHeight="false" outlineLevel="0" collapsed="false">
      <c r="B590" s="32"/>
    </row>
    <row r="591" customFormat="false" ht="15" hidden="false" customHeight="false" outlineLevel="0" collapsed="false">
      <c r="B591" s="32"/>
    </row>
    <row r="592" customFormat="false" ht="15" hidden="false" customHeight="false" outlineLevel="0" collapsed="false">
      <c r="B592" s="32"/>
    </row>
    <row r="593" customFormat="false" ht="15" hidden="false" customHeight="false" outlineLevel="0" collapsed="false">
      <c r="B593" s="32"/>
    </row>
    <row r="594" customFormat="false" ht="15" hidden="false" customHeight="false" outlineLevel="0" collapsed="false">
      <c r="B594" s="32"/>
    </row>
    <row r="595" customFormat="false" ht="15" hidden="false" customHeight="false" outlineLevel="0" collapsed="false">
      <c r="B595" s="32"/>
    </row>
    <row r="596" customFormat="false" ht="15" hidden="false" customHeight="false" outlineLevel="0" collapsed="false">
      <c r="B596" s="32"/>
    </row>
    <row r="597" customFormat="false" ht="15" hidden="false" customHeight="false" outlineLevel="0" collapsed="false">
      <c r="B597" s="32"/>
    </row>
    <row r="598" customFormat="false" ht="15" hidden="false" customHeight="false" outlineLevel="0" collapsed="false">
      <c r="B598" s="32"/>
    </row>
    <row r="599" customFormat="false" ht="15" hidden="false" customHeight="false" outlineLevel="0" collapsed="false">
      <c r="B599" s="32"/>
    </row>
    <row r="600" customFormat="false" ht="15" hidden="false" customHeight="false" outlineLevel="0" collapsed="false">
      <c r="B600" s="32"/>
    </row>
    <row r="601" customFormat="false" ht="15" hidden="false" customHeight="false" outlineLevel="0" collapsed="false">
      <c r="B601" s="32"/>
    </row>
    <row r="602" customFormat="false" ht="15" hidden="false" customHeight="false" outlineLevel="0" collapsed="false">
      <c r="B602" s="32"/>
    </row>
    <row r="603" customFormat="false" ht="15" hidden="false" customHeight="false" outlineLevel="0" collapsed="false">
      <c r="B603" s="32"/>
    </row>
    <row r="604" customFormat="false" ht="15" hidden="false" customHeight="false" outlineLevel="0" collapsed="false">
      <c r="B604" s="32"/>
    </row>
    <row r="605" customFormat="false" ht="15" hidden="false" customHeight="false" outlineLevel="0" collapsed="false">
      <c r="B605" s="32"/>
    </row>
    <row r="606" customFormat="false" ht="15" hidden="false" customHeight="false" outlineLevel="0" collapsed="false">
      <c r="B606" s="32"/>
    </row>
    <row r="607" customFormat="false" ht="15" hidden="false" customHeight="false" outlineLevel="0" collapsed="false">
      <c r="B607" s="32"/>
    </row>
    <row r="608" customFormat="false" ht="15" hidden="false" customHeight="false" outlineLevel="0" collapsed="false">
      <c r="B608" s="32"/>
    </row>
    <row r="609" customFormat="false" ht="15" hidden="false" customHeight="false" outlineLevel="0" collapsed="false">
      <c r="B609" s="32"/>
    </row>
    <row r="610" customFormat="false" ht="15" hidden="false" customHeight="false" outlineLevel="0" collapsed="false">
      <c r="B610" s="32"/>
    </row>
    <row r="611" customFormat="false" ht="15" hidden="false" customHeight="false" outlineLevel="0" collapsed="false">
      <c r="B611" s="32"/>
    </row>
    <row r="612" customFormat="false" ht="15" hidden="false" customHeight="false" outlineLevel="0" collapsed="false">
      <c r="B612" s="32"/>
    </row>
    <row r="613" customFormat="false" ht="15" hidden="false" customHeight="false" outlineLevel="0" collapsed="false">
      <c r="B613" s="32"/>
    </row>
    <row r="614" customFormat="false" ht="15" hidden="false" customHeight="false" outlineLevel="0" collapsed="false">
      <c r="B614" s="32"/>
    </row>
    <row r="615" customFormat="false" ht="15" hidden="false" customHeight="false" outlineLevel="0" collapsed="false">
      <c r="B615" s="32"/>
    </row>
    <row r="616" customFormat="false" ht="15" hidden="false" customHeight="false" outlineLevel="0" collapsed="false">
      <c r="B616" s="32"/>
    </row>
    <row r="617" customFormat="false" ht="15" hidden="false" customHeight="false" outlineLevel="0" collapsed="false">
      <c r="B617" s="32"/>
    </row>
    <row r="618" customFormat="false" ht="15" hidden="false" customHeight="false" outlineLevel="0" collapsed="false">
      <c r="B618" s="32"/>
    </row>
    <row r="619" customFormat="false" ht="15" hidden="false" customHeight="false" outlineLevel="0" collapsed="false">
      <c r="B619" s="32"/>
    </row>
    <row r="620" customFormat="false" ht="15" hidden="false" customHeight="false" outlineLevel="0" collapsed="false">
      <c r="B620" s="32"/>
    </row>
    <row r="621" customFormat="false" ht="15" hidden="false" customHeight="false" outlineLevel="0" collapsed="false">
      <c r="B621" s="32"/>
    </row>
    <row r="622" customFormat="false" ht="15" hidden="false" customHeight="false" outlineLevel="0" collapsed="false">
      <c r="B622" s="32"/>
    </row>
    <row r="623" customFormat="false" ht="15" hidden="false" customHeight="false" outlineLevel="0" collapsed="false">
      <c r="B623" s="32"/>
    </row>
    <row r="624" customFormat="false" ht="15" hidden="false" customHeight="false" outlineLevel="0" collapsed="false">
      <c r="B624" s="32"/>
    </row>
    <row r="625" customFormat="false" ht="15" hidden="false" customHeight="false" outlineLevel="0" collapsed="false">
      <c r="B625" s="32"/>
    </row>
    <row r="626" customFormat="false" ht="15" hidden="false" customHeight="false" outlineLevel="0" collapsed="false">
      <c r="B626" s="32"/>
    </row>
    <row r="627" customFormat="false" ht="15" hidden="false" customHeight="false" outlineLevel="0" collapsed="false">
      <c r="B627" s="32"/>
    </row>
    <row r="628" customFormat="false" ht="15" hidden="false" customHeight="false" outlineLevel="0" collapsed="false">
      <c r="B628" s="32"/>
    </row>
    <row r="629" customFormat="false" ht="15" hidden="false" customHeight="false" outlineLevel="0" collapsed="false">
      <c r="B629" s="32"/>
    </row>
    <row r="630" customFormat="false" ht="15" hidden="false" customHeight="false" outlineLevel="0" collapsed="false">
      <c r="B630" s="32"/>
    </row>
    <row r="631" customFormat="false" ht="15" hidden="false" customHeight="false" outlineLevel="0" collapsed="false">
      <c r="B631" s="32"/>
    </row>
    <row r="632" customFormat="false" ht="15" hidden="false" customHeight="false" outlineLevel="0" collapsed="false">
      <c r="B632" s="32"/>
    </row>
    <row r="633" customFormat="false" ht="15" hidden="false" customHeight="false" outlineLevel="0" collapsed="false">
      <c r="B633" s="32"/>
    </row>
    <row r="634" customFormat="false" ht="15" hidden="false" customHeight="false" outlineLevel="0" collapsed="false">
      <c r="B634" s="32"/>
    </row>
    <row r="635" customFormat="false" ht="15" hidden="false" customHeight="false" outlineLevel="0" collapsed="false">
      <c r="B635" s="32"/>
    </row>
    <row r="636" customFormat="false" ht="15" hidden="false" customHeight="false" outlineLevel="0" collapsed="false">
      <c r="B636" s="32"/>
    </row>
    <row r="637" customFormat="false" ht="15" hidden="false" customHeight="false" outlineLevel="0" collapsed="false">
      <c r="B637" s="32"/>
    </row>
    <row r="638" customFormat="false" ht="15" hidden="false" customHeight="false" outlineLevel="0" collapsed="false">
      <c r="B638" s="32"/>
    </row>
    <row r="639" customFormat="false" ht="15" hidden="false" customHeight="false" outlineLevel="0" collapsed="false">
      <c r="B639" s="32"/>
    </row>
    <row r="640" customFormat="false" ht="15" hidden="false" customHeight="false" outlineLevel="0" collapsed="false">
      <c r="B640" s="32"/>
    </row>
    <row r="641" customFormat="false" ht="15" hidden="false" customHeight="false" outlineLevel="0" collapsed="false">
      <c r="B641" s="32"/>
    </row>
    <row r="642" customFormat="false" ht="15" hidden="false" customHeight="false" outlineLevel="0" collapsed="false">
      <c r="B642" s="32"/>
    </row>
    <row r="643" customFormat="false" ht="15" hidden="false" customHeight="false" outlineLevel="0" collapsed="false">
      <c r="B643" s="32"/>
    </row>
    <row r="644" customFormat="false" ht="15" hidden="false" customHeight="false" outlineLevel="0" collapsed="false">
      <c r="B644" s="32"/>
    </row>
    <row r="645" customFormat="false" ht="15" hidden="false" customHeight="false" outlineLevel="0" collapsed="false">
      <c r="B645" s="32"/>
    </row>
    <row r="646" customFormat="false" ht="15" hidden="false" customHeight="false" outlineLevel="0" collapsed="false">
      <c r="B646" s="32"/>
    </row>
    <row r="647" customFormat="false" ht="15" hidden="false" customHeight="false" outlineLevel="0" collapsed="false">
      <c r="B647" s="32"/>
    </row>
    <row r="648" customFormat="false" ht="15" hidden="false" customHeight="false" outlineLevel="0" collapsed="false">
      <c r="B648" s="32"/>
    </row>
    <row r="649" customFormat="false" ht="15" hidden="false" customHeight="false" outlineLevel="0" collapsed="false">
      <c r="B649" s="32"/>
    </row>
    <row r="650" customFormat="false" ht="15" hidden="false" customHeight="false" outlineLevel="0" collapsed="false">
      <c r="B650" s="32"/>
    </row>
    <row r="651" customFormat="false" ht="15" hidden="false" customHeight="false" outlineLevel="0" collapsed="false">
      <c r="B651" s="32"/>
    </row>
    <row r="652" customFormat="false" ht="15" hidden="false" customHeight="false" outlineLevel="0" collapsed="false">
      <c r="B652" s="32"/>
    </row>
    <row r="653" customFormat="false" ht="15" hidden="false" customHeight="false" outlineLevel="0" collapsed="false">
      <c r="B653" s="32"/>
    </row>
    <row r="654" customFormat="false" ht="15" hidden="false" customHeight="false" outlineLevel="0" collapsed="false">
      <c r="B654" s="32"/>
    </row>
    <row r="655" customFormat="false" ht="15" hidden="false" customHeight="false" outlineLevel="0" collapsed="false">
      <c r="B655" s="32"/>
    </row>
    <row r="656" customFormat="false" ht="15" hidden="false" customHeight="false" outlineLevel="0" collapsed="false">
      <c r="B656" s="32"/>
    </row>
    <row r="657" customFormat="false" ht="15" hidden="false" customHeight="false" outlineLevel="0" collapsed="false">
      <c r="B657" s="32"/>
    </row>
    <row r="658" customFormat="false" ht="15" hidden="false" customHeight="false" outlineLevel="0" collapsed="false">
      <c r="B658" s="32"/>
    </row>
    <row r="659" customFormat="false" ht="15" hidden="false" customHeight="false" outlineLevel="0" collapsed="false">
      <c r="B659" s="32"/>
    </row>
    <row r="660" customFormat="false" ht="15" hidden="false" customHeight="false" outlineLevel="0" collapsed="false">
      <c r="B660" s="32"/>
    </row>
    <row r="661" customFormat="false" ht="15" hidden="false" customHeight="false" outlineLevel="0" collapsed="false">
      <c r="B661" s="32"/>
    </row>
    <row r="662" customFormat="false" ht="15" hidden="false" customHeight="false" outlineLevel="0" collapsed="false">
      <c r="B662" s="32"/>
    </row>
    <row r="663" customFormat="false" ht="15" hidden="false" customHeight="false" outlineLevel="0" collapsed="false">
      <c r="B663" s="32"/>
    </row>
    <row r="664" customFormat="false" ht="15" hidden="false" customHeight="false" outlineLevel="0" collapsed="false">
      <c r="B664" s="32"/>
    </row>
    <row r="665" customFormat="false" ht="15" hidden="false" customHeight="false" outlineLevel="0" collapsed="false">
      <c r="B665" s="32"/>
    </row>
    <row r="666" customFormat="false" ht="15" hidden="false" customHeight="false" outlineLevel="0" collapsed="false">
      <c r="B666" s="32"/>
    </row>
    <row r="667" customFormat="false" ht="15" hidden="false" customHeight="false" outlineLevel="0" collapsed="false">
      <c r="B667" s="32"/>
    </row>
    <row r="668" customFormat="false" ht="15" hidden="false" customHeight="false" outlineLevel="0" collapsed="false">
      <c r="B668" s="32"/>
    </row>
    <row r="669" customFormat="false" ht="15" hidden="false" customHeight="false" outlineLevel="0" collapsed="false">
      <c r="B669" s="32"/>
    </row>
    <row r="670" customFormat="false" ht="15" hidden="false" customHeight="false" outlineLevel="0" collapsed="false">
      <c r="B670" s="32"/>
    </row>
    <row r="671" customFormat="false" ht="15" hidden="false" customHeight="false" outlineLevel="0" collapsed="false">
      <c r="B671" s="32"/>
    </row>
    <row r="672" customFormat="false" ht="15" hidden="false" customHeight="false" outlineLevel="0" collapsed="false">
      <c r="B672" s="32"/>
    </row>
    <row r="673" customFormat="false" ht="15" hidden="false" customHeight="false" outlineLevel="0" collapsed="false">
      <c r="B673" s="32"/>
    </row>
    <row r="674" customFormat="false" ht="15" hidden="false" customHeight="false" outlineLevel="0" collapsed="false">
      <c r="B674" s="32"/>
    </row>
    <row r="675" customFormat="false" ht="15" hidden="false" customHeight="false" outlineLevel="0" collapsed="false">
      <c r="B675" s="32"/>
    </row>
    <row r="676" customFormat="false" ht="15" hidden="false" customHeight="false" outlineLevel="0" collapsed="false">
      <c r="B676" s="32"/>
    </row>
    <row r="677" customFormat="false" ht="15" hidden="false" customHeight="false" outlineLevel="0" collapsed="false">
      <c r="B677" s="32"/>
    </row>
    <row r="678" customFormat="false" ht="15" hidden="false" customHeight="false" outlineLevel="0" collapsed="false">
      <c r="B678" s="32"/>
    </row>
    <row r="679" customFormat="false" ht="15" hidden="false" customHeight="false" outlineLevel="0" collapsed="false">
      <c r="B679" s="32"/>
    </row>
    <row r="680" customFormat="false" ht="15" hidden="false" customHeight="false" outlineLevel="0" collapsed="false">
      <c r="B680" s="32"/>
    </row>
    <row r="681" customFormat="false" ht="15" hidden="false" customHeight="false" outlineLevel="0" collapsed="false">
      <c r="B681" s="32"/>
    </row>
    <row r="682" customFormat="false" ht="15" hidden="false" customHeight="false" outlineLevel="0" collapsed="false">
      <c r="B682" s="32"/>
    </row>
    <row r="683" customFormat="false" ht="15" hidden="false" customHeight="false" outlineLevel="0" collapsed="false">
      <c r="B683" s="32"/>
    </row>
    <row r="684" customFormat="false" ht="15" hidden="false" customHeight="false" outlineLevel="0" collapsed="false">
      <c r="B684" s="32"/>
    </row>
    <row r="685" customFormat="false" ht="15" hidden="false" customHeight="false" outlineLevel="0" collapsed="false">
      <c r="B685" s="32"/>
    </row>
    <row r="686" customFormat="false" ht="15" hidden="false" customHeight="false" outlineLevel="0" collapsed="false">
      <c r="B686" s="32"/>
    </row>
    <row r="687" customFormat="false" ht="15" hidden="false" customHeight="false" outlineLevel="0" collapsed="false">
      <c r="B687" s="32"/>
    </row>
    <row r="688" customFormat="false" ht="15" hidden="false" customHeight="false" outlineLevel="0" collapsed="false">
      <c r="B688" s="32"/>
    </row>
    <row r="689" customFormat="false" ht="15" hidden="false" customHeight="false" outlineLevel="0" collapsed="false">
      <c r="B689" s="32"/>
    </row>
    <row r="690" customFormat="false" ht="15" hidden="false" customHeight="false" outlineLevel="0" collapsed="false">
      <c r="B690" s="32"/>
    </row>
    <row r="691" customFormat="false" ht="15" hidden="false" customHeight="false" outlineLevel="0" collapsed="false">
      <c r="B691" s="32"/>
    </row>
    <row r="692" customFormat="false" ht="15" hidden="false" customHeight="false" outlineLevel="0" collapsed="false">
      <c r="B692" s="32"/>
    </row>
    <row r="693" customFormat="false" ht="15" hidden="false" customHeight="false" outlineLevel="0" collapsed="false">
      <c r="B693" s="32"/>
    </row>
    <row r="694" customFormat="false" ht="15" hidden="false" customHeight="false" outlineLevel="0" collapsed="false">
      <c r="B694" s="32"/>
    </row>
    <row r="695" customFormat="false" ht="15" hidden="false" customHeight="false" outlineLevel="0" collapsed="false">
      <c r="B695" s="32"/>
    </row>
    <row r="696" customFormat="false" ht="15" hidden="false" customHeight="false" outlineLevel="0" collapsed="false">
      <c r="B696" s="32"/>
    </row>
    <row r="697" customFormat="false" ht="15" hidden="false" customHeight="false" outlineLevel="0" collapsed="false">
      <c r="B697" s="32"/>
    </row>
    <row r="698" customFormat="false" ht="15" hidden="false" customHeight="false" outlineLevel="0" collapsed="false">
      <c r="B698" s="32"/>
    </row>
    <row r="699" customFormat="false" ht="15" hidden="false" customHeight="false" outlineLevel="0" collapsed="false">
      <c r="B699" s="32"/>
    </row>
    <row r="700" customFormat="false" ht="15" hidden="false" customHeight="false" outlineLevel="0" collapsed="false">
      <c r="B700" s="32"/>
    </row>
    <row r="701" customFormat="false" ht="15" hidden="false" customHeight="false" outlineLevel="0" collapsed="false">
      <c r="B701" s="32"/>
    </row>
    <row r="702" customFormat="false" ht="15" hidden="false" customHeight="false" outlineLevel="0" collapsed="false">
      <c r="B702" s="32"/>
    </row>
    <row r="703" customFormat="false" ht="15" hidden="false" customHeight="false" outlineLevel="0" collapsed="false">
      <c r="B703" s="32"/>
    </row>
    <row r="704" customFormat="false" ht="15" hidden="false" customHeight="false" outlineLevel="0" collapsed="false">
      <c r="B704" s="32"/>
    </row>
    <row r="705" customFormat="false" ht="15" hidden="false" customHeight="false" outlineLevel="0" collapsed="false">
      <c r="B705" s="32"/>
    </row>
    <row r="706" customFormat="false" ht="15" hidden="false" customHeight="false" outlineLevel="0" collapsed="false">
      <c r="B706" s="32"/>
    </row>
    <row r="707" customFormat="false" ht="15" hidden="false" customHeight="false" outlineLevel="0" collapsed="false">
      <c r="B707" s="32"/>
    </row>
    <row r="708" customFormat="false" ht="15" hidden="false" customHeight="false" outlineLevel="0" collapsed="false">
      <c r="B708" s="32"/>
    </row>
    <row r="709" customFormat="false" ht="15" hidden="false" customHeight="false" outlineLevel="0" collapsed="false">
      <c r="B709" s="32"/>
    </row>
    <row r="710" customFormat="false" ht="15" hidden="false" customHeight="false" outlineLevel="0" collapsed="false">
      <c r="B710" s="32"/>
    </row>
    <row r="711" customFormat="false" ht="15" hidden="false" customHeight="false" outlineLevel="0" collapsed="false">
      <c r="B711" s="32"/>
    </row>
    <row r="712" customFormat="false" ht="15" hidden="false" customHeight="false" outlineLevel="0" collapsed="false">
      <c r="B712" s="32"/>
    </row>
    <row r="713" customFormat="false" ht="15" hidden="false" customHeight="false" outlineLevel="0" collapsed="false">
      <c r="B713" s="32"/>
    </row>
    <row r="714" customFormat="false" ht="15" hidden="false" customHeight="false" outlineLevel="0" collapsed="false">
      <c r="B714" s="32"/>
    </row>
    <row r="715" customFormat="false" ht="15" hidden="false" customHeight="false" outlineLevel="0" collapsed="false">
      <c r="B715" s="32"/>
    </row>
    <row r="716" customFormat="false" ht="15" hidden="false" customHeight="false" outlineLevel="0" collapsed="false">
      <c r="B716" s="32"/>
    </row>
    <row r="717" customFormat="false" ht="15" hidden="false" customHeight="false" outlineLevel="0" collapsed="false">
      <c r="B717" s="32"/>
    </row>
    <row r="718" customFormat="false" ht="15" hidden="false" customHeight="false" outlineLevel="0" collapsed="false">
      <c r="B718" s="32"/>
    </row>
    <row r="719" customFormat="false" ht="15" hidden="false" customHeight="false" outlineLevel="0" collapsed="false">
      <c r="B719" s="32"/>
    </row>
    <row r="720" customFormat="false" ht="15" hidden="false" customHeight="false" outlineLevel="0" collapsed="false">
      <c r="B720" s="32"/>
    </row>
    <row r="721" customFormat="false" ht="15" hidden="false" customHeight="false" outlineLevel="0" collapsed="false">
      <c r="B721" s="32"/>
    </row>
    <row r="722" customFormat="false" ht="15" hidden="false" customHeight="false" outlineLevel="0" collapsed="false">
      <c r="B722" s="32"/>
    </row>
    <row r="723" customFormat="false" ht="15" hidden="false" customHeight="false" outlineLevel="0" collapsed="false">
      <c r="B723" s="32"/>
    </row>
    <row r="724" customFormat="false" ht="15" hidden="false" customHeight="false" outlineLevel="0" collapsed="false">
      <c r="B724" s="32"/>
    </row>
    <row r="725" customFormat="false" ht="15" hidden="false" customHeight="false" outlineLevel="0" collapsed="false">
      <c r="B725" s="32"/>
    </row>
    <row r="726" customFormat="false" ht="15" hidden="false" customHeight="false" outlineLevel="0" collapsed="false">
      <c r="B726" s="32"/>
    </row>
    <row r="727" customFormat="false" ht="15" hidden="false" customHeight="false" outlineLevel="0" collapsed="false">
      <c r="B727" s="32"/>
    </row>
    <row r="728" customFormat="false" ht="15" hidden="false" customHeight="false" outlineLevel="0" collapsed="false">
      <c r="B728" s="32"/>
    </row>
    <row r="729" customFormat="false" ht="15" hidden="false" customHeight="false" outlineLevel="0" collapsed="false">
      <c r="B729" s="32"/>
    </row>
    <row r="730" customFormat="false" ht="15" hidden="false" customHeight="false" outlineLevel="0" collapsed="false">
      <c r="B730" s="32"/>
    </row>
    <row r="731" customFormat="false" ht="15" hidden="false" customHeight="false" outlineLevel="0" collapsed="false">
      <c r="B731" s="32"/>
    </row>
    <row r="732" customFormat="false" ht="15" hidden="false" customHeight="false" outlineLevel="0" collapsed="false">
      <c r="B732" s="32"/>
    </row>
    <row r="733" customFormat="false" ht="15" hidden="false" customHeight="false" outlineLevel="0" collapsed="false">
      <c r="B733" s="32"/>
    </row>
    <row r="734" customFormat="false" ht="15" hidden="false" customHeight="false" outlineLevel="0" collapsed="false">
      <c r="B734" s="32"/>
    </row>
    <row r="735" customFormat="false" ht="15" hidden="false" customHeight="false" outlineLevel="0" collapsed="false">
      <c r="B735" s="32"/>
    </row>
    <row r="736" customFormat="false" ht="15" hidden="false" customHeight="false" outlineLevel="0" collapsed="false">
      <c r="B736" s="32"/>
    </row>
    <row r="737" customFormat="false" ht="15" hidden="false" customHeight="false" outlineLevel="0" collapsed="false">
      <c r="B737" s="32"/>
    </row>
    <row r="738" customFormat="false" ht="15" hidden="false" customHeight="false" outlineLevel="0" collapsed="false">
      <c r="B738" s="32"/>
    </row>
    <row r="739" customFormat="false" ht="15" hidden="false" customHeight="false" outlineLevel="0" collapsed="false">
      <c r="B739" s="32"/>
    </row>
    <row r="740" customFormat="false" ht="15" hidden="false" customHeight="false" outlineLevel="0" collapsed="false">
      <c r="B740" s="32"/>
    </row>
    <row r="741" customFormat="false" ht="15" hidden="false" customHeight="false" outlineLevel="0" collapsed="false">
      <c r="B741" s="32"/>
    </row>
    <row r="742" customFormat="false" ht="15" hidden="false" customHeight="false" outlineLevel="0" collapsed="false">
      <c r="B742" s="32"/>
    </row>
    <row r="743" customFormat="false" ht="15" hidden="false" customHeight="false" outlineLevel="0" collapsed="false">
      <c r="B743" s="32"/>
    </row>
    <row r="744" customFormat="false" ht="15" hidden="false" customHeight="false" outlineLevel="0" collapsed="false">
      <c r="B744" s="32"/>
    </row>
    <row r="745" customFormat="false" ht="15" hidden="false" customHeight="false" outlineLevel="0" collapsed="false">
      <c r="B745" s="32"/>
    </row>
    <row r="746" customFormat="false" ht="15" hidden="false" customHeight="false" outlineLevel="0" collapsed="false">
      <c r="B746" s="32"/>
    </row>
    <row r="747" customFormat="false" ht="15" hidden="false" customHeight="false" outlineLevel="0" collapsed="false">
      <c r="B747" s="32"/>
    </row>
    <row r="748" customFormat="false" ht="15" hidden="false" customHeight="false" outlineLevel="0" collapsed="false">
      <c r="B748" s="32"/>
    </row>
    <row r="749" customFormat="false" ht="15" hidden="false" customHeight="false" outlineLevel="0" collapsed="false">
      <c r="B749" s="32"/>
    </row>
    <row r="750" customFormat="false" ht="15" hidden="false" customHeight="false" outlineLevel="0" collapsed="false">
      <c r="B750" s="32"/>
    </row>
    <row r="751" customFormat="false" ht="15" hidden="false" customHeight="false" outlineLevel="0" collapsed="false">
      <c r="B751" s="32"/>
    </row>
    <row r="752" customFormat="false" ht="15" hidden="false" customHeight="false" outlineLevel="0" collapsed="false">
      <c r="B752" s="32"/>
    </row>
    <row r="753" customFormat="false" ht="15" hidden="false" customHeight="false" outlineLevel="0" collapsed="false">
      <c r="B753" s="32"/>
    </row>
    <row r="754" customFormat="false" ht="15" hidden="false" customHeight="false" outlineLevel="0" collapsed="false">
      <c r="B754" s="32"/>
    </row>
    <row r="755" customFormat="false" ht="15" hidden="false" customHeight="false" outlineLevel="0" collapsed="false">
      <c r="B755" s="32"/>
    </row>
    <row r="756" customFormat="false" ht="15" hidden="false" customHeight="false" outlineLevel="0" collapsed="false">
      <c r="B756" s="32"/>
    </row>
    <row r="757" customFormat="false" ht="15" hidden="false" customHeight="false" outlineLevel="0" collapsed="false">
      <c r="B757" s="32"/>
    </row>
    <row r="758" customFormat="false" ht="15" hidden="false" customHeight="false" outlineLevel="0" collapsed="false">
      <c r="B758" s="32"/>
    </row>
    <row r="759" customFormat="false" ht="15" hidden="false" customHeight="false" outlineLevel="0" collapsed="false">
      <c r="B759" s="32"/>
    </row>
    <row r="760" customFormat="false" ht="15" hidden="false" customHeight="false" outlineLevel="0" collapsed="false">
      <c r="B760" s="32"/>
    </row>
    <row r="761" customFormat="false" ht="15" hidden="false" customHeight="false" outlineLevel="0" collapsed="false">
      <c r="B761" s="32"/>
    </row>
    <row r="762" customFormat="false" ht="15" hidden="false" customHeight="false" outlineLevel="0" collapsed="false">
      <c r="B762" s="32"/>
    </row>
    <row r="763" customFormat="false" ht="15" hidden="false" customHeight="false" outlineLevel="0" collapsed="false">
      <c r="B763" s="32"/>
    </row>
    <row r="764" customFormat="false" ht="15" hidden="false" customHeight="false" outlineLevel="0" collapsed="false">
      <c r="B764" s="32"/>
    </row>
    <row r="765" customFormat="false" ht="15" hidden="false" customHeight="false" outlineLevel="0" collapsed="false">
      <c r="B765" s="32"/>
    </row>
    <row r="766" customFormat="false" ht="15" hidden="false" customHeight="false" outlineLevel="0" collapsed="false">
      <c r="B766" s="32"/>
    </row>
    <row r="767" customFormat="false" ht="15" hidden="false" customHeight="false" outlineLevel="0" collapsed="false">
      <c r="B767" s="32"/>
    </row>
    <row r="768" customFormat="false" ht="15" hidden="false" customHeight="false" outlineLevel="0" collapsed="false">
      <c r="B768" s="32"/>
    </row>
    <row r="769" customFormat="false" ht="15" hidden="false" customHeight="false" outlineLevel="0" collapsed="false">
      <c r="B769" s="32"/>
    </row>
    <row r="770" customFormat="false" ht="15" hidden="false" customHeight="false" outlineLevel="0" collapsed="false">
      <c r="B770" s="32"/>
    </row>
    <row r="771" customFormat="false" ht="15" hidden="false" customHeight="false" outlineLevel="0" collapsed="false">
      <c r="B771" s="32"/>
    </row>
    <row r="772" customFormat="false" ht="15" hidden="false" customHeight="false" outlineLevel="0" collapsed="false">
      <c r="B772" s="32"/>
    </row>
    <row r="773" customFormat="false" ht="15" hidden="false" customHeight="false" outlineLevel="0" collapsed="false">
      <c r="B773" s="32"/>
    </row>
    <row r="774" customFormat="false" ht="15" hidden="false" customHeight="false" outlineLevel="0" collapsed="false">
      <c r="B774" s="32"/>
    </row>
    <row r="775" customFormat="false" ht="15" hidden="false" customHeight="false" outlineLevel="0" collapsed="false">
      <c r="B775" s="32"/>
    </row>
    <row r="776" customFormat="false" ht="15" hidden="false" customHeight="false" outlineLevel="0" collapsed="false">
      <c r="B776" s="32"/>
    </row>
    <row r="777" customFormat="false" ht="15" hidden="false" customHeight="false" outlineLevel="0" collapsed="false">
      <c r="B777" s="32"/>
    </row>
    <row r="778" customFormat="false" ht="15" hidden="false" customHeight="false" outlineLevel="0" collapsed="false">
      <c r="B778" s="32"/>
    </row>
    <row r="779" customFormat="false" ht="15" hidden="false" customHeight="false" outlineLevel="0" collapsed="false">
      <c r="B779" s="32"/>
    </row>
    <row r="780" customFormat="false" ht="15" hidden="false" customHeight="false" outlineLevel="0" collapsed="false">
      <c r="B780" s="32"/>
    </row>
    <row r="781" customFormat="false" ht="15" hidden="false" customHeight="false" outlineLevel="0" collapsed="false">
      <c r="B781" s="32"/>
    </row>
    <row r="782" customFormat="false" ht="15" hidden="false" customHeight="false" outlineLevel="0" collapsed="false">
      <c r="B782" s="32"/>
    </row>
    <row r="783" customFormat="false" ht="15" hidden="false" customHeight="false" outlineLevel="0" collapsed="false">
      <c r="B783" s="32"/>
    </row>
    <row r="784" customFormat="false" ht="15" hidden="false" customHeight="false" outlineLevel="0" collapsed="false">
      <c r="B784" s="32"/>
    </row>
    <row r="785" customFormat="false" ht="15" hidden="false" customHeight="false" outlineLevel="0" collapsed="false">
      <c r="B785" s="32"/>
    </row>
    <row r="786" customFormat="false" ht="15" hidden="false" customHeight="false" outlineLevel="0" collapsed="false">
      <c r="B786" s="32"/>
    </row>
    <row r="787" customFormat="false" ht="15" hidden="false" customHeight="false" outlineLevel="0" collapsed="false">
      <c r="B787" s="32"/>
    </row>
    <row r="788" customFormat="false" ht="15" hidden="false" customHeight="false" outlineLevel="0" collapsed="false">
      <c r="B788" s="32"/>
    </row>
    <row r="789" customFormat="false" ht="15" hidden="false" customHeight="false" outlineLevel="0" collapsed="false">
      <c r="B789" s="32"/>
    </row>
    <row r="790" customFormat="false" ht="15" hidden="false" customHeight="false" outlineLevel="0" collapsed="false">
      <c r="B790" s="32"/>
    </row>
    <row r="791" customFormat="false" ht="15" hidden="false" customHeight="false" outlineLevel="0" collapsed="false">
      <c r="B791" s="32"/>
    </row>
    <row r="792" customFormat="false" ht="15" hidden="false" customHeight="false" outlineLevel="0" collapsed="false">
      <c r="B792" s="32"/>
    </row>
    <row r="793" customFormat="false" ht="15" hidden="false" customHeight="false" outlineLevel="0" collapsed="false">
      <c r="B793" s="32"/>
    </row>
    <row r="794" customFormat="false" ht="15" hidden="false" customHeight="false" outlineLevel="0" collapsed="false">
      <c r="B794" s="32"/>
    </row>
    <row r="795" customFormat="false" ht="15" hidden="false" customHeight="false" outlineLevel="0" collapsed="false">
      <c r="B795" s="32"/>
    </row>
    <row r="796" customFormat="false" ht="15" hidden="false" customHeight="false" outlineLevel="0" collapsed="false">
      <c r="B796" s="32"/>
    </row>
    <row r="797" customFormat="false" ht="15" hidden="false" customHeight="false" outlineLevel="0" collapsed="false">
      <c r="B797" s="32"/>
    </row>
    <row r="798" customFormat="false" ht="15" hidden="false" customHeight="false" outlineLevel="0" collapsed="false">
      <c r="B798" s="32"/>
    </row>
    <row r="799" customFormat="false" ht="15" hidden="false" customHeight="false" outlineLevel="0" collapsed="false">
      <c r="B799" s="32"/>
    </row>
    <row r="800" customFormat="false" ht="15" hidden="false" customHeight="false" outlineLevel="0" collapsed="false">
      <c r="B800" s="32"/>
    </row>
    <row r="801" customFormat="false" ht="15" hidden="false" customHeight="false" outlineLevel="0" collapsed="false">
      <c r="B801" s="32"/>
    </row>
    <row r="802" customFormat="false" ht="15" hidden="false" customHeight="false" outlineLevel="0" collapsed="false">
      <c r="B802" s="32"/>
    </row>
    <row r="803" customFormat="false" ht="15" hidden="false" customHeight="false" outlineLevel="0" collapsed="false">
      <c r="B803" s="32"/>
    </row>
    <row r="804" customFormat="false" ht="15" hidden="false" customHeight="false" outlineLevel="0" collapsed="false">
      <c r="B804" s="32"/>
    </row>
    <row r="805" customFormat="false" ht="15" hidden="false" customHeight="false" outlineLevel="0" collapsed="false">
      <c r="B805" s="32"/>
    </row>
    <row r="806" customFormat="false" ht="15" hidden="false" customHeight="false" outlineLevel="0" collapsed="false">
      <c r="B806" s="32"/>
    </row>
    <row r="807" customFormat="false" ht="15" hidden="false" customHeight="false" outlineLevel="0" collapsed="false">
      <c r="B807" s="32"/>
    </row>
    <row r="808" customFormat="false" ht="15" hidden="false" customHeight="false" outlineLevel="0" collapsed="false">
      <c r="B808" s="32"/>
    </row>
    <row r="809" customFormat="false" ht="15" hidden="false" customHeight="false" outlineLevel="0" collapsed="false">
      <c r="B809" s="32"/>
    </row>
    <row r="810" customFormat="false" ht="15" hidden="false" customHeight="false" outlineLevel="0" collapsed="false">
      <c r="B810" s="32"/>
    </row>
    <row r="811" customFormat="false" ht="15" hidden="false" customHeight="false" outlineLevel="0" collapsed="false">
      <c r="B811" s="32"/>
    </row>
    <row r="812" customFormat="false" ht="15" hidden="false" customHeight="false" outlineLevel="0" collapsed="false">
      <c r="B812" s="32"/>
    </row>
    <row r="813" customFormat="false" ht="15" hidden="false" customHeight="false" outlineLevel="0" collapsed="false">
      <c r="B813" s="32"/>
    </row>
    <row r="814" customFormat="false" ht="15" hidden="false" customHeight="false" outlineLevel="0" collapsed="false">
      <c r="B814" s="32"/>
    </row>
    <row r="815" customFormat="false" ht="15" hidden="false" customHeight="false" outlineLevel="0" collapsed="false">
      <c r="B815" s="32"/>
    </row>
    <row r="816" customFormat="false" ht="15" hidden="false" customHeight="false" outlineLevel="0" collapsed="false">
      <c r="B816" s="32"/>
    </row>
    <row r="817" customFormat="false" ht="15" hidden="false" customHeight="false" outlineLevel="0" collapsed="false">
      <c r="B817" s="32"/>
    </row>
    <row r="818" customFormat="false" ht="15" hidden="false" customHeight="false" outlineLevel="0" collapsed="false">
      <c r="B818" s="32"/>
    </row>
    <row r="819" customFormat="false" ht="15" hidden="false" customHeight="false" outlineLevel="0" collapsed="false">
      <c r="B819" s="32"/>
    </row>
    <row r="820" customFormat="false" ht="15" hidden="false" customHeight="false" outlineLevel="0" collapsed="false">
      <c r="B820" s="32"/>
    </row>
    <row r="821" customFormat="false" ht="15" hidden="false" customHeight="false" outlineLevel="0" collapsed="false">
      <c r="B821" s="32"/>
    </row>
    <row r="822" customFormat="false" ht="15" hidden="false" customHeight="false" outlineLevel="0" collapsed="false">
      <c r="B822" s="32"/>
    </row>
    <row r="823" customFormat="false" ht="15" hidden="false" customHeight="false" outlineLevel="0" collapsed="false">
      <c r="B823" s="32"/>
    </row>
    <row r="824" customFormat="false" ht="15" hidden="false" customHeight="false" outlineLevel="0" collapsed="false">
      <c r="B824" s="32"/>
    </row>
    <row r="825" customFormat="false" ht="15" hidden="false" customHeight="false" outlineLevel="0" collapsed="false">
      <c r="B825" s="32"/>
    </row>
    <row r="826" customFormat="false" ht="15" hidden="false" customHeight="false" outlineLevel="0" collapsed="false">
      <c r="B826" s="32"/>
    </row>
    <row r="827" customFormat="false" ht="15" hidden="false" customHeight="false" outlineLevel="0" collapsed="false">
      <c r="B827" s="32"/>
    </row>
    <row r="828" customFormat="false" ht="15" hidden="false" customHeight="false" outlineLevel="0" collapsed="false">
      <c r="B828" s="32"/>
    </row>
    <row r="829" customFormat="false" ht="15" hidden="false" customHeight="false" outlineLevel="0" collapsed="false">
      <c r="B829" s="32"/>
    </row>
    <row r="830" customFormat="false" ht="15" hidden="false" customHeight="false" outlineLevel="0" collapsed="false">
      <c r="B830" s="32"/>
    </row>
    <row r="831" customFormat="false" ht="15" hidden="false" customHeight="false" outlineLevel="0" collapsed="false">
      <c r="B831" s="32"/>
    </row>
    <row r="832" customFormat="false" ht="15" hidden="false" customHeight="false" outlineLevel="0" collapsed="false">
      <c r="B832" s="32"/>
    </row>
    <row r="833" customFormat="false" ht="15" hidden="false" customHeight="false" outlineLevel="0" collapsed="false">
      <c r="B833" s="32"/>
    </row>
    <row r="834" customFormat="false" ht="15" hidden="false" customHeight="false" outlineLevel="0" collapsed="false">
      <c r="B834" s="32"/>
    </row>
    <row r="835" customFormat="false" ht="15" hidden="false" customHeight="false" outlineLevel="0" collapsed="false">
      <c r="B835" s="32"/>
    </row>
    <row r="836" customFormat="false" ht="15" hidden="false" customHeight="false" outlineLevel="0" collapsed="false">
      <c r="B836" s="32"/>
    </row>
    <row r="837" customFormat="false" ht="15" hidden="false" customHeight="false" outlineLevel="0" collapsed="false">
      <c r="B837" s="32"/>
    </row>
    <row r="838" customFormat="false" ht="15" hidden="false" customHeight="false" outlineLevel="0" collapsed="false">
      <c r="B838" s="32"/>
    </row>
    <row r="839" customFormat="false" ht="15" hidden="false" customHeight="false" outlineLevel="0" collapsed="false">
      <c r="B839" s="32"/>
    </row>
    <row r="840" customFormat="false" ht="15" hidden="false" customHeight="false" outlineLevel="0" collapsed="false">
      <c r="B840" s="32"/>
    </row>
    <row r="841" customFormat="false" ht="15" hidden="false" customHeight="false" outlineLevel="0" collapsed="false">
      <c r="B841" s="32"/>
    </row>
    <row r="842" customFormat="false" ht="15" hidden="false" customHeight="false" outlineLevel="0" collapsed="false">
      <c r="B842" s="32"/>
    </row>
    <row r="843" customFormat="false" ht="15" hidden="false" customHeight="false" outlineLevel="0" collapsed="false">
      <c r="B843" s="32"/>
    </row>
    <row r="844" customFormat="false" ht="15" hidden="false" customHeight="false" outlineLevel="0" collapsed="false">
      <c r="B844" s="32"/>
    </row>
    <row r="845" customFormat="false" ht="15" hidden="false" customHeight="false" outlineLevel="0" collapsed="false">
      <c r="B845" s="32"/>
    </row>
    <row r="846" customFormat="false" ht="15" hidden="false" customHeight="false" outlineLevel="0" collapsed="false">
      <c r="B846" s="32"/>
    </row>
    <row r="847" customFormat="false" ht="15" hidden="false" customHeight="false" outlineLevel="0" collapsed="false">
      <c r="B847" s="32"/>
    </row>
    <row r="848" customFormat="false" ht="15" hidden="false" customHeight="false" outlineLevel="0" collapsed="false">
      <c r="B848" s="32"/>
    </row>
    <row r="849" customFormat="false" ht="15" hidden="false" customHeight="false" outlineLevel="0" collapsed="false">
      <c r="B849" s="32"/>
    </row>
    <row r="850" customFormat="false" ht="15" hidden="false" customHeight="false" outlineLevel="0" collapsed="false">
      <c r="B850" s="32"/>
    </row>
    <row r="851" customFormat="false" ht="15" hidden="false" customHeight="false" outlineLevel="0" collapsed="false">
      <c r="B851" s="32"/>
    </row>
    <row r="852" customFormat="false" ht="15" hidden="false" customHeight="false" outlineLevel="0" collapsed="false">
      <c r="B852" s="32"/>
    </row>
    <row r="853" customFormat="false" ht="15" hidden="false" customHeight="false" outlineLevel="0" collapsed="false">
      <c r="B853" s="32"/>
    </row>
    <row r="854" customFormat="false" ht="15" hidden="false" customHeight="false" outlineLevel="0" collapsed="false">
      <c r="B854" s="32"/>
    </row>
    <row r="855" customFormat="false" ht="15" hidden="false" customHeight="false" outlineLevel="0" collapsed="false">
      <c r="B855" s="32"/>
    </row>
    <row r="856" customFormat="false" ht="15" hidden="false" customHeight="false" outlineLevel="0" collapsed="false">
      <c r="B856" s="32"/>
    </row>
    <row r="857" customFormat="false" ht="15" hidden="false" customHeight="false" outlineLevel="0" collapsed="false">
      <c r="B857" s="32"/>
    </row>
    <row r="858" customFormat="false" ht="15" hidden="false" customHeight="false" outlineLevel="0" collapsed="false">
      <c r="B858" s="32"/>
    </row>
    <row r="859" customFormat="false" ht="15" hidden="false" customHeight="false" outlineLevel="0" collapsed="false">
      <c r="B859" s="32"/>
    </row>
    <row r="860" customFormat="false" ht="15" hidden="false" customHeight="false" outlineLevel="0" collapsed="false">
      <c r="B860" s="32"/>
    </row>
    <row r="861" customFormat="false" ht="15" hidden="false" customHeight="false" outlineLevel="0" collapsed="false">
      <c r="B861" s="32"/>
    </row>
    <row r="862" customFormat="false" ht="15" hidden="false" customHeight="false" outlineLevel="0" collapsed="false">
      <c r="B862" s="32"/>
    </row>
    <row r="863" customFormat="false" ht="15" hidden="false" customHeight="false" outlineLevel="0" collapsed="false">
      <c r="B863" s="32"/>
    </row>
    <row r="864" customFormat="false" ht="15" hidden="false" customHeight="false" outlineLevel="0" collapsed="false">
      <c r="B864" s="32"/>
    </row>
    <row r="865" customFormat="false" ht="15" hidden="false" customHeight="false" outlineLevel="0" collapsed="false">
      <c r="B865" s="32"/>
    </row>
    <row r="866" customFormat="false" ht="15" hidden="false" customHeight="false" outlineLevel="0" collapsed="false">
      <c r="B866" s="32"/>
    </row>
    <row r="867" customFormat="false" ht="15" hidden="false" customHeight="false" outlineLevel="0" collapsed="false">
      <c r="B867" s="32"/>
    </row>
    <row r="868" customFormat="false" ht="15" hidden="false" customHeight="false" outlineLevel="0" collapsed="false">
      <c r="B868" s="32"/>
    </row>
    <row r="869" customFormat="false" ht="15" hidden="false" customHeight="false" outlineLevel="0" collapsed="false">
      <c r="B869" s="32"/>
    </row>
    <row r="870" customFormat="false" ht="15" hidden="false" customHeight="false" outlineLevel="0" collapsed="false">
      <c r="B870" s="32"/>
    </row>
    <row r="871" customFormat="false" ht="15" hidden="false" customHeight="false" outlineLevel="0" collapsed="false">
      <c r="B871" s="32"/>
    </row>
    <row r="872" customFormat="false" ht="15" hidden="false" customHeight="false" outlineLevel="0" collapsed="false">
      <c r="B872" s="32"/>
    </row>
    <row r="873" customFormat="false" ht="15" hidden="false" customHeight="false" outlineLevel="0" collapsed="false">
      <c r="B873" s="32"/>
    </row>
    <row r="874" customFormat="false" ht="15" hidden="false" customHeight="false" outlineLevel="0" collapsed="false">
      <c r="B874" s="32"/>
    </row>
    <row r="875" customFormat="false" ht="15" hidden="false" customHeight="false" outlineLevel="0" collapsed="false">
      <c r="B875" s="32"/>
    </row>
    <row r="876" customFormat="false" ht="15" hidden="false" customHeight="false" outlineLevel="0" collapsed="false">
      <c r="B876" s="32"/>
    </row>
    <row r="877" customFormat="false" ht="15" hidden="false" customHeight="false" outlineLevel="0" collapsed="false">
      <c r="B877" s="32"/>
    </row>
    <row r="878" customFormat="false" ht="15" hidden="false" customHeight="false" outlineLevel="0" collapsed="false">
      <c r="B878" s="32"/>
    </row>
    <row r="879" customFormat="false" ht="15" hidden="false" customHeight="false" outlineLevel="0" collapsed="false">
      <c r="B879" s="32"/>
    </row>
    <row r="880" customFormat="false" ht="15" hidden="false" customHeight="false" outlineLevel="0" collapsed="false">
      <c r="B880" s="32"/>
    </row>
    <row r="881" customFormat="false" ht="15" hidden="false" customHeight="false" outlineLevel="0" collapsed="false">
      <c r="B881" s="32"/>
    </row>
    <row r="882" customFormat="false" ht="15" hidden="false" customHeight="false" outlineLevel="0" collapsed="false">
      <c r="B882" s="32"/>
    </row>
    <row r="883" customFormat="false" ht="15" hidden="false" customHeight="false" outlineLevel="0" collapsed="false">
      <c r="B883" s="32"/>
    </row>
    <row r="884" customFormat="false" ht="15" hidden="false" customHeight="false" outlineLevel="0" collapsed="false">
      <c r="B884" s="32"/>
    </row>
    <row r="885" customFormat="false" ht="15" hidden="false" customHeight="false" outlineLevel="0" collapsed="false">
      <c r="B885" s="32"/>
    </row>
    <row r="886" customFormat="false" ht="15" hidden="false" customHeight="false" outlineLevel="0" collapsed="false">
      <c r="B886" s="32"/>
    </row>
    <row r="887" customFormat="false" ht="15" hidden="false" customHeight="false" outlineLevel="0" collapsed="false">
      <c r="B887" s="32"/>
    </row>
    <row r="888" customFormat="false" ht="15" hidden="false" customHeight="false" outlineLevel="0" collapsed="false">
      <c r="B888" s="32"/>
    </row>
    <row r="889" customFormat="false" ht="15" hidden="false" customHeight="false" outlineLevel="0" collapsed="false">
      <c r="B889" s="32"/>
    </row>
    <row r="890" customFormat="false" ht="15" hidden="false" customHeight="false" outlineLevel="0" collapsed="false">
      <c r="B890" s="32"/>
    </row>
    <row r="891" customFormat="false" ht="15" hidden="false" customHeight="false" outlineLevel="0" collapsed="false">
      <c r="B891" s="32"/>
    </row>
    <row r="892" customFormat="false" ht="15" hidden="false" customHeight="false" outlineLevel="0" collapsed="false">
      <c r="B892" s="32"/>
    </row>
    <row r="893" customFormat="false" ht="15" hidden="false" customHeight="false" outlineLevel="0" collapsed="false">
      <c r="B893" s="32"/>
    </row>
    <row r="894" customFormat="false" ht="15" hidden="false" customHeight="false" outlineLevel="0" collapsed="false">
      <c r="B894" s="32"/>
    </row>
    <row r="895" customFormat="false" ht="15" hidden="false" customHeight="false" outlineLevel="0" collapsed="false">
      <c r="B895" s="32"/>
    </row>
    <row r="896" customFormat="false" ht="15" hidden="false" customHeight="false" outlineLevel="0" collapsed="false">
      <c r="B896" s="32"/>
    </row>
    <row r="897" customFormat="false" ht="15" hidden="false" customHeight="false" outlineLevel="0" collapsed="false">
      <c r="B897" s="32"/>
    </row>
    <row r="898" customFormat="false" ht="15" hidden="false" customHeight="false" outlineLevel="0" collapsed="false">
      <c r="B898" s="32"/>
    </row>
    <row r="899" customFormat="false" ht="15" hidden="false" customHeight="false" outlineLevel="0" collapsed="false">
      <c r="B899" s="32"/>
    </row>
    <row r="900" customFormat="false" ht="15" hidden="false" customHeight="false" outlineLevel="0" collapsed="false">
      <c r="B900" s="32"/>
    </row>
    <row r="901" customFormat="false" ht="15" hidden="false" customHeight="false" outlineLevel="0" collapsed="false">
      <c r="B901" s="32"/>
    </row>
    <row r="902" customFormat="false" ht="15" hidden="false" customHeight="false" outlineLevel="0" collapsed="false">
      <c r="B902" s="32"/>
    </row>
    <row r="903" customFormat="false" ht="15" hidden="false" customHeight="false" outlineLevel="0" collapsed="false">
      <c r="B903" s="32"/>
    </row>
    <row r="904" customFormat="false" ht="15" hidden="false" customHeight="false" outlineLevel="0" collapsed="false">
      <c r="B904" s="32"/>
    </row>
    <row r="905" customFormat="false" ht="15" hidden="false" customHeight="false" outlineLevel="0" collapsed="false">
      <c r="B905" s="32"/>
    </row>
    <row r="906" customFormat="false" ht="15" hidden="false" customHeight="false" outlineLevel="0" collapsed="false">
      <c r="B906" s="32"/>
    </row>
    <row r="907" customFormat="false" ht="15" hidden="false" customHeight="false" outlineLevel="0" collapsed="false">
      <c r="B907" s="32"/>
    </row>
    <row r="908" customFormat="false" ht="15" hidden="false" customHeight="false" outlineLevel="0" collapsed="false">
      <c r="B908" s="32"/>
    </row>
    <row r="909" customFormat="false" ht="15" hidden="false" customHeight="false" outlineLevel="0" collapsed="false">
      <c r="B909" s="32"/>
    </row>
    <row r="910" customFormat="false" ht="15" hidden="false" customHeight="false" outlineLevel="0" collapsed="false">
      <c r="B910" s="32"/>
    </row>
    <row r="911" customFormat="false" ht="15" hidden="false" customHeight="false" outlineLevel="0" collapsed="false">
      <c r="B911" s="32"/>
    </row>
    <row r="912" customFormat="false" ht="15" hidden="false" customHeight="false" outlineLevel="0" collapsed="false">
      <c r="B912" s="32"/>
    </row>
    <row r="913" customFormat="false" ht="15" hidden="false" customHeight="false" outlineLevel="0" collapsed="false">
      <c r="B913" s="32"/>
    </row>
    <row r="914" customFormat="false" ht="15" hidden="false" customHeight="false" outlineLevel="0" collapsed="false">
      <c r="B914" s="32"/>
    </row>
    <row r="915" customFormat="false" ht="15" hidden="false" customHeight="false" outlineLevel="0" collapsed="false">
      <c r="B915" s="32"/>
    </row>
    <row r="916" customFormat="false" ht="15" hidden="false" customHeight="false" outlineLevel="0" collapsed="false">
      <c r="B916" s="32"/>
    </row>
    <row r="917" customFormat="false" ht="15" hidden="false" customHeight="false" outlineLevel="0" collapsed="false">
      <c r="B917" s="32"/>
    </row>
    <row r="918" customFormat="false" ht="15" hidden="false" customHeight="false" outlineLevel="0" collapsed="false">
      <c r="B918" s="32"/>
    </row>
    <row r="919" customFormat="false" ht="15" hidden="false" customHeight="false" outlineLevel="0" collapsed="false">
      <c r="B919" s="32"/>
    </row>
    <row r="920" customFormat="false" ht="15" hidden="false" customHeight="false" outlineLevel="0" collapsed="false">
      <c r="B920" s="32"/>
    </row>
    <row r="921" customFormat="false" ht="15" hidden="false" customHeight="false" outlineLevel="0" collapsed="false">
      <c r="B921" s="32"/>
    </row>
    <row r="922" customFormat="false" ht="15" hidden="false" customHeight="false" outlineLevel="0" collapsed="false">
      <c r="B922" s="32"/>
    </row>
    <row r="923" customFormat="false" ht="15" hidden="false" customHeight="false" outlineLevel="0" collapsed="false">
      <c r="B923" s="32"/>
    </row>
    <row r="924" customFormat="false" ht="15" hidden="false" customHeight="false" outlineLevel="0" collapsed="false">
      <c r="B924" s="32"/>
    </row>
    <row r="925" customFormat="false" ht="15" hidden="false" customHeight="false" outlineLevel="0" collapsed="false">
      <c r="B925" s="32"/>
    </row>
    <row r="926" customFormat="false" ht="15" hidden="false" customHeight="false" outlineLevel="0" collapsed="false">
      <c r="B926" s="32"/>
    </row>
    <row r="927" customFormat="false" ht="15" hidden="false" customHeight="false" outlineLevel="0" collapsed="false">
      <c r="B927" s="32"/>
    </row>
    <row r="928" customFormat="false" ht="15" hidden="false" customHeight="false" outlineLevel="0" collapsed="false">
      <c r="B928" s="32"/>
    </row>
    <row r="929" customFormat="false" ht="15" hidden="false" customHeight="false" outlineLevel="0" collapsed="false">
      <c r="B929" s="32"/>
    </row>
    <row r="930" customFormat="false" ht="15" hidden="false" customHeight="false" outlineLevel="0" collapsed="false">
      <c r="B930" s="32"/>
    </row>
    <row r="931" customFormat="false" ht="15" hidden="false" customHeight="false" outlineLevel="0" collapsed="false">
      <c r="B931" s="32"/>
    </row>
    <row r="932" customFormat="false" ht="15" hidden="false" customHeight="false" outlineLevel="0" collapsed="false">
      <c r="B932" s="32"/>
    </row>
    <row r="933" customFormat="false" ht="15" hidden="false" customHeight="false" outlineLevel="0" collapsed="false">
      <c r="B933" s="32"/>
    </row>
    <row r="934" customFormat="false" ht="15" hidden="false" customHeight="false" outlineLevel="0" collapsed="false">
      <c r="B934" s="32"/>
    </row>
    <row r="935" customFormat="false" ht="15" hidden="false" customHeight="false" outlineLevel="0" collapsed="false">
      <c r="B935" s="32"/>
    </row>
    <row r="936" customFormat="false" ht="15" hidden="false" customHeight="false" outlineLevel="0" collapsed="false">
      <c r="B936" s="32"/>
    </row>
    <row r="937" customFormat="false" ht="15" hidden="false" customHeight="false" outlineLevel="0" collapsed="false">
      <c r="B937" s="32"/>
    </row>
    <row r="938" customFormat="false" ht="15" hidden="false" customHeight="false" outlineLevel="0" collapsed="false">
      <c r="B938" s="32"/>
    </row>
    <row r="939" customFormat="false" ht="15" hidden="false" customHeight="false" outlineLevel="0" collapsed="false">
      <c r="B939" s="32"/>
    </row>
    <row r="940" customFormat="false" ht="15" hidden="false" customHeight="false" outlineLevel="0" collapsed="false">
      <c r="B940" s="32"/>
    </row>
    <row r="941" customFormat="false" ht="15" hidden="false" customHeight="false" outlineLevel="0" collapsed="false">
      <c r="B941" s="32"/>
    </row>
    <row r="942" customFormat="false" ht="15" hidden="false" customHeight="false" outlineLevel="0" collapsed="false">
      <c r="B942" s="32"/>
    </row>
    <row r="943" customFormat="false" ht="15" hidden="false" customHeight="false" outlineLevel="0" collapsed="false">
      <c r="B943" s="32"/>
    </row>
    <row r="944" customFormat="false" ht="15" hidden="false" customHeight="false" outlineLevel="0" collapsed="false">
      <c r="B944" s="32"/>
    </row>
    <row r="945" customFormat="false" ht="15" hidden="false" customHeight="false" outlineLevel="0" collapsed="false">
      <c r="B945" s="32"/>
    </row>
    <row r="946" customFormat="false" ht="15" hidden="false" customHeight="false" outlineLevel="0" collapsed="false">
      <c r="B946" s="32"/>
    </row>
    <row r="947" customFormat="false" ht="15" hidden="false" customHeight="false" outlineLevel="0" collapsed="false">
      <c r="B947" s="32"/>
    </row>
    <row r="948" customFormat="false" ht="15" hidden="false" customHeight="false" outlineLevel="0" collapsed="false">
      <c r="B948" s="32"/>
    </row>
    <row r="949" customFormat="false" ht="15" hidden="false" customHeight="false" outlineLevel="0" collapsed="false">
      <c r="B949" s="32"/>
    </row>
    <row r="950" customFormat="false" ht="15" hidden="false" customHeight="false" outlineLevel="0" collapsed="false">
      <c r="B950" s="32"/>
    </row>
    <row r="951" customFormat="false" ht="15" hidden="false" customHeight="false" outlineLevel="0" collapsed="false">
      <c r="B951" s="32"/>
    </row>
    <row r="952" customFormat="false" ht="15" hidden="false" customHeight="false" outlineLevel="0" collapsed="false">
      <c r="B952" s="32"/>
    </row>
    <row r="953" customFormat="false" ht="15" hidden="false" customHeight="false" outlineLevel="0" collapsed="false">
      <c r="B953" s="32"/>
    </row>
    <row r="954" customFormat="false" ht="15" hidden="false" customHeight="false" outlineLevel="0" collapsed="false">
      <c r="B954" s="32"/>
    </row>
    <row r="955" customFormat="false" ht="15" hidden="false" customHeight="false" outlineLevel="0" collapsed="false">
      <c r="B955" s="32"/>
    </row>
    <row r="956" customFormat="false" ht="15" hidden="false" customHeight="false" outlineLevel="0" collapsed="false">
      <c r="B956" s="32"/>
    </row>
    <row r="957" customFormat="false" ht="15" hidden="false" customHeight="false" outlineLevel="0" collapsed="false">
      <c r="B957" s="32"/>
    </row>
    <row r="958" customFormat="false" ht="15" hidden="false" customHeight="false" outlineLevel="0" collapsed="false">
      <c r="B958" s="32"/>
    </row>
    <row r="959" customFormat="false" ht="15" hidden="false" customHeight="false" outlineLevel="0" collapsed="false">
      <c r="B959" s="32"/>
    </row>
    <row r="960" customFormat="false" ht="15" hidden="false" customHeight="false" outlineLevel="0" collapsed="false">
      <c r="B960" s="32"/>
    </row>
    <row r="961" customFormat="false" ht="15" hidden="false" customHeight="false" outlineLevel="0" collapsed="false">
      <c r="B961" s="32"/>
    </row>
    <row r="962" customFormat="false" ht="15" hidden="false" customHeight="false" outlineLevel="0" collapsed="false">
      <c r="B962" s="32"/>
    </row>
    <row r="963" customFormat="false" ht="15" hidden="false" customHeight="false" outlineLevel="0" collapsed="false">
      <c r="B963" s="32"/>
    </row>
    <row r="964" customFormat="false" ht="15" hidden="false" customHeight="false" outlineLevel="0" collapsed="false">
      <c r="B964" s="32"/>
    </row>
    <row r="965" customFormat="false" ht="15" hidden="false" customHeight="false" outlineLevel="0" collapsed="false">
      <c r="B965" s="32"/>
    </row>
    <row r="966" customFormat="false" ht="15" hidden="false" customHeight="false" outlineLevel="0" collapsed="false">
      <c r="B966" s="32"/>
    </row>
    <row r="967" customFormat="false" ht="15" hidden="false" customHeight="false" outlineLevel="0" collapsed="false">
      <c r="B967" s="32"/>
    </row>
    <row r="968" customFormat="false" ht="15" hidden="false" customHeight="false" outlineLevel="0" collapsed="false">
      <c r="B968" s="32"/>
    </row>
    <row r="969" customFormat="false" ht="15" hidden="false" customHeight="false" outlineLevel="0" collapsed="false">
      <c r="B969" s="32"/>
    </row>
    <row r="970" customFormat="false" ht="15" hidden="false" customHeight="false" outlineLevel="0" collapsed="false">
      <c r="B970" s="32"/>
    </row>
    <row r="971" customFormat="false" ht="15" hidden="false" customHeight="false" outlineLevel="0" collapsed="false">
      <c r="B971" s="32"/>
    </row>
    <row r="972" customFormat="false" ht="15" hidden="false" customHeight="false" outlineLevel="0" collapsed="false">
      <c r="B972" s="32"/>
    </row>
    <row r="973" customFormat="false" ht="15" hidden="false" customHeight="false" outlineLevel="0" collapsed="false">
      <c r="B973" s="32"/>
    </row>
    <row r="974" customFormat="false" ht="15" hidden="false" customHeight="false" outlineLevel="0" collapsed="false">
      <c r="B974" s="32"/>
    </row>
    <row r="975" customFormat="false" ht="15" hidden="false" customHeight="false" outlineLevel="0" collapsed="false">
      <c r="B975" s="32"/>
    </row>
    <row r="976" customFormat="false" ht="15" hidden="false" customHeight="false" outlineLevel="0" collapsed="false">
      <c r="B976" s="32"/>
    </row>
    <row r="977" customFormat="false" ht="15" hidden="false" customHeight="false" outlineLevel="0" collapsed="false">
      <c r="B977" s="32"/>
    </row>
    <row r="978" customFormat="false" ht="15" hidden="false" customHeight="false" outlineLevel="0" collapsed="false">
      <c r="B978" s="32"/>
    </row>
    <row r="979" customFormat="false" ht="15" hidden="false" customHeight="false" outlineLevel="0" collapsed="false">
      <c r="B979" s="32"/>
    </row>
    <row r="980" customFormat="false" ht="15" hidden="false" customHeight="false" outlineLevel="0" collapsed="false">
      <c r="B980" s="32"/>
    </row>
    <row r="981" customFormat="false" ht="15" hidden="false" customHeight="false" outlineLevel="0" collapsed="false">
      <c r="B981" s="32"/>
    </row>
    <row r="982" customFormat="false" ht="15" hidden="false" customHeight="false" outlineLevel="0" collapsed="false">
      <c r="B982" s="32"/>
    </row>
    <row r="983" customFormat="false" ht="15" hidden="false" customHeight="false" outlineLevel="0" collapsed="false">
      <c r="B983" s="32"/>
    </row>
    <row r="984" customFormat="false" ht="15" hidden="false" customHeight="false" outlineLevel="0" collapsed="false">
      <c r="B984" s="32"/>
    </row>
    <row r="985" customFormat="false" ht="15" hidden="false" customHeight="false" outlineLevel="0" collapsed="false">
      <c r="B985" s="32"/>
    </row>
    <row r="986" customFormat="false" ht="15" hidden="false" customHeight="false" outlineLevel="0" collapsed="false">
      <c r="B986" s="32"/>
    </row>
    <row r="987" customFormat="false" ht="15" hidden="false" customHeight="false" outlineLevel="0" collapsed="false">
      <c r="B987" s="32"/>
    </row>
    <row r="988" customFormat="false" ht="15" hidden="false" customHeight="false" outlineLevel="0" collapsed="false">
      <c r="B988" s="32"/>
    </row>
    <row r="989" customFormat="false" ht="15" hidden="false" customHeight="false" outlineLevel="0" collapsed="false">
      <c r="B989" s="32"/>
    </row>
    <row r="990" customFormat="false" ht="15" hidden="false" customHeight="false" outlineLevel="0" collapsed="false">
      <c r="B990" s="32"/>
    </row>
    <row r="991" customFormat="false" ht="15" hidden="false" customHeight="false" outlineLevel="0" collapsed="false">
      <c r="B991" s="32"/>
    </row>
    <row r="992" customFormat="false" ht="15" hidden="false" customHeight="false" outlineLevel="0" collapsed="false">
      <c r="B992" s="32"/>
    </row>
    <row r="993" customFormat="false" ht="15" hidden="false" customHeight="false" outlineLevel="0" collapsed="false">
      <c r="B993" s="32"/>
    </row>
    <row r="994" customFormat="false" ht="15" hidden="false" customHeight="false" outlineLevel="0" collapsed="false">
      <c r="B994" s="32"/>
    </row>
    <row r="995" customFormat="false" ht="15" hidden="false" customHeight="false" outlineLevel="0" collapsed="false">
      <c r="B995" s="32"/>
    </row>
    <row r="996" customFormat="false" ht="15" hidden="false" customHeight="false" outlineLevel="0" collapsed="false">
      <c r="B996" s="32"/>
    </row>
    <row r="997" customFormat="false" ht="15" hidden="false" customHeight="false" outlineLevel="0" collapsed="false">
      <c r="B997" s="32"/>
    </row>
    <row r="998" customFormat="false" ht="15" hidden="false" customHeight="false" outlineLevel="0" collapsed="false">
      <c r="B998" s="32"/>
    </row>
    <row r="999" customFormat="false" ht="15" hidden="false" customHeight="false" outlineLevel="0" collapsed="false">
      <c r="B999" s="32"/>
    </row>
    <row r="1000" customFormat="false" ht="15" hidden="false" customHeight="false" outlineLevel="0" collapsed="false">
      <c r="B1000" s="32"/>
    </row>
    <row r="1001" customFormat="false" ht="15" hidden="false" customHeight="false" outlineLevel="0" collapsed="false">
      <c r="B1001" s="3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V6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0.71484375" defaultRowHeight="15" zeroHeight="false" outlineLevelRow="0" outlineLevelCol="0"/>
  <cols>
    <col collapsed="false" customWidth="true" hidden="false" outlineLevel="0" max="6" min="6" style="0" width="13.43"/>
    <col collapsed="false" customWidth="true" hidden="false" outlineLevel="0" max="8" min="8" style="0" width="14.71"/>
  </cols>
  <sheetData>
    <row r="1" customFormat="false" ht="15" hidden="false" customHeight="false" outlineLevel="0" collapsed="false">
      <c r="A1" s="33" t="s">
        <v>36</v>
      </c>
      <c r="B1" s="33" t="s">
        <v>39</v>
      </c>
      <c r="C1" s="33" t="s">
        <v>40</v>
      </c>
      <c r="D1" s="0" t="s">
        <v>41</v>
      </c>
      <c r="E1" s="0" t="s">
        <v>42</v>
      </c>
      <c r="F1" s="0" t="s">
        <v>43</v>
      </c>
      <c r="G1" s="0" t="s">
        <v>44</v>
      </c>
      <c r="J1" s="34"/>
      <c r="K1" s="35"/>
      <c r="L1" s="36"/>
      <c r="M1" s="36"/>
      <c r="N1" s="36"/>
      <c r="O1" s="36"/>
      <c r="P1" s="37"/>
      <c r="Q1" s="37"/>
      <c r="R1" s="37"/>
      <c r="S1" s="35"/>
      <c r="T1" s="35"/>
      <c r="U1" s="35"/>
      <c r="V1" s="35"/>
    </row>
    <row r="2" customFormat="false" ht="15" hidden="false" customHeight="false" outlineLevel="0" collapsed="false">
      <c r="A2" s="0" t="s">
        <v>45</v>
      </c>
      <c r="B2" s="0" t="s">
        <v>46</v>
      </c>
      <c r="C2" s="0" t="s">
        <v>47</v>
      </c>
      <c r="D2" s="0" t="s">
        <v>48</v>
      </c>
      <c r="E2" s="38" t="n">
        <v>546600</v>
      </c>
      <c r="F2" s="39" t="n">
        <v>5000</v>
      </c>
    </row>
    <row r="3" customFormat="false" ht="15" hidden="false" customHeight="false" outlineLevel="0" collapsed="false">
      <c r="A3" s="0" t="s">
        <v>45</v>
      </c>
      <c r="B3" s="0" t="s">
        <v>49</v>
      </c>
      <c r="C3" s="0" t="s">
        <v>47</v>
      </c>
      <c r="D3" s="0" t="s">
        <v>50</v>
      </c>
      <c r="E3" s="38" t="n">
        <v>5466000</v>
      </c>
      <c r="F3" s="39" t="n">
        <v>50000</v>
      </c>
      <c r="J3" s="38"/>
      <c r="K3" s="38"/>
    </row>
    <row r="4" customFormat="false" ht="15" hidden="false" customHeight="false" outlineLevel="0" collapsed="false">
      <c r="A4" s="0" t="s">
        <v>51</v>
      </c>
      <c r="B4" s="0" t="s">
        <v>49</v>
      </c>
      <c r="C4" s="0" t="s">
        <v>52</v>
      </c>
      <c r="D4" s="0" t="s">
        <v>53</v>
      </c>
      <c r="E4" s="38" t="n">
        <v>2113344</v>
      </c>
      <c r="F4" s="39" t="n">
        <v>19200</v>
      </c>
      <c r="J4" s="38"/>
      <c r="K4" s="38"/>
    </row>
    <row r="5" customFormat="false" ht="15" hidden="false" customHeight="false" outlineLevel="0" collapsed="false">
      <c r="A5" s="0" t="s">
        <v>51</v>
      </c>
      <c r="B5" s="0" t="s">
        <v>49</v>
      </c>
      <c r="C5" s="0" t="s">
        <v>52</v>
      </c>
      <c r="D5" s="0" t="s">
        <v>50</v>
      </c>
      <c r="E5" s="38" t="n">
        <v>2113344</v>
      </c>
      <c r="F5" s="39" t="n">
        <v>19200</v>
      </c>
      <c r="J5" s="38"/>
      <c r="K5" s="38"/>
    </row>
    <row r="6" customFormat="false" ht="15" hidden="false" customHeight="false" outlineLevel="0" collapsed="false">
      <c r="A6" s="0" t="s">
        <v>54</v>
      </c>
      <c r="B6" s="0" t="s">
        <v>49</v>
      </c>
      <c r="C6" s="0" t="s">
        <v>55</v>
      </c>
      <c r="D6" s="0" t="s">
        <v>53</v>
      </c>
      <c r="E6" s="38" t="n">
        <v>1053796</v>
      </c>
      <c r="F6" s="39" t="n">
        <v>6800</v>
      </c>
      <c r="J6" s="38"/>
      <c r="K6" s="38"/>
    </row>
    <row r="7" customFormat="false" ht="15" hidden="false" customHeight="false" outlineLevel="0" collapsed="false">
      <c r="A7" s="0" t="s">
        <v>54</v>
      </c>
      <c r="B7" s="0" t="s">
        <v>49</v>
      </c>
      <c r="C7" s="0" t="s">
        <v>55</v>
      </c>
      <c r="D7" s="0" t="s">
        <v>50</v>
      </c>
      <c r="E7" s="38" t="n">
        <v>1053796</v>
      </c>
      <c r="F7" s="39" t="n">
        <v>6800</v>
      </c>
      <c r="J7" s="38"/>
      <c r="K7" s="38"/>
    </row>
    <row r="8" customFormat="false" ht="15" hidden="false" customHeight="false" outlineLevel="0" collapsed="false">
      <c r="A8" s="0" t="s">
        <v>56</v>
      </c>
      <c r="B8" s="0" t="s">
        <v>49</v>
      </c>
      <c r="C8" s="0" t="s">
        <v>57</v>
      </c>
      <c r="D8" s="40" t="s">
        <v>53</v>
      </c>
      <c r="E8" s="38" t="n">
        <v>2131800</v>
      </c>
      <c r="F8" s="39" t="n">
        <v>32300</v>
      </c>
      <c r="G8" s="41"/>
      <c r="H8" s="38"/>
      <c r="I8" s="38"/>
      <c r="J8" s="38"/>
      <c r="K8" s="38"/>
    </row>
    <row r="9" customFormat="false" ht="15" hidden="false" customHeight="false" outlineLevel="0" collapsed="false">
      <c r="A9" s="0" t="s">
        <v>56</v>
      </c>
      <c r="B9" s="0" t="s">
        <v>49</v>
      </c>
      <c r="C9" s="0" t="s">
        <v>57</v>
      </c>
      <c r="D9" s="40" t="s">
        <v>50</v>
      </c>
      <c r="E9" s="38" t="n">
        <v>2131800</v>
      </c>
      <c r="F9" s="39" t="n">
        <v>32300</v>
      </c>
      <c r="G9" s="41"/>
      <c r="H9" s="38"/>
      <c r="I9" s="38"/>
      <c r="J9" s="38"/>
      <c r="K9" s="38"/>
    </row>
    <row r="10" customFormat="false" ht="15" hidden="false" customHeight="false" outlineLevel="0" collapsed="false">
      <c r="A10" s="0" t="s">
        <v>58</v>
      </c>
      <c r="B10" s="0" t="s">
        <v>49</v>
      </c>
      <c r="C10" s="0" t="s">
        <v>59</v>
      </c>
      <c r="D10" s="40" t="s">
        <v>53</v>
      </c>
      <c r="E10" s="38" t="n">
        <v>1754550</v>
      </c>
      <c r="F10" s="39" t="n">
        <v>5000</v>
      </c>
      <c r="G10" s="41"/>
      <c r="H10" s="38"/>
      <c r="I10" s="38"/>
      <c r="J10" s="38"/>
      <c r="K10" s="38"/>
    </row>
    <row r="11" customFormat="false" ht="15" hidden="false" customHeight="false" outlineLevel="0" collapsed="false">
      <c r="A11" s="0" t="s">
        <v>58</v>
      </c>
      <c r="B11" s="0" t="s">
        <v>49</v>
      </c>
      <c r="C11" s="0" t="s">
        <v>59</v>
      </c>
      <c r="D11" s="40" t="s">
        <v>50</v>
      </c>
      <c r="E11" s="38" t="n">
        <v>1754550</v>
      </c>
      <c r="F11" s="39" t="n">
        <v>5000</v>
      </c>
      <c r="G11" s="41"/>
      <c r="H11" s="38"/>
      <c r="I11" s="38"/>
      <c r="J11" s="38"/>
      <c r="K11" s="38"/>
    </row>
    <row r="12" customFormat="false" ht="15" hidden="false" customHeight="false" outlineLevel="0" collapsed="false">
      <c r="A12" s="0" t="s">
        <v>60</v>
      </c>
      <c r="B12" s="0" t="s">
        <v>46</v>
      </c>
      <c r="C12" s="0" t="s">
        <v>61</v>
      </c>
      <c r="D12" s="40" t="s">
        <v>48</v>
      </c>
      <c r="E12" s="38" t="n">
        <v>2729257.28</v>
      </c>
      <c r="F12" s="39" t="n">
        <v>448891</v>
      </c>
      <c r="G12" s="41"/>
      <c r="H12" s="38"/>
      <c r="I12" s="38"/>
      <c r="J12" s="38"/>
      <c r="K12" s="38"/>
    </row>
    <row r="13" customFormat="false" ht="15" hidden="false" customHeight="false" outlineLevel="0" collapsed="false">
      <c r="A13" s="0" t="s">
        <v>62</v>
      </c>
      <c r="B13" s="0" t="s">
        <v>49</v>
      </c>
      <c r="C13" s="0" t="s">
        <v>63</v>
      </c>
      <c r="D13" s="40" t="s">
        <v>53</v>
      </c>
      <c r="E13" s="38" t="n">
        <v>4832460</v>
      </c>
      <c r="F13" s="39" t="n">
        <v>8100</v>
      </c>
      <c r="G13" s="41"/>
      <c r="H13" s="38"/>
      <c r="I13" s="38"/>
      <c r="J13" s="38"/>
      <c r="K13" s="38"/>
    </row>
    <row r="14" customFormat="false" ht="15" hidden="false" customHeight="false" outlineLevel="0" collapsed="false">
      <c r="A14" s="0" t="s">
        <v>62</v>
      </c>
      <c r="B14" s="0" t="s">
        <v>49</v>
      </c>
      <c r="C14" s="0" t="s">
        <v>63</v>
      </c>
      <c r="D14" s="40" t="s">
        <v>50</v>
      </c>
      <c r="E14" s="38" t="n">
        <v>4832460</v>
      </c>
      <c r="F14" s="39" t="n">
        <v>8100</v>
      </c>
      <c r="G14" s="41"/>
      <c r="H14" s="38"/>
      <c r="I14" s="38"/>
      <c r="J14" s="38"/>
      <c r="K14" s="38"/>
    </row>
    <row r="15" customFormat="false" ht="15" hidden="false" customHeight="false" outlineLevel="0" collapsed="false">
      <c r="A15" s="0" t="s">
        <v>64</v>
      </c>
      <c r="B15" s="0" t="s">
        <v>46</v>
      </c>
      <c r="C15" s="0" t="s">
        <v>65</v>
      </c>
      <c r="D15" s="0" t="s">
        <v>48</v>
      </c>
      <c r="E15" s="38" t="n">
        <v>1566640.1</v>
      </c>
      <c r="F15" s="39" t="n">
        <v>25670</v>
      </c>
    </row>
    <row r="16" customFormat="false" ht="15" hidden="false" customHeight="false" outlineLevel="0" collapsed="false">
      <c r="A16" s="0" t="s">
        <v>66</v>
      </c>
      <c r="B16" s="0" t="s">
        <v>67</v>
      </c>
      <c r="C16" s="0" t="s">
        <v>68</v>
      </c>
      <c r="D16" s="0" t="s">
        <v>48</v>
      </c>
      <c r="E16" s="38" t="n">
        <v>4758750</v>
      </c>
      <c r="F16" s="39" t="n">
        <v>4500000</v>
      </c>
    </row>
    <row r="17" customFormat="false" ht="15" hidden="false" customHeight="false" outlineLevel="0" collapsed="false">
      <c r="A17" s="0" t="s">
        <v>66</v>
      </c>
      <c r="B17" s="0" t="s">
        <v>46</v>
      </c>
      <c r="C17" s="0" t="s">
        <v>69</v>
      </c>
      <c r="D17" s="0" t="s">
        <v>48</v>
      </c>
      <c r="E17" s="38" t="n">
        <v>160439.16</v>
      </c>
      <c r="F17" s="39" t="n">
        <v>1473</v>
      </c>
    </row>
    <row r="18" customFormat="false" ht="15" hidden="false" customHeight="false" outlineLevel="0" collapsed="false">
      <c r="A18" s="0" t="s">
        <v>70</v>
      </c>
      <c r="B18" s="0" t="s">
        <v>49</v>
      </c>
      <c r="C18" s="0" t="s">
        <v>71</v>
      </c>
      <c r="D18" s="0" t="s">
        <v>53</v>
      </c>
      <c r="E18" s="38" t="n">
        <v>5100386</v>
      </c>
      <c r="F18" s="39" t="n">
        <v>34600</v>
      </c>
    </row>
    <row r="19" customFormat="false" ht="15" hidden="false" customHeight="false" outlineLevel="0" collapsed="false">
      <c r="A19" s="0" t="s">
        <v>70</v>
      </c>
      <c r="B19" s="0" t="s">
        <v>49</v>
      </c>
      <c r="C19" s="0" t="s">
        <v>71</v>
      </c>
      <c r="D19" s="0" t="s">
        <v>50</v>
      </c>
      <c r="E19" s="38" t="n">
        <v>5100386</v>
      </c>
      <c r="F19" s="39" t="n">
        <v>34600</v>
      </c>
    </row>
    <row r="20" customFormat="false" ht="15" hidden="false" customHeight="false" outlineLevel="0" collapsed="false">
      <c r="A20" s="0" t="s">
        <v>72</v>
      </c>
      <c r="B20" s="0" t="s">
        <v>46</v>
      </c>
      <c r="C20" s="0" t="s">
        <v>73</v>
      </c>
      <c r="D20" s="0" t="s">
        <v>48</v>
      </c>
      <c r="E20" s="38" t="n">
        <v>975801.75</v>
      </c>
      <c r="F20" s="39" t="n">
        <v>50691</v>
      </c>
    </row>
    <row r="21" customFormat="false" ht="15" hidden="false" customHeight="false" outlineLevel="0" collapsed="false">
      <c r="A21" s="0" t="s">
        <v>74</v>
      </c>
      <c r="B21" s="0" t="s">
        <v>46</v>
      </c>
      <c r="C21" s="0" t="s">
        <v>75</v>
      </c>
      <c r="D21" s="0" t="s">
        <v>48</v>
      </c>
      <c r="E21" s="38" t="n">
        <v>1669694.6457</v>
      </c>
      <c r="F21" s="39" t="n">
        <v>2016783</v>
      </c>
    </row>
    <row r="22" customFormat="false" ht="15" hidden="false" customHeight="false" outlineLevel="0" collapsed="false">
      <c r="A22" s="0" t="s">
        <v>76</v>
      </c>
      <c r="B22" s="0" t="s">
        <v>46</v>
      </c>
      <c r="C22" s="0" t="s">
        <v>77</v>
      </c>
      <c r="D22" s="0" t="s">
        <v>48</v>
      </c>
      <c r="E22" s="38" t="n">
        <v>1438930.71</v>
      </c>
      <c r="F22" s="39" t="n">
        <v>81711</v>
      </c>
    </row>
    <row r="23" customFormat="false" ht="15" hidden="false" customHeight="false" outlineLevel="0" collapsed="false">
      <c r="A23" s="0" t="s">
        <v>78</v>
      </c>
      <c r="B23" s="0" t="s">
        <v>67</v>
      </c>
      <c r="C23" s="0" t="s">
        <v>79</v>
      </c>
      <c r="D23" s="0" t="s">
        <v>48</v>
      </c>
      <c r="E23" s="38" t="n">
        <v>25667100</v>
      </c>
      <c r="F23" s="39" t="n">
        <v>28500000</v>
      </c>
    </row>
    <row r="24" customFormat="false" ht="15" hidden="false" customHeight="false" outlineLevel="0" collapsed="false">
      <c r="A24" s="0" t="s">
        <v>78</v>
      </c>
      <c r="B24" s="0" t="s">
        <v>49</v>
      </c>
      <c r="C24" s="0" t="s">
        <v>80</v>
      </c>
      <c r="D24" s="0" t="s">
        <v>53</v>
      </c>
      <c r="E24" s="38" t="n">
        <v>299508</v>
      </c>
      <c r="F24" s="39" t="n">
        <v>2200</v>
      </c>
    </row>
    <row r="25" customFormat="false" ht="15" hidden="false" customHeight="false" outlineLevel="0" collapsed="false">
      <c r="A25" s="0" t="s">
        <v>78</v>
      </c>
      <c r="B25" s="0" t="s">
        <v>49</v>
      </c>
      <c r="C25" s="0" t="s">
        <v>80</v>
      </c>
      <c r="D25" s="0" t="s">
        <v>50</v>
      </c>
      <c r="E25" s="38" t="n">
        <v>299508</v>
      </c>
      <c r="F25" s="39" t="n">
        <v>2200</v>
      </c>
    </row>
    <row r="26" customFormat="false" ht="15" hidden="false" customHeight="false" outlineLevel="0" collapsed="false">
      <c r="A26" s="0" t="s">
        <v>81</v>
      </c>
      <c r="B26" s="0" t="s">
        <v>67</v>
      </c>
      <c r="C26" s="0" t="s">
        <v>82</v>
      </c>
      <c r="D26" s="0" t="s">
        <v>48</v>
      </c>
      <c r="E26" s="38" t="n">
        <v>24838632</v>
      </c>
      <c r="F26" s="39" t="n">
        <v>27846000</v>
      </c>
    </row>
    <row r="27" customFormat="false" ht="15" hidden="false" customHeight="false" outlineLevel="0" collapsed="false">
      <c r="A27" s="0" t="s">
        <v>83</v>
      </c>
      <c r="B27" s="0" t="s">
        <v>46</v>
      </c>
      <c r="C27" s="0" t="s">
        <v>84</v>
      </c>
      <c r="D27" s="0" t="s">
        <v>48</v>
      </c>
      <c r="E27" s="38" t="n">
        <v>9261023.52</v>
      </c>
      <c r="F27" s="39" t="n">
        <v>64099</v>
      </c>
    </row>
    <row r="28" customFormat="false" ht="15" hidden="false" customHeight="false" outlineLevel="0" collapsed="false">
      <c r="A28" s="0" t="s">
        <v>83</v>
      </c>
      <c r="B28" s="0" t="s">
        <v>49</v>
      </c>
      <c r="C28" s="0" t="s">
        <v>84</v>
      </c>
      <c r="D28" s="0" t="s">
        <v>53</v>
      </c>
      <c r="E28" s="38" t="n">
        <v>1083600</v>
      </c>
      <c r="F28" s="39" t="n">
        <v>7500</v>
      </c>
      <c r="P28" s="37"/>
      <c r="Q28" s="37"/>
      <c r="R28" s="37"/>
      <c r="S28" s="35"/>
      <c r="T28" s="35"/>
      <c r="U28" s="35"/>
      <c r="V28" s="35"/>
    </row>
    <row r="29" customFormat="false" ht="15" hidden="false" customHeight="false" outlineLevel="0" collapsed="false">
      <c r="A29" s="0" t="s">
        <v>85</v>
      </c>
      <c r="B29" s="0" t="s">
        <v>46</v>
      </c>
      <c r="C29" s="0" t="s">
        <v>86</v>
      </c>
      <c r="D29" s="0" t="s">
        <v>48</v>
      </c>
      <c r="E29" s="38" t="n">
        <v>28400929</v>
      </c>
      <c r="F29" s="39" t="n">
        <v>1234823</v>
      </c>
      <c r="P29" s="37"/>
      <c r="Q29" s="37"/>
      <c r="R29" s="37"/>
      <c r="S29" s="35"/>
      <c r="T29" s="35"/>
      <c r="U29" s="35"/>
      <c r="V29" s="35"/>
    </row>
    <row r="30" customFormat="false" ht="15" hidden="false" customHeight="false" outlineLevel="0" collapsed="false">
      <c r="A30" s="0" t="s">
        <v>87</v>
      </c>
      <c r="B30" s="0" t="s">
        <v>67</v>
      </c>
      <c r="C30" s="0" t="s">
        <v>88</v>
      </c>
      <c r="D30" s="0" t="s">
        <v>48</v>
      </c>
      <c r="E30" s="38" t="n">
        <v>68631250</v>
      </c>
      <c r="F30" s="39" t="n">
        <v>69500000</v>
      </c>
      <c r="P30" s="37"/>
      <c r="Q30" s="37"/>
      <c r="R30" s="37"/>
      <c r="S30" s="35"/>
      <c r="T30" s="35"/>
      <c r="U30" s="35"/>
      <c r="V30" s="35"/>
    </row>
    <row r="31" customFormat="false" ht="15" hidden="false" customHeight="false" outlineLevel="0" collapsed="false">
      <c r="A31" s="0" t="s">
        <v>89</v>
      </c>
      <c r="B31" s="0" t="s">
        <v>49</v>
      </c>
      <c r="C31" s="0" t="s">
        <v>90</v>
      </c>
      <c r="D31" s="0" t="s">
        <v>53</v>
      </c>
      <c r="E31" s="38" t="n">
        <v>7427011</v>
      </c>
      <c r="F31" s="39" t="n">
        <v>52700</v>
      </c>
      <c r="P31" s="37"/>
      <c r="Q31" s="37"/>
      <c r="R31" s="37"/>
      <c r="S31" s="35"/>
      <c r="T31" s="35"/>
      <c r="U31" s="35"/>
      <c r="V31" s="35"/>
    </row>
    <row r="32" customFormat="false" ht="15" hidden="false" customHeight="false" outlineLevel="0" collapsed="false">
      <c r="A32" s="0" t="s">
        <v>89</v>
      </c>
      <c r="B32" s="0" t="s">
        <v>49</v>
      </c>
      <c r="C32" s="0" t="s">
        <v>90</v>
      </c>
      <c r="D32" s="0" t="s">
        <v>50</v>
      </c>
      <c r="E32" s="38" t="n">
        <v>7427011</v>
      </c>
      <c r="F32" s="39" t="n">
        <v>52700</v>
      </c>
      <c r="P32" s="37"/>
      <c r="Q32" s="37"/>
      <c r="R32" s="37"/>
      <c r="S32" s="35"/>
      <c r="T32" s="35"/>
      <c r="U32" s="35"/>
      <c r="V32" s="35"/>
    </row>
    <row r="33" customFormat="false" ht="15" hidden="false" customHeight="false" outlineLevel="0" collapsed="false">
      <c r="A33" s="0" t="s">
        <v>89</v>
      </c>
      <c r="B33" s="0" t="s">
        <v>49</v>
      </c>
      <c r="C33" s="0" t="s">
        <v>91</v>
      </c>
      <c r="D33" s="0" t="s">
        <v>53</v>
      </c>
      <c r="E33" s="38" t="n">
        <v>8185834</v>
      </c>
      <c r="F33" s="39" t="n">
        <v>58600</v>
      </c>
      <c r="P33" s="37"/>
      <c r="Q33" s="37"/>
      <c r="R33" s="37"/>
      <c r="S33" s="35"/>
      <c r="T33" s="35"/>
      <c r="U33" s="35"/>
      <c r="V33" s="35"/>
    </row>
    <row r="34" customFormat="false" ht="15" hidden="false" customHeight="false" outlineLevel="0" collapsed="false">
      <c r="A34" s="0" t="s">
        <v>89</v>
      </c>
      <c r="B34" s="0" t="s">
        <v>49</v>
      </c>
      <c r="C34" s="0" t="s">
        <v>91</v>
      </c>
      <c r="D34" s="0" t="s">
        <v>50</v>
      </c>
      <c r="E34" s="38" t="n">
        <v>8185834</v>
      </c>
      <c r="F34" s="39" t="n">
        <v>58600</v>
      </c>
      <c r="P34" s="37"/>
      <c r="Q34" s="37"/>
      <c r="R34" s="37"/>
      <c r="S34" s="35"/>
      <c r="T34" s="35"/>
      <c r="U34" s="35"/>
      <c r="V34" s="35"/>
    </row>
    <row r="35" customFormat="false" ht="15" hidden="false" customHeight="false" outlineLevel="0" collapsed="false">
      <c r="A35" s="0" t="s">
        <v>92</v>
      </c>
      <c r="B35" s="0" t="s">
        <v>67</v>
      </c>
      <c r="C35" s="0" t="s">
        <v>93</v>
      </c>
      <c r="D35" s="0" t="s">
        <v>48</v>
      </c>
      <c r="E35" s="38" t="n">
        <v>39768750</v>
      </c>
      <c r="F35" s="39" t="n">
        <v>37500000</v>
      </c>
      <c r="P35" s="37"/>
      <c r="Q35" s="37"/>
      <c r="R35" s="37"/>
      <c r="S35" s="35"/>
      <c r="T35" s="35"/>
      <c r="U35" s="35"/>
      <c r="V35" s="35"/>
    </row>
    <row r="36" customFormat="false" ht="15" hidden="false" customHeight="false" outlineLevel="0" collapsed="false">
      <c r="A36" s="0" t="s">
        <v>94</v>
      </c>
      <c r="B36" s="0" t="s">
        <v>67</v>
      </c>
      <c r="C36" s="0" t="s">
        <v>95</v>
      </c>
      <c r="D36" s="0" t="s">
        <v>48</v>
      </c>
      <c r="E36" s="38" t="n">
        <v>8758125</v>
      </c>
      <c r="F36" s="39" t="n">
        <v>6750000</v>
      </c>
      <c r="P36" s="37"/>
      <c r="Q36" s="37"/>
      <c r="R36" s="37"/>
      <c r="S36" s="35"/>
      <c r="T36" s="35"/>
      <c r="U36" s="35"/>
      <c r="V36" s="35"/>
    </row>
    <row r="37" customFormat="false" ht="15" hidden="false" customHeight="false" outlineLevel="0" collapsed="false">
      <c r="A37" s="0" t="s">
        <v>96</v>
      </c>
      <c r="B37" s="0" t="s">
        <v>46</v>
      </c>
      <c r="C37" s="0" t="s">
        <v>97</v>
      </c>
      <c r="D37" s="0" t="s">
        <v>48</v>
      </c>
      <c r="E37" s="38" t="n">
        <v>3734934.72</v>
      </c>
      <c r="F37" s="39" t="n">
        <v>353687</v>
      </c>
      <c r="P37" s="37"/>
      <c r="Q37" s="37"/>
      <c r="R37" s="37"/>
      <c r="S37" s="35"/>
      <c r="T37" s="35"/>
      <c r="U37" s="35"/>
      <c r="V37" s="35"/>
    </row>
    <row r="38" customFormat="false" ht="15" hidden="false" customHeight="false" outlineLevel="0" collapsed="false">
      <c r="A38" s="0" t="s">
        <v>98</v>
      </c>
      <c r="B38" s="0" t="s">
        <v>46</v>
      </c>
      <c r="C38" s="0" t="s">
        <v>99</v>
      </c>
      <c r="D38" s="0" t="s">
        <v>48</v>
      </c>
      <c r="E38" s="38" t="n">
        <v>1451534.5</v>
      </c>
      <c r="F38" s="39" t="n">
        <v>446626</v>
      </c>
      <c r="P38" s="37"/>
      <c r="Q38" s="37"/>
      <c r="R38" s="37"/>
      <c r="S38" s="35"/>
      <c r="T38" s="35"/>
      <c r="U38" s="35"/>
      <c r="V38" s="35"/>
    </row>
    <row r="39" customFormat="false" ht="15" hidden="false" customHeight="false" outlineLevel="0" collapsed="false">
      <c r="A39" s="0" t="s">
        <v>100</v>
      </c>
      <c r="B39" s="0" t="s">
        <v>49</v>
      </c>
      <c r="C39" s="0" t="s">
        <v>101</v>
      </c>
      <c r="D39" s="0" t="s">
        <v>53</v>
      </c>
      <c r="E39" s="38" t="n">
        <v>9541832</v>
      </c>
      <c r="F39" s="39" t="n">
        <v>62800</v>
      </c>
      <c r="P39" s="37"/>
      <c r="Q39" s="37"/>
      <c r="R39" s="37"/>
      <c r="S39" s="35"/>
      <c r="T39" s="35"/>
      <c r="U39" s="35"/>
      <c r="V39" s="35"/>
    </row>
    <row r="40" customFormat="false" ht="15" hidden="false" customHeight="false" outlineLevel="0" collapsed="false">
      <c r="A40" s="0" t="s">
        <v>100</v>
      </c>
      <c r="B40" s="0" t="s">
        <v>49</v>
      </c>
      <c r="C40" s="0" t="s">
        <v>101</v>
      </c>
      <c r="D40" s="0" t="s">
        <v>50</v>
      </c>
      <c r="E40" s="38" t="n">
        <v>9541832</v>
      </c>
      <c r="F40" s="39" t="n">
        <v>62800</v>
      </c>
    </row>
    <row r="41" customFormat="false" ht="15" hidden="false" customHeight="false" outlineLevel="0" collapsed="false">
      <c r="A41" s="0" t="s">
        <v>102</v>
      </c>
      <c r="B41" s="0" t="s">
        <v>46</v>
      </c>
      <c r="C41" s="0" t="s">
        <v>103</v>
      </c>
      <c r="D41" s="0" t="s">
        <v>48</v>
      </c>
      <c r="E41" s="38" t="n">
        <v>880048.44</v>
      </c>
      <c r="F41" s="39" t="n">
        <v>46836</v>
      </c>
    </row>
    <row r="42" customFormat="false" ht="15" hidden="false" customHeight="false" outlineLevel="0" collapsed="false">
      <c r="A42" s="0" t="s">
        <v>104</v>
      </c>
      <c r="B42" s="0" t="s">
        <v>49</v>
      </c>
      <c r="C42" s="0" t="s">
        <v>105</v>
      </c>
      <c r="D42" s="0" t="s">
        <v>50</v>
      </c>
      <c r="E42" s="38" t="n">
        <v>5908200</v>
      </c>
      <c r="F42" s="39" t="n">
        <v>430000</v>
      </c>
    </row>
    <row r="43" customFormat="false" ht="15" hidden="false" customHeight="false" outlineLevel="0" collapsed="false">
      <c r="A43" s="0" t="s">
        <v>106</v>
      </c>
      <c r="B43" s="0" t="s">
        <v>46</v>
      </c>
      <c r="C43" s="0" t="s">
        <v>107</v>
      </c>
      <c r="D43" s="0" t="s">
        <v>48</v>
      </c>
      <c r="E43" s="38" t="n">
        <v>1310478.69</v>
      </c>
      <c r="F43" s="39" t="n">
        <v>148749</v>
      </c>
    </row>
    <row r="44" customFormat="false" ht="15" hidden="false" customHeight="false" outlineLevel="0" collapsed="false">
      <c r="A44" s="0" t="s">
        <v>108</v>
      </c>
      <c r="B44" s="0" t="s">
        <v>46</v>
      </c>
      <c r="C44" s="0" t="s">
        <v>109</v>
      </c>
      <c r="D44" s="0" t="s">
        <v>48</v>
      </c>
      <c r="E44" s="38" t="n">
        <v>658612.98</v>
      </c>
      <c r="F44" s="39" t="n">
        <v>8109</v>
      </c>
    </row>
    <row r="45" customFormat="false" ht="15" hidden="false" customHeight="false" outlineLevel="0" collapsed="false">
      <c r="A45" s="0" t="s">
        <v>108</v>
      </c>
      <c r="B45" s="0" t="s">
        <v>49</v>
      </c>
      <c r="C45" s="0" t="s">
        <v>109</v>
      </c>
      <c r="D45" s="0" t="s">
        <v>53</v>
      </c>
      <c r="E45" s="38" t="n">
        <v>3711754</v>
      </c>
      <c r="F45" s="39" t="n">
        <v>45700</v>
      </c>
    </row>
    <row r="46" customFormat="false" ht="15" hidden="false" customHeight="false" outlineLevel="0" collapsed="false">
      <c r="A46" s="0" t="s">
        <v>108</v>
      </c>
      <c r="B46" s="0" t="s">
        <v>49</v>
      </c>
      <c r="C46" s="0" t="s">
        <v>109</v>
      </c>
      <c r="D46" s="0" t="s">
        <v>50</v>
      </c>
      <c r="E46" s="38" t="n">
        <v>3711754</v>
      </c>
      <c r="F46" s="39" t="n">
        <v>45700</v>
      </c>
    </row>
    <row r="47" customFormat="false" ht="15" hidden="false" customHeight="false" outlineLevel="0" collapsed="false">
      <c r="A47" s="0" t="s">
        <v>110</v>
      </c>
      <c r="B47" s="0" t="s">
        <v>49</v>
      </c>
      <c r="C47" s="0" t="s">
        <v>111</v>
      </c>
      <c r="D47" s="0" t="s">
        <v>53</v>
      </c>
      <c r="E47" s="38" t="n">
        <v>7268792</v>
      </c>
      <c r="F47" s="39" t="n">
        <v>38800</v>
      </c>
    </row>
    <row r="48" customFormat="false" ht="15" hidden="false" customHeight="false" outlineLevel="0" collapsed="false">
      <c r="A48" s="0" t="s">
        <v>110</v>
      </c>
      <c r="B48" s="0" t="s">
        <v>49</v>
      </c>
      <c r="C48" s="0" t="s">
        <v>111</v>
      </c>
      <c r="D48" s="0" t="s">
        <v>50</v>
      </c>
      <c r="E48" s="38" t="n">
        <v>7268792</v>
      </c>
      <c r="F48" s="39" t="n">
        <v>38800</v>
      </c>
    </row>
    <row r="49" customFormat="false" ht="15" hidden="false" customHeight="false" outlineLevel="0" collapsed="false">
      <c r="A49" s="0" t="s">
        <v>112</v>
      </c>
      <c r="B49" s="0" t="s">
        <v>46</v>
      </c>
      <c r="C49" s="0" t="s">
        <v>113</v>
      </c>
      <c r="D49" s="0" t="s">
        <v>48</v>
      </c>
      <c r="E49" s="38" t="n">
        <v>1727.04</v>
      </c>
      <c r="F49" s="39" t="n">
        <v>8</v>
      </c>
    </row>
    <row r="50" customFormat="false" ht="15" hidden="false" customHeight="false" outlineLevel="0" collapsed="false">
      <c r="A50" s="0" t="s">
        <v>112</v>
      </c>
      <c r="B50" s="0" t="s">
        <v>49</v>
      </c>
      <c r="C50" s="0" t="s">
        <v>113</v>
      </c>
      <c r="D50" s="0" t="s">
        <v>53</v>
      </c>
      <c r="E50" s="38" t="n">
        <v>86352</v>
      </c>
      <c r="F50" s="39" t="n">
        <v>400</v>
      </c>
    </row>
    <row r="51" customFormat="false" ht="15" hidden="false" customHeight="false" outlineLevel="0" collapsed="false">
      <c r="A51" s="0" t="s">
        <v>112</v>
      </c>
      <c r="B51" s="0" t="s">
        <v>49</v>
      </c>
      <c r="C51" s="0" t="s">
        <v>113</v>
      </c>
      <c r="D51" s="0" t="s">
        <v>50</v>
      </c>
      <c r="E51" s="38" t="n">
        <v>86352</v>
      </c>
      <c r="F51" s="39" t="n">
        <v>400</v>
      </c>
    </row>
    <row r="52" customFormat="false" ht="15" hidden="false" customHeight="false" outlineLevel="0" collapsed="false">
      <c r="A52" s="0" t="s">
        <v>114</v>
      </c>
      <c r="B52" s="0" t="s">
        <v>49</v>
      </c>
      <c r="C52" s="0" t="s">
        <v>115</v>
      </c>
      <c r="D52" s="0" t="s">
        <v>53</v>
      </c>
      <c r="E52" s="38" t="n">
        <v>518436</v>
      </c>
      <c r="F52" s="39" t="n">
        <v>1800</v>
      </c>
    </row>
    <row r="53" customFormat="false" ht="15" hidden="false" customHeight="false" outlineLevel="0" collapsed="false">
      <c r="A53" s="0" t="s">
        <v>114</v>
      </c>
      <c r="B53" s="0" t="s">
        <v>49</v>
      </c>
      <c r="C53" s="0" t="s">
        <v>115</v>
      </c>
      <c r="D53" s="0" t="s">
        <v>50</v>
      </c>
      <c r="E53" s="38" t="n">
        <v>518436</v>
      </c>
      <c r="F53" s="39" t="n">
        <v>1800</v>
      </c>
    </row>
    <row r="54" customFormat="false" ht="15" hidden="false" customHeight="false" outlineLevel="0" collapsed="false">
      <c r="A54" s="0" t="s">
        <v>116</v>
      </c>
      <c r="B54" s="0" t="s">
        <v>46</v>
      </c>
      <c r="C54" s="0" t="s">
        <v>117</v>
      </c>
      <c r="D54" s="0" t="s">
        <v>48</v>
      </c>
      <c r="E54" s="38" t="n">
        <v>4694397</v>
      </c>
      <c r="F54" s="39" t="n">
        <v>141100</v>
      </c>
    </row>
    <row r="55" customFormat="false" ht="15" hidden="false" customHeight="false" outlineLevel="0" collapsed="false">
      <c r="A55" s="0" t="s">
        <v>118</v>
      </c>
      <c r="B55" s="0" t="s">
        <v>67</v>
      </c>
      <c r="C55" s="0" t="s">
        <v>119</v>
      </c>
      <c r="D55" s="0" t="s">
        <v>48</v>
      </c>
      <c r="E55" s="38" t="n">
        <v>53570000</v>
      </c>
      <c r="F55" s="39" t="n">
        <v>44000000</v>
      </c>
    </row>
    <row r="56" customFormat="false" ht="15" hidden="false" customHeight="false" outlineLevel="0" collapsed="false">
      <c r="A56" s="0" t="s">
        <v>120</v>
      </c>
      <c r="B56" s="0" t="s">
        <v>46</v>
      </c>
      <c r="C56" s="0" t="s">
        <v>121</v>
      </c>
      <c r="D56" s="0" t="s">
        <v>48</v>
      </c>
      <c r="E56" s="38" t="n">
        <v>2196540.48</v>
      </c>
      <c r="F56" s="39" t="n">
        <v>172684</v>
      </c>
    </row>
    <row r="57" customFormat="false" ht="15" hidden="false" customHeight="false" outlineLevel="0" collapsed="false">
      <c r="A57" s="0" t="s">
        <v>122</v>
      </c>
      <c r="B57" s="0" t="s">
        <v>46</v>
      </c>
      <c r="C57" s="0" t="s">
        <v>123</v>
      </c>
      <c r="D57" s="0" t="s">
        <v>48</v>
      </c>
      <c r="E57" s="38" t="n">
        <v>18664.64</v>
      </c>
      <c r="F57" s="39" t="n">
        <v>94</v>
      </c>
    </row>
    <row r="58" customFormat="false" ht="15" hidden="false" customHeight="false" outlineLevel="0" collapsed="false">
      <c r="A58" s="0" t="s">
        <v>122</v>
      </c>
      <c r="B58" s="0" t="s">
        <v>49</v>
      </c>
      <c r="C58" s="0" t="s">
        <v>123</v>
      </c>
      <c r="D58" s="0" t="s">
        <v>53</v>
      </c>
      <c r="E58" s="38" t="n">
        <v>1171504</v>
      </c>
      <c r="F58" s="39" t="n">
        <v>5900</v>
      </c>
    </row>
    <row r="59" customFormat="false" ht="15" hidden="false" customHeight="false" outlineLevel="0" collapsed="false">
      <c r="A59" s="0" t="s">
        <v>122</v>
      </c>
      <c r="B59" s="0" t="s">
        <v>49</v>
      </c>
      <c r="C59" s="0" t="s">
        <v>123</v>
      </c>
      <c r="D59" s="0" t="s">
        <v>50</v>
      </c>
      <c r="E59" s="38" t="n">
        <v>1171504</v>
      </c>
      <c r="F59" s="39" t="n">
        <v>5900</v>
      </c>
    </row>
    <row r="60" customFormat="false" ht="15" hidden="false" customHeight="false" outlineLevel="0" collapsed="false">
      <c r="A60" s="0" t="s">
        <v>124</v>
      </c>
      <c r="B60" s="0" t="s">
        <v>46</v>
      </c>
      <c r="C60" s="0" t="s">
        <v>125</v>
      </c>
      <c r="D60" s="0" t="s">
        <v>48</v>
      </c>
      <c r="E60" s="38" t="n">
        <v>17019072</v>
      </c>
      <c r="F60" s="39" t="n">
        <v>46900</v>
      </c>
    </row>
    <row r="61" customFormat="false" ht="15" hidden="false" customHeight="false" outlineLevel="0" collapsed="false">
      <c r="A61" s="0" t="s">
        <v>126</v>
      </c>
      <c r="B61" s="0" t="s">
        <v>46</v>
      </c>
      <c r="C61" s="0" t="s">
        <v>127</v>
      </c>
      <c r="D61" s="0" t="s">
        <v>48</v>
      </c>
      <c r="E61" s="38" t="n">
        <v>862951.32</v>
      </c>
      <c r="F61" s="39" t="n">
        <v>38049</v>
      </c>
    </row>
    <row r="62" customFormat="false" ht="15" hidden="false" customHeight="false" outlineLevel="0" collapsed="false">
      <c r="A62" s="0" t="s">
        <v>128</v>
      </c>
      <c r="B62" s="0" t="s">
        <v>46</v>
      </c>
      <c r="C62" s="0" t="s">
        <v>129</v>
      </c>
      <c r="D62" s="0" t="s">
        <v>48</v>
      </c>
      <c r="E62" s="38" t="n">
        <v>1303714.94</v>
      </c>
      <c r="F62" s="39" t="n">
        <v>160754</v>
      </c>
    </row>
    <row r="63" customFormat="false" ht="15" hidden="false" customHeight="false" outlineLevel="0" collapsed="false">
      <c r="A63" s="0" t="s">
        <v>130</v>
      </c>
      <c r="B63" s="0" t="s">
        <v>46</v>
      </c>
      <c r="C63" s="0" t="s">
        <v>131</v>
      </c>
      <c r="D63" s="0" t="s">
        <v>48</v>
      </c>
      <c r="E63" s="38" t="n">
        <v>866322.6</v>
      </c>
      <c r="F63" s="39" t="n">
        <v>24145</v>
      </c>
    </row>
    <row r="64" customFormat="false" ht="15" hidden="false" customHeight="false" outlineLevel="0" collapsed="false">
      <c r="A64" s="0" t="s">
        <v>132</v>
      </c>
      <c r="B64" s="0" t="s">
        <v>49</v>
      </c>
      <c r="C64" s="0" t="s">
        <v>133</v>
      </c>
      <c r="D64" s="0" t="s">
        <v>53</v>
      </c>
      <c r="E64" s="38" t="n">
        <v>1779929</v>
      </c>
      <c r="F64" s="39" t="n">
        <v>19100</v>
      </c>
    </row>
    <row r="65" customFormat="false" ht="15" hidden="false" customHeight="false" outlineLevel="0" collapsed="false">
      <c r="A65" s="0" t="s">
        <v>132</v>
      </c>
      <c r="B65" s="0" t="s">
        <v>49</v>
      </c>
      <c r="C65" s="0" t="s">
        <v>133</v>
      </c>
      <c r="D65" s="0" t="s">
        <v>50</v>
      </c>
      <c r="E65" s="38" t="n">
        <v>1779929</v>
      </c>
      <c r="F65" s="39" t="n">
        <v>19100</v>
      </c>
    </row>
    <row r="66" customFormat="false" ht="15" hidden="false" customHeight="false" outlineLevel="0" collapsed="false">
      <c r="A66" s="0" t="s">
        <v>134</v>
      </c>
      <c r="B66" s="0" t="s">
        <v>49</v>
      </c>
      <c r="C66" s="0" t="s">
        <v>135</v>
      </c>
      <c r="D66" s="0" t="s">
        <v>53</v>
      </c>
      <c r="E66" s="38" t="n">
        <v>30766294</v>
      </c>
      <c r="F66" s="39" t="n">
        <v>159800</v>
      </c>
    </row>
    <row r="67" customFormat="false" ht="15" hidden="false" customHeight="false" outlineLevel="0" collapsed="false">
      <c r="A67" s="0" t="s">
        <v>134</v>
      </c>
      <c r="B67" s="0" t="s">
        <v>49</v>
      </c>
      <c r="C67" s="0" t="s">
        <v>135</v>
      </c>
      <c r="D67" s="0" t="s">
        <v>50</v>
      </c>
      <c r="E67" s="38" t="n">
        <v>30766294</v>
      </c>
      <c r="F67" s="39" t="n">
        <v>159800</v>
      </c>
    </row>
    <row r="68" customFormat="false" ht="15" hidden="false" customHeight="false" outlineLevel="0" collapsed="false">
      <c r="A68" s="0" t="s">
        <v>136</v>
      </c>
      <c r="B68" s="0" t="s">
        <v>49</v>
      </c>
      <c r="C68" s="0" t="s">
        <v>137</v>
      </c>
      <c r="D68" s="0" t="s">
        <v>53</v>
      </c>
      <c r="E68" s="38" t="n">
        <v>2414843</v>
      </c>
      <c r="F68" s="39" t="n">
        <v>14900</v>
      </c>
    </row>
    <row r="69" customFormat="false" ht="15" hidden="false" customHeight="false" outlineLevel="0" collapsed="false">
      <c r="A69" s="0" t="s">
        <v>136</v>
      </c>
      <c r="B69" s="0" t="s">
        <v>49</v>
      </c>
      <c r="C69" s="0" t="s">
        <v>137</v>
      </c>
      <c r="D69" s="0" t="s">
        <v>50</v>
      </c>
      <c r="E69" s="38" t="n">
        <v>2414843</v>
      </c>
      <c r="F69" s="39" t="n">
        <v>14900</v>
      </c>
    </row>
    <row r="70" customFormat="false" ht="15" hidden="false" customHeight="false" outlineLevel="0" collapsed="false">
      <c r="A70" s="0" t="s">
        <v>138</v>
      </c>
      <c r="B70" s="0" t="s">
        <v>49</v>
      </c>
      <c r="C70" s="0" t="s">
        <v>139</v>
      </c>
      <c r="D70" s="0" t="s">
        <v>53</v>
      </c>
      <c r="E70" s="38" t="n">
        <v>376824</v>
      </c>
      <c r="F70" s="39" t="n">
        <v>4200</v>
      </c>
    </row>
    <row r="71" customFormat="false" ht="15" hidden="false" customHeight="false" outlineLevel="0" collapsed="false">
      <c r="A71" s="0" t="s">
        <v>140</v>
      </c>
      <c r="B71" s="0" t="s">
        <v>46</v>
      </c>
      <c r="C71" s="0" t="s">
        <v>141</v>
      </c>
      <c r="D71" s="0" t="s">
        <v>48</v>
      </c>
      <c r="E71" s="38" t="n">
        <v>1476700.06</v>
      </c>
      <c r="F71" s="39" t="n">
        <v>8899</v>
      </c>
    </row>
    <row r="72" customFormat="false" ht="15" hidden="false" customHeight="false" outlineLevel="0" collapsed="false">
      <c r="A72" s="0" t="s">
        <v>142</v>
      </c>
      <c r="B72" s="0" t="s">
        <v>67</v>
      </c>
      <c r="C72" s="0" t="s">
        <v>143</v>
      </c>
      <c r="D72" s="0" t="s">
        <v>48</v>
      </c>
      <c r="E72" s="38" t="n">
        <v>16783250</v>
      </c>
      <c r="F72" s="39" t="n">
        <v>17000000</v>
      </c>
    </row>
    <row r="73" customFormat="false" ht="15" hidden="false" customHeight="false" outlineLevel="0" collapsed="false">
      <c r="A73" s="0" t="s">
        <v>144</v>
      </c>
      <c r="B73" s="0" t="s">
        <v>67</v>
      </c>
      <c r="C73" s="0" t="s">
        <v>145</v>
      </c>
      <c r="D73" s="0" t="s">
        <v>48</v>
      </c>
      <c r="E73" s="38" t="n">
        <v>7490757.5</v>
      </c>
      <c r="F73" s="39" t="n">
        <v>7025000</v>
      </c>
    </row>
    <row r="74" customFormat="false" ht="15" hidden="false" customHeight="false" outlineLevel="0" collapsed="false">
      <c r="A74" s="0" t="s">
        <v>146</v>
      </c>
      <c r="B74" s="0" t="s">
        <v>67</v>
      </c>
      <c r="C74" s="0" t="s">
        <v>147</v>
      </c>
      <c r="D74" s="0" t="s">
        <v>48</v>
      </c>
      <c r="E74" s="38" t="n">
        <v>26705752.5</v>
      </c>
      <c r="F74" s="39" t="n">
        <v>25991000</v>
      </c>
    </row>
    <row r="75" customFormat="false" ht="15" hidden="false" customHeight="false" outlineLevel="0" collapsed="false">
      <c r="A75" s="0" t="s">
        <v>148</v>
      </c>
      <c r="B75" s="0" t="s">
        <v>49</v>
      </c>
      <c r="C75" s="0" t="s">
        <v>149</v>
      </c>
      <c r="D75" s="0" t="s">
        <v>53</v>
      </c>
      <c r="E75" s="38" t="n">
        <v>756920</v>
      </c>
      <c r="F75" s="39" t="n">
        <v>1000</v>
      </c>
    </row>
    <row r="76" customFormat="false" ht="15" hidden="false" customHeight="false" outlineLevel="0" collapsed="false">
      <c r="A76" s="0" t="s">
        <v>148</v>
      </c>
      <c r="B76" s="0" t="s">
        <v>49</v>
      </c>
      <c r="C76" s="0" t="s">
        <v>149</v>
      </c>
      <c r="D76" s="0" t="s">
        <v>50</v>
      </c>
      <c r="E76" s="38" t="n">
        <v>756920</v>
      </c>
      <c r="F76" s="39" t="n">
        <v>1000</v>
      </c>
    </row>
    <row r="77" customFormat="false" ht="15" hidden="false" customHeight="false" outlineLevel="0" collapsed="false">
      <c r="A77" s="0" t="s">
        <v>150</v>
      </c>
      <c r="B77" s="0" t="s">
        <v>46</v>
      </c>
      <c r="C77" s="0" t="s">
        <v>151</v>
      </c>
      <c r="D77" s="0" t="s">
        <v>48</v>
      </c>
      <c r="E77" s="38" t="n">
        <v>285698.7</v>
      </c>
      <c r="F77" s="39" t="n">
        <v>4242</v>
      </c>
    </row>
    <row r="78" customFormat="false" ht="15" hidden="false" customHeight="false" outlineLevel="0" collapsed="false">
      <c r="A78" s="0" t="s">
        <v>150</v>
      </c>
      <c r="B78" s="0" t="s">
        <v>49</v>
      </c>
      <c r="C78" s="0" t="s">
        <v>151</v>
      </c>
      <c r="D78" s="0" t="s">
        <v>53</v>
      </c>
      <c r="E78" s="38" t="n">
        <v>532065</v>
      </c>
      <c r="F78" s="39" t="n">
        <v>7900</v>
      </c>
    </row>
    <row r="79" customFormat="false" ht="15" hidden="false" customHeight="false" outlineLevel="0" collapsed="false">
      <c r="A79" s="0" t="s">
        <v>150</v>
      </c>
      <c r="B79" s="0" t="s">
        <v>49</v>
      </c>
      <c r="C79" s="0" t="s">
        <v>151</v>
      </c>
      <c r="D79" s="0" t="s">
        <v>50</v>
      </c>
      <c r="E79" s="38" t="n">
        <v>532065</v>
      </c>
      <c r="F79" s="39" t="n">
        <v>7900</v>
      </c>
    </row>
    <row r="80" customFormat="false" ht="15" hidden="false" customHeight="false" outlineLevel="0" collapsed="false">
      <c r="A80" s="0" t="s">
        <v>152</v>
      </c>
      <c r="B80" s="0" t="s">
        <v>49</v>
      </c>
      <c r="C80" s="0" t="s">
        <v>153</v>
      </c>
      <c r="D80" s="0" t="s">
        <v>53</v>
      </c>
      <c r="E80" s="38" t="n">
        <v>107392</v>
      </c>
      <c r="F80" s="39" t="n">
        <v>6400</v>
      </c>
    </row>
    <row r="81" customFormat="false" ht="15" hidden="false" customHeight="false" outlineLevel="0" collapsed="false">
      <c r="A81" s="0" t="s">
        <v>152</v>
      </c>
      <c r="B81" s="0" t="s">
        <v>49</v>
      </c>
      <c r="C81" s="0" t="s">
        <v>153</v>
      </c>
      <c r="D81" s="0" t="s">
        <v>50</v>
      </c>
      <c r="E81" s="38" t="n">
        <v>107392</v>
      </c>
      <c r="F81" s="39" t="n">
        <v>6400</v>
      </c>
    </row>
    <row r="82" customFormat="false" ht="15" hidden="false" customHeight="false" outlineLevel="0" collapsed="false">
      <c r="A82" s="0" t="s">
        <v>154</v>
      </c>
      <c r="B82" s="0" t="s">
        <v>49</v>
      </c>
      <c r="C82" s="0" t="s">
        <v>155</v>
      </c>
      <c r="D82" s="0" t="s">
        <v>53</v>
      </c>
      <c r="E82" s="38" t="n">
        <v>1874796</v>
      </c>
      <c r="F82" s="39" t="n">
        <v>7700</v>
      </c>
    </row>
    <row r="83" customFormat="false" ht="15" hidden="false" customHeight="false" outlineLevel="0" collapsed="false">
      <c r="A83" s="0" t="s">
        <v>154</v>
      </c>
      <c r="B83" s="0" t="s">
        <v>49</v>
      </c>
      <c r="C83" s="0" t="s">
        <v>155</v>
      </c>
      <c r="D83" s="0" t="s">
        <v>50</v>
      </c>
      <c r="E83" s="38" t="n">
        <v>1874796</v>
      </c>
      <c r="F83" s="39" t="n">
        <v>7700</v>
      </c>
    </row>
    <row r="84" customFormat="false" ht="15" hidden="false" customHeight="false" outlineLevel="0" collapsed="false">
      <c r="A84" s="0" t="s">
        <v>156</v>
      </c>
      <c r="B84" s="0" t="s">
        <v>49</v>
      </c>
      <c r="C84" s="0" t="s">
        <v>157</v>
      </c>
      <c r="D84" s="0" t="s">
        <v>53</v>
      </c>
      <c r="E84" s="38" t="n">
        <v>302861</v>
      </c>
      <c r="F84" s="39" t="n">
        <v>1300</v>
      </c>
    </row>
    <row r="85" customFormat="false" ht="15" hidden="false" customHeight="false" outlineLevel="0" collapsed="false">
      <c r="A85" s="0" t="s">
        <v>156</v>
      </c>
      <c r="B85" s="0" t="s">
        <v>49</v>
      </c>
      <c r="C85" s="0" t="s">
        <v>157</v>
      </c>
      <c r="D85" s="0" t="s">
        <v>50</v>
      </c>
      <c r="E85" s="38" t="n">
        <v>302861</v>
      </c>
      <c r="F85" s="39" t="n">
        <v>1300</v>
      </c>
    </row>
    <row r="86" customFormat="false" ht="15" hidden="false" customHeight="false" outlineLevel="0" collapsed="false">
      <c r="A86" s="0" t="s">
        <v>158</v>
      </c>
      <c r="B86" s="0" t="s">
        <v>46</v>
      </c>
      <c r="C86" s="0" t="s">
        <v>159</v>
      </c>
      <c r="D86" s="0" t="s">
        <v>48</v>
      </c>
      <c r="E86" s="38" t="n">
        <v>276660.27</v>
      </c>
      <c r="F86" s="39" t="n">
        <v>107</v>
      </c>
    </row>
    <row r="87" customFormat="false" ht="15" hidden="false" customHeight="false" outlineLevel="0" collapsed="false">
      <c r="A87" s="0" t="s">
        <v>158</v>
      </c>
      <c r="B87" s="0" t="s">
        <v>49</v>
      </c>
      <c r="C87" s="0" t="s">
        <v>159</v>
      </c>
      <c r="D87" s="0" t="s">
        <v>53</v>
      </c>
      <c r="E87" s="38" t="n">
        <v>2068488</v>
      </c>
      <c r="F87" s="39" t="n">
        <v>800</v>
      </c>
    </row>
    <row r="88" customFormat="false" ht="15" hidden="false" customHeight="false" outlineLevel="0" collapsed="false">
      <c r="A88" s="0" t="s">
        <v>158</v>
      </c>
      <c r="B88" s="0" t="s">
        <v>49</v>
      </c>
      <c r="C88" s="0" t="s">
        <v>159</v>
      </c>
      <c r="D88" s="0" t="s">
        <v>50</v>
      </c>
      <c r="E88" s="38" t="n">
        <v>2068488</v>
      </c>
      <c r="F88" s="39" t="n">
        <v>800</v>
      </c>
    </row>
    <row r="89" customFormat="false" ht="15" hidden="false" customHeight="false" outlineLevel="0" collapsed="false">
      <c r="A89" s="0" t="s">
        <v>160</v>
      </c>
      <c r="B89" s="0" t="s">
        <v>46</v>
      </c>
      <c r="C89" s="0" t="s">
        <v>161</v>
      </c>
      <c r="D89" s="0" t="s">
        <v>48</v>
      </c>
      <c r="E89" s="38" t="n">
        <v>13444084.74</v>
      </c>
      <c r="F89" s="39" t="n">
        <v>588878</v>
      </c>
    </row>
    <row r="90" customFormat="false" ht="15" hidden="false" customHeight="false" outlineLevel="0" collapsed="false">
      <c r="A90" s="0" t="s">
        <v>162</v>
      </c>
      <c r="B90" s="0" t="s">
        <v>46</v>
      </c>
      <c r="C90" s="0" t="s">
        <v>163</v>
      </c>
      <c r="D90" s="0" t="s">
        <v>48</v>
      </c>
      <c r="E90" s="38" t="n">
        <v>1159200</v>
      </c>
      <c r="F90" s="39" t="n">
        <v>110400</v>
      </c>
    </row>
    <row r="91" customFormat="false" ht="15" hidden="false" customHeight="false" outlineLevel="0" collapsed="false">
      <c r="A91" s="0" t="s">
        <v>164</v>
      </c>
      <c r="B91" s="0" t="s">
        <v>49</v>
      </c>
      <c r="C91" s="0" t="s">
        <v>165</v>
      </c>
      <c r="D91" s="0" t="s">
        <v>53</v>
      </c>
      <c r="E91" s="38" t="n">
        <v>2597680</v>
      </c>
      <c r="F91" s="39" t="n">
        <v>76000</v>
      </c>
    </row>
    <row r="92" customFormat="false" ht="15" hidden="false" customHeight="false" outlineLevel="0" collapsed="false">
      <c r="A92" s="0" t="s">
        <v>166</v>
      </c>
      <c r="B92" s="0" t="s">
        <v>46</v>
      </c>
      <c r="C92" s="0" t="s">
        <v>167</v>
      </c>
      <c r="D92" s="0" t="s">
        <v>48</v>
      </c>
      <c r="E92" s="38" t="n">
        <v>1429547</v>
      </c>
      <c r="F92" s="39" t="n">
        <v>102550</v>
      </c>
    </row>
    <row r="93" customFormat="false" ht="15" hidden="false" customHeight="false" outlineLevel="0" collapsed="false">
      <c r="A93" s="0" t="s">
        <v>168</v>
      </c>
      <c r="B93" s="0" t="s">
        <v>49</v>
      </c>
      <c r="C93" s="0" t="s">
        <v>169</v>
      </c>
      <c r="D93" s="0" t="s">
        <v>53</v>
      </c>
      <c r="E93" s="38" t="n">
        <v>1979796</v>
      </c>
      <c r="F93" s="39" t="n">
        <v>58800</v>
      </c>
    </row>
    <row r="94" customFormat="false" ht="15" hidden="false" customHeight="false" outlineLevel="0" collapsed="false">
      <c r="A94" s="0" t="s">
        <v>168</v>
      </c>
      <c r="B94" s="0" t="s">
        <v>49</v>
      </c>
      <c r="C94" s="0" t="s">
        <v>169</v>
      </c>
      <c r="D94" s="0" t="s">
        <v>50</v>
      </c>
      <c r="E94" s="38" t="n">
        <v>10397296</v>
      </c>
      <c r="F94" s="39" t="n">
        <v>308800</v>
      </c>
    </row>
    <row r="95" customFormat="false" ht="15" hidden="false" customHeight="false" outlineLevel="0" collapsed="false">
      <c r="A95" s="0" t="s">
        <v>170</v>
      </c>
      <c r="B95" s="0" t="s">
        <v>46</v>
      </c>
      <c r="C95" s="0" t="s">
        <v>171</v>
      </c>
      <c r="D95" s="0" t="s">
        <v>48</v>
      </c>
      <c r="E95" s="38" t="n">
        <v>2933403.22</v>
      </c>
      <c r="F95" s="39" t="n">
        <v>365761</v>
      </c>
    </row>
    <row r="96" customFormat="false" ht="15" hidden="false" customHeight="false" outlineLevel="0" collapsed="false">
      <c r="A96" s="0" t="s">
        <v>172</v>
      </c>
      <c r="B96" s="0" t="s">
        <v>46</v>
      </c>
      <c r="C96" s="0" t="s">
        <v>173</v>
      </c>
      <c r="D96" s="0" t="s">
        <v>48</v>
      </c>
      <c r="E96" s="38" t="n">
        <v>1488738.94</v>
      </c>
      <c r="F96" s="39" t="n">
        <v>26858</v>
      </c>
    </row>
    <row r="97" customFormat="false" ht="15" hidden="false" customHeight="false" outlineLevel="0" collapsed="false">
      <c r="A97" s="0" t="s">
        <v>174</v>
      </c>
      <c r="B97" s="0" t="s">
        <v>67</v>
      </c>
      <c r="C97" s="0" t="s">
        <v>175</v>
      </c>
      <c r="D97" s="0" t="s">
        <v>48</v>
      </c>
      <c r="E97" s="38" t="n">
        <v>26085500</v>
      </c>
      <c r="F97" s="39" t="n">
        <v>29000000</v>
      </c>
    </row>
    <row r="98" customFormat="false" ht="15" hidden="false" customHeight="false" outlineLevel="0" collapsed="false">
      <c r="A98" s="0" t="s">
        <v>176</v>
      </c>
      <c r="B98" s="0" t="s">
        <v>49</v>
      </c>
      <c r="C98" s="0" t="s">
        <v>177</v>
      </c>
      <c r="D98" s="0" t="s">
        <v>53</v>
      </c>
      <c r="E98" s="38" t="n">
        <v>2603618</v>
      </c>
      <c r="F98" s="39" t="n">
        <v>7300</v>
      </c>
    </row>
    <row r="99" customFormat="false" ht="15" hidden="false" customHeight="false" outlineLevel="0" collapsed="false">
      <c r="A99" s="0" t="s">
        <v>176</v>
      </c>
      <c r="B99" s="0" t="s">
        <v>49</v>
      </c>
      <c r="C99" s="0" t="s">
        <v>177</v>
      </c>
      <c r="D99" s="0" t="s">
        <v>50</v>
      </c>
      <c r="E99" s="38" t="n">
        <v>2603618</v>
      </c>
      <c r="F99" s="39" t="n">
        <v>7300</v>
      </c>
    </row>
    <row r="100" customFormat="false" ht="15" hidden="false" customHeight="false" outlineLevel="0" collapsed="false">
      <c r="A100" s="0" t="s">
        <v>178</v>
      </c>
      <c r="B100" s="0" t="s">
        <v>46</v>
      </c>
      <c r="C100" s="0" t="s">
        <v>179</v>
      </c>
      <c r="D100" s="0" t="s">
        <v>48</v>
      </c>
      <c r="E100" s="38" t="n">
        <v>32877.6</v>
      </c>
      <c r="F100" s="39" t="n">
        <v>420</v>
      </c>
    </row>
    <row r="101" customFormat="false" ht="15" hidden="false" customHeight="false" outlineLevel="0" collapsed="false">
      <c r="A101" s="0" t="s">
        <v>178</v>
      </c>
      <c r="B101" s="0" t="s">
        <v>49</v>
      </c>
      <c r="C101" s="0" t="s">
        <v>179</v>
      </c>
      <c r="D101" s="0" t="s">
        <v>53</v>
      </c>
      <c r="E101" s="38" t="n">
        <v>422712</v>
      </c>
      <c r="F101" s="39" t="n">
        <v>5400</v>
      </c>
    </row>
    <row r="102" customFormat="false" ht="15" hidden="false" customHeight="false" outlineLevel="0" collapsed="false">
      <c r="A102" s="0" t="s">
        <v>178</v>
      </c>
      <c r="B102" s="0" t="s">
        <v>49</v>
      </c>
      <c r="C102" s="0" t="s">
        <v>179</v>
      </c>
      <c r="D102" s="0" t="s">
        <v>50</v>
      </c>
      <c r="E102" s="38" t="n">
        <v>422712</v>
      </c>
      <c r="F102" s="39" t="n">
        <v>5400</v>
      </c>
    </row>
    <row r="103" customFormat="false" ht="15" hidden="false" customHeight="false" outlineLevel="0" collapsed="false">
      <c r="A103" s="0" t="s">
        <v>180</v>
      </c>
      <c r="B103" s="0" t="s">
        <v>46</v>
      </c>
      <c r="C103" s="0" t="s">
        <v>181</v>
      </c>
      <c r="D103" s="0" t="s">
        <v>48</v>
      </c>
      <c r="E103" s="38" t="n">
        <v>4756697</v>
      </c>
      <c r="F103" s="39" t="n">
        <v>58300</v>
      </c>
    </row>
    <row r="104" customFormat="false" ht="15" hidden="false" customHeight="false" outlineLevel="0" collapsed="false">
      <c r="A104" s="0" t="s">
        <v>182</v>
      </c>
      <c r="B104" s="0" t="s">
        <v>46</v>
      </c>
      <c r="C104" s="0" t="s">
        <v>183</v>
      </c>
      <c r="D104" s="0" t="s">
        <v>48</v>
      </c>
      <c r="E104" s="38" t="n">
        <v>1227040.92</v>
      </c>
      <c r="F104" s="39" t="n">
        <v>12726</v>
      </c>
    </row>
    <row r="105" customFormat="false" ht="15" hidden="false" customHeight="false" outlineLevel="0" collapsed="false">
      <c r="A105" s="0" t="s">
        <v>184</v>
      </c>
      <c r="B105" s="0" t="s">
        <v>67</v>
      </c>
      <c r="C105" s="0" t="s">
        <v>185</v>
      </c>
      <c r="D105" s="0" t="s">
        <v>48</v>
      </c>
      <c r="E105" s="38" t="n">
        <v>16065000</v>
      </c>
      <c r="F105" s="39" t="n">
        <v>18000000</v>
      </c>
    </row>
    <row r="106" customFormat="false" ht="15" hidden="false" customHeight="false" outlineLevel="0" collapsed="false">
      <c r="A106" s="0" t="s">
        <v>184</v>
      </c>
      <c r="B106" s="0" t="s">
        <v>46</v>
      </c>
      <c r="C106" s="0" t="s">
        <v>186</v>
      </c>
      <c r="D106" s="0" t="s">
        <v>48</v>
      </c>
      <c r="E106" s="38" t="n">
        <v>13639955.56</v>
      </c>
      <c r="F106" s="39" t="n">
        <v>218449</v>
      </c>
    </row>
    <row r="107" customFormat="false" ht="15" hidden="false" customHeight="false" outlineLevel="0" collapsed="false">
      <c r="A107" s="0" t="s">
        <v>187</v>
      </c>
      <c r="B107" s="0" t="s">
        <v>49</v>
      </c>
      <c r="C107" s="0" t="s">
        <v>188</v>
      </c>
      <c r="D107" s="0" t="s">
        <v>53</v>
      </c>
      <c r="E107" s="38" t="n">
        <v>81180</v>
      </c>
      <c r="F107" s="39" t="n">
        <v>100</v>
      </c>
    </row>
    <row r="108" customFormat="false" ht="15" hidden="false" customHeight="false" outlineLevel="0" collapsed="false">
      <c r="A108" s="0" t="s">
        <v>187</v>
      </c>
      <c r="B108" s="0" t="s">
        <v>49</v>
      </c>
      <c r="C108" s="0" t="s">
        <v>188</v>
      </c>
      <c r="D108" s="0" t="s">
        <v>50</v>
      </c>
      <c r="E108" s="38" t="n">
        <v>81180</v>
      </c>
      <c r="F108" s="39" t="n">
        <v>100</v>
      </c>
    </row>
    <row r="109" customFormat="false" ht="15" hidden="false" customHeight="false" outlineLevel="0" collapsed="false">
      <c r="A109" s="0" t="s">
        <v>189</v>
      </c>
      <c r="B109" s="0" t="s">
        <v>49</v>
      </c>
      <c r="C109" s="0" t="s">
        <v>190</v>
      </c>
      <c r="D109" s="0" t="s">
        <v>53</v>
      </c>
      <c r="E109" s="38" t="n">
        <v>4621476</v>
      </c>
      <c r="F109" s="39" t="n">
        <v>35300</v>
      </c>
    </row>
    <row r="110" customFormat="false" ht="15" hidden="false" customHeight="false" outlineLevel="0" collapsed="false">
      <c r="A110" s="0" t="s">
        <v>189</v>
      </c>
      <c r="B110" s="0" t="s">
        <v>49</v>
      </c>
      <c r="C110" s="0" t="s">
        <v>190</v>
      </c>
      <c r="D110" s="0" t="s">
        <v>50</v>
      </c>
      <c r="E110" s="38" t="n">
        <v>4621476</v>
      </c>
      <c r="F110" s="39" t="n">
        <v>35300</v>
      </c>
    </row>
    <row r="111" customFormat="false" ht="15" hidden="false" customHeight="false" outlineLevel="0" collapsed="false">
      <c r="A111" s="0" t="s">
        <v>191</v>
      </c>
      <c r="B111" s="0" t="s">
        <v>46</v>
      </c>
      <c r="C111" s="0" t="s">
        <v>192</v>
      </c>
      <c r="D111" s="0" t="s">
        <v>48</v>
      </c>
      <c r="E111" s="38" t="n">
        <v>3692182.72</v>
      </c>
      <c r="F111" s="39" t="n">
        <v>40028</v>
      </c>
    </row>
    <row r="112" customFormat="false" ht="15" hidden="false" customHeight="false" outlineLevel="0" collapsed="false">
      <c r="A112" s="0" t="s">
        <v>193</v>
      </c>
      <c r="B112" s="0" t="s">
        <v>49</v>
      </c>
      <c r="C112" s="0" t="s">
        <v>194</v>
      </c>
      <c r="D112" s="0" t="s">
        <v>53</v>
      </c>
      <c r="E112" s="38" t="n">
        <v>156396</v>
      </c>
      <c r="F112" s="39" t="n">
        <v>600</v>
      </c>
    </row>
    <row r="113" customFormat="false" ht="15" hidden="false" customHeight="false" outlineLevel="0" collapsed="false">
      <c r="A113" s="0" t="s">
        <v>193</v>
      </c>
      <c r="B113" s="0" t="s">
        <v>49</v>
      </c>
      <c r="C113" s="0" t="s">
        <v>194</v>
      </c>
      <c r="D113" s="0" t="s">
        <v>50</v>
      </c>
      <c r="E113" s="38" t="n">
        <v>156396</v>
      </c>
      <c r="F113" s="39" t="n">
        <v>600</v>
      </c>
    </row>
    <row r="114" customFormat="false" ht="15" hidden="false" customHeight="false" outlineLevel="0" collapsed="false">
      <c r="A114" s="0" t="s">
        <v>195</v>
      </c>
      <c r="B114" s="0" t="s">
        <v>49</v>
      </c>
      <c r="C114" s="0" t="s">
        <v>196</v>
      </c>
      <c r="D114" s="0" t="s">
        <v>53</v>
      </c>
      <c r="E114" s="38" t="n">
        <v>1064166</v>
      </c>
      <c r="F114" s="39" t="n">
        <v>300</v>
      </c>
    </row>
    <row r="115" customFormat="false" ht="15" hidden="false" customHeight="false" outlineLevel="0" collapsed="false">
      <c r="A115" s="0" t="s">
        <v>195</v>
      </c>
      <c r="B115" s="0" t="s">
        <v>49</v>
      </c>
      <c r="C115" s="0" t="s">
        <v>196</v>
      </c>
      <c r="D115" s="0" t="s">
        <v>50</v>
      </c>
      <c r="E115" s="38" t="n">
        <v>1064166</v>
      </c>
      <c r="F115" s="39" t="n">
        <v>300</v>
      </c>
    </row>
    <row r="116" customFormat="false" ht="15" hidden="false" customHeight="false" outlineLevel="0" collapsed="false">
      <c r="A116" s="0" t="s">
        <v>197</v>
      </c>
      <c r="B116" s="0" t="s">
        <v>46</v>
      </c>
      <c r="C116" s="0" t="s">
        <v>198</v>
      </c>
      <c r="D116" s="0" t="s">
        <v>48</v>
      </c>
      <c r="E116" s="38" t="n">
        <v>81328.86</v>
      </c>
      <c r="F116" s="39" t="n">
        <v>2469</v>
      </c>
    </row>
    <row r="117" customFormat="false" ht="15" hidden="false" customHeight="false" outlineLevel="0" collapsed="false">
      <c r="A117" s="0" t="s">
        <v>199</v>
      </c>
      <c r="B117" s="0" t="s">
        <v>46</v>
      </c>
      <c r="C117" s="0" t="s">
        <v>200</v>
      </c>
      <c r="D117" s="0" t="s">
        <v>48</v>
      </c>
      <c r="E117" s="38" t="n">
        <v>7132.09</v>
      </c>
      <c r="F117" s="39" t="n">
        <v>139</v>
      </c>
    </row>
    <row r="118" customFormat="false" ht="15" hidden="false" customHeight="false" outlineLevel="0" collapsed="false">
      <c r="A118" s="0" t="s">
        <v>199</v>
      </c>
      <c r="B118" s="0" t="s">
        <v>49</v>
      </c>
      <c r="C118" s="0" t="s">
        <v>200</v>
      </c>
      <c r="D118" s="0" t="s">
        <v>53</v>
      </c>
      <c r="E118" s="38" t="n">
        <v>112882</v>
      </c>
      <c r="F118" s="39" t="n">
        <v>2200</v>
      </c>
    </row>
    <row r="119" customFormat="false" ht="15" hidden="false" customHeight="false" outlineLevel="0" collapsed="false">
      <c r="A119" s="0" t="s">
        <v>199</v>
      </c>
      <c r="B119" s="0" t="s">
        <v>49</v>
      </c>
      <c r="C119" s="0" t="s">
        <v>200</v>
      </c>
      <c r="D119" s="0" t="s">
        <v>50</v>
      </c>
      <c r="E119" s="38" t="n">
        <v>112882</v>
      </c>
      <c r="F119" s="39" t="n">
        <v>2200</v>
      </c>
    </row>
    <row r="120" customFormat="false" ht="15" hidden="false" customHeight="false" outlineLevel="0" collapsed="false">
      <c r="A120" s="0" t="s">
        <v>201</v>
      </c>
      <c r="B120" s="0" t="s">
        <v>49</v>
      </c>
      <c r="C120" s="0" t="s">
        <v>202</v>
      </c>
      <c r="D120" s="0" t="s">
        <v>53</v>
      </c>
      <c r="E120" s="38" t="n">
        <v>6585875</v>
      </c>
      <c r="F120" s="39" t="n">
        <v>5900</v>
      </c>
    </row>
    <row r="121" customFormat="false" ht="15" hidden="false" customHeight="false" outlineLevel="0" collapsed="false">
      <c r="A121" s="0" t="s">
        <v>201</v>
      </c>
      <c r="B121" s="0" t="s">
        <v>49</v>
      </c>
      <c r="C121" s="0" t="s">
        <v>202</v>
      </c>
      <c r="D121" s="0" t="s">
        <v>50</v>
      </c>
      <c r="E121" s="38" t="n">
        <v>10716000</v>
      </c>
      <c r="F121" s="39" t="n">
        <v>9600</v>
      </c>
    </row>
    <row r="122" customFormat="false" ht="15" hidden="false" customHeight="false" outlineLevel="0" collapsed="false">
      <c r="A122" s="0" t="s">
        <v>203</v>
      </c>
      <c r="B122" s="0" t="s">
        <v>46</v>
      </c>
      <c r="C122" s="0" t="s">
        <v>204</v>
      </c>
      <c r="D122" s="0" t="s">
        <v>48</v>
      </c>
      <c r="E122" s="38" t="n">
        <v>1503294.7</v>
      </c>
      <c r="F122" s="39" t="n">
        <v>9005</v>
      </c>
    </row>
    <row r="123" customFormat="false" ht="15" hidden="false" customHeight="false" outlineLevel="0" collapsed="false">
      <c r="A123" s="0" t="s">
        <v>203</v>
      </c>
      <c r="B123" s="0" t="s">
        <v>49</v>
      </c>
      <c r="C123" s="0" t="s">
        <v>204</v>
      </c>
      <c r="D123" s="0" t="s">
        <v>50</v>
      </c>
      <c r="E123" s="38" t="n">
        <v>36342838</v>
      </c>
      <c r="F123" s="39" t="n">
        <v>217700</v>
      </c>
    </row>
    <row r="124" customFormat="false" ht="15" hidden="false" customHeight="false" outlineLevel="0" collapsed="false">
      <c r="A124" s="0" t="s">
        <v>205</v>
      </c>
      <c r="B124" s="0" t="s">
        <v>49</v>
      </c>
      <c r="C124" s="0" t="s">
        <v>206</v>
      </c>
      <c r="D124" s="0" t="s">
        <v>53</v>
      </c>
      <c r="E124" s="38" t="n">
        <v>163422</v>
      </c>
      <c r="F124" s="39" t="n">
        <v>600</v>
      </c>
    </row>
    <row r="125" customFormat="false" ht="15" hidden="false" customHeight="false" outlineLevel="0" collapsed="false">
      <c r="A125" s="0" t="s">
        <v>205</v>
      </c>
      <c r="B125" s="0" t="s">
        <v>49</v>
      </c>
      <c r="C125" s="0" t="s">
        <v>206</v>
      </c>
      <c r="D125" s="0" t="s">
        <v>50</v>
      </c>
      <c r="E125" s="38" t="n">
        <v>163422</v>
      </c>
      <c r="F125" s="39" t="n">
        <v>600</v>
      </c>
    </row>
    <row r="126" customFormat="false" ht="15" hidden="false" customHeight="false" outlineLevel="0" collapsed="false">
      <c r="A126" s="0" t="s">
        <v>207</v>
      </c>
      <c r="B126" s="0" t="s">
        <v>46</v>
      </c>
      <c r="C126" s="0" t="s">
        <v>208</v>
      </c>
      <c r="D126" s="0" t="s">
        <v>48</v>
      </c>
      <c r="E126" s="38" t="n">
        <v>2637093.76</v>
      </c>
      <c r="F126" s="39" t="n">
        <v>56252</v>
      </c>
    </row>
    <row r="127" customFormat="false" ht="15" hidden="false" customHeight="false" outlineLevel="0" collapsed="false">
      <c r="A127" s="0" t="s">
        <v>207</v>
      </c>
      <c r="B127" s="0" t="s">
        <v>49</v>
      </c>
      <c r="C127" s="0" t="s">
        <v>208</v>
      </c>
      <c r="D127" s="0" t="s">
        <v>53</v>
      </c>
      <c r="E127" s="38" t="n">
        <v>356288</v>
      </c>
      <c r="F127" s="39" t="n">
        <v>7600</v>
      </c>
    </row>
    <row r="128" customFormat="false" ht="15" hidden="false" customHeight="false" outlineLevel="0" collapsed="false">
      <c r="A128" s="0" t="s">
        <v>207</v>
      </c>
      <c r="B128" s="0" t="s">
        <v>49</v>
      </c>
      <c r="C128" s="0" t="s">
        <v>208</v>
      </c>
      <c r="D128" s="0" t="s">
        <v>50</v>
      </c>
      <c r="E128" s="38" t="n">
        <v>356288</v>
      </c>
      <c r="F128" s="39" t="n">
        <v>7600</v>
      </c>
    </row>
    <row r="129" customFormat="false" ht="15" hidden="false" customHeight="false" outlineLevel="0" collapsed="false">
      <c r="A129" s="0" t="s">
        <v>209</v>
      </c>
      <c r="B129" s="0" t="s">
        <v>46</v>
      </c>
      <c r="C129" s="0" t="s">
        <v>210</v>
      </c>
      <c r="D129" s="0" t="s">
        <v>48</v>
      </c>
      <c r="E129" s="38" t="n">
        <v>1521763.2</v>
      </c>
      <c r="F129" s="39" t="n">
        <v>46968</v>
      </c>
    </row>
    <row r="130" customFormat="false" ht="15" hidden="false" customHeight="false" outlineLevel="0" collapsed="false">
      <c r="A130" s="0" t="s">
        <v>211</v>
      </c>
      <c r="B130" s="0" t="s">
        <v>49</v>
      </c>
      <c r="C130" s="0" t="s">
        <v>212</v>
      </c>
      <c r="D130" s="0" t="s">
        <v>53</v>
      </c>
      <c r="E130" s="38" t="n">
        <v>2242152</v>
      </c>
      <c r="F130" s="39" t="n">
        <v>17100</v>
      </c>
    </row>
    <row r="131" customFormat="false" ht="15" hidden="false" customHeight="false" outlineLevel="0" collapsed="false">
      <c r="A131" s="0" t="s">
        <v>211</v>
      </c>
      <c r="B131" s="0" t="s">
        <v>49</v>
      </c>
      <c r="C131" s="0" t="s">
        <v>212</v>
      </c>
      <c r="D131" s="0" t="s">
        <v>50</v>
      </c>
      <c r="E131" s="38" t="n">
        <v>2242152</v>
      </c>
      <c r="F131" s="39" t="n">
        <v>17100</v>
      </c>
    </row>
    <row r="132" customFormat="false" ht="15" hidden="false" customHeight="false" outlineLevel="0" collapsed="false">
      <c r="A132" s="0" t="s">
        <v>213</v>
      </c>
      <c r="B132" s="0" t="s">
        <v>46</v>
      </c>
      <c r="C132" s="0" t="s">
        <v>214</v>
      </c>
      <c r="D132" s="0" t="s">
        <v>48</v>
      </c>
      <c r="E132" s="38" t="n">
        <v>9320524.8</v>
      </c>
      <c r="F132" s="39" t="n">
        <v>185520</v>
      </c>
    </row>
    <row r="133" customFormat="false" ht="15" hidden="false" customHeight="false" outlineLevel="0" collapsed="false">
      <c r="A133" s="0" t="s">
        <v>215</v>
      </c>
      <c r="B133" s="0" t="s">
        <v>46</v>
      </c>
      <c r="C133" s="0" t="s">
        <v>216</v>
      </c>
      <c r="D133" s="0" t="s">
        <v>48</v>
      </c>
      <c r="E133" s="38" t="n">
        <v>125623.38</v>
      </c>
      <c r="F133" s="39" t="n">
        <v>1637</v>
      </c>
    </row>
    <row r="134" customFormat="false" ht="15" hidden="false" customHeight="false" outlineLevel="0" collapsed="false">
      <c r="A134" s="0" t="s">
        <v>215</v>
      </c>
      <c r="B134" s="0" t="s">
        <v>49</v>
      </c>
      <c r="C134" s="0" t="s">
        <v>216</v>
      </c>
      <c r="D134" s="0" t="s">
        <v>53</v>
      </c>
      <c r="E134" s="38" t="n">
        <v>368352</v>
      </c>
      <c r="F134" s="39" t="n">
        <v>4800</v>
      </c>
    </row>
    <row r="135" customFormat="false" ht="15" hidden="false" customHeight="false" outlineLevel="0" collapsed="false">
      <c r="A135" s="0" t="s">
        <v>215</v>
      </c>
      <c r="B135" s="0" t="s">
        <v>49</v>
      </c>
      <c r="C135" s="0" t="s">
        <v>216</v>
      </c>
      <c r="D135" s="0" t="s">
        <v>50</v>
      </c>
      <c r="E135" s="38" t="n">
        <v>368352</v>
      </c>
      <c r="F135" s="39" t="n">
        <v>4800</v>
      </c>
    </row>
    <row r="136" customFormat="false" ht="15" hidden="false" customHeight="false" outlineLevel="0" collapsed="false">
      <c r="A136" s="0" t="s">
        <v>217</v>
      </c>
      <c r="B136" s="0" t="s">
        <v>46</v>
      </c>
      <c r="C136" s="0" t="s">
        <v>218</v>
      </c>
      <c r="D136" s="0" t="s">
        <v>48</v>
      </c>
      <c r="E136" s="38" t="n">
        <v>114540.12</v>
      </c>
      <c r="F136" s="39" t="n">
        <v>6178</v>
      </c>
    </row>
    <row r="137" customFormat="false" ht="15" hidden="false" customHeight="false" outlineLevel="0" collapsed="false">
      <c r="A137" s="0" t="s">
        <v>217</v>
      </c>
      <c r="B137" s="0" t="s">
        <v>49</v>
      </c>
      <c r="C137" s="0" t="s">
        <v>218</v>
      </c>
      <c r="D137" s="0" t="s">
        <v>53</v>
      </c>
      <c r="E137" s="38" t="n">
        <v>2243340</v>
      </c>
      <c r="F137" s="39" t="n">
        <v>121000</v>
      </c>
    </row>
    <row r="138" customFormat="false" ht="15" hidden="false" customHeight="false" outlineLevel="0" collapsed="false">
      <c r="A138" s="0" t="s">
        <v>217</v>
      </c>
      <c r="B138" s="0" t="s">
        <v>49</v>
      </c>
      <c r="C138" s="0" t="s">
        <v>218</v>
      </c>
      <c r="D138" s="0" t="s">
        <v>50</v>
      </c>
      <c r="E138" s="38" t="n">
        <v>2243340</v>
      </c>
      <c r="F138" s="39" t="n">
        <v>121000</v>
      </c>
    </row>
    <row r="139" customFormat="false" ht="15" hidden="false" customHeight="false" outlineLevel="0" collapsed="false">
      <c r="A139" s="0" t="s">
        <v>219</v>
      </c>
      <c r="B139" s="0" t="s">
        <v>49</v>
      </c>
      <c r="C139" s="0" t="s">
        <v>220</v>
      </c>
      <c r="D139" s="0" t="s">
        <v>53</v>
      </c>
      <c r="E139" s="38" t="n">
        <v>1304115</v>
      </c>
      <c r="F139" s="39" t="n">
        <v>22700</v>
      </c>
    </row>
    <row r="140" customFormat="false" ht="15" hidden="false" customHeight="false" outlineLevel="0" collapsed="false">
      <c r="A140" s="0" t="s">
        <v>219</v>
      </c>
      <c r="B140" s="0" t="s">
        <v>49</v>
      </c>
      <c r="C140" s="0" t="s">
        <v>220</v>
      </c>
      <c r="D140" s="0" t="s">
        <v>50</v>
      </c>
      <c r="E140" s="38" t="n">
        <v>1304115</v>
      </c>
      <c r="F140" s="39" t="n">
        <v>22700</v>
      </c>
    </row>
    <row r="141" customFormat="false" ht="15" hidden="false" customHeight="false" outlineLevel="0" collapsed="false">
      <c r="A141" s="0" t="s">
        <v>221</v>
      </c>
      <c r="B141" s="0" t="s">
        <v>49</v>
      </c>
      <c r="C141" s="0" t="s">
        <v>222</v>
      </c>
      <c r="D141" s="0" t="s">
        <v>50</v>
      </c>
      <c r="E141" s="38" t="n">
        <v>4764600</v>
      </c>
      <c r="F141" s="39" t="n">
        <v>90000</v>
      </c>
    </row>
    <row r="142" customFormat="false" ht="15" hidden="false" customHeight="false" outlineLevel="0" collapsed="false">
      <c r="A142" s="0" t="s">
        <v>223</v>
      </c>
      <c r="B142" s="0" t="s">
        <v>46</v>
      </c>
      <c r="C142" s="0" t="s">
        <v>224</v>
      </c>
      <c r="D142" s="0" t="s">
        <v>48</v>
      </c>
      <c r="E142" s="38" t="n">
        <v>1044012</v>
      </c>
      <c r="F142" s="39" t="n">
        <v>3800</v>
      </c>
    </row>
    <row r="143" customFormat="false" ht="15" hidden="false" customHeight="false" outlineLevel="0" collapsed="false">
      <c r="A143" s="0" t="s">
        <v>225</v>
      </c>
      <c r="B143" s="0" t="s">
        <v>46</v>
      </c>
      <c r="C143" s="0" t="s">
        <v>226</v>
      </c>
      <c r="D143" s="0" t="s">
        <v>48</v>
      </c>
      <c r="E143" s="38" t="n">
        <v>4368229.39</v>
      </c>
      <c r="F143" s="39" t="n">
        <v>97223</v>
      </c>
    </row>
    <row r="144" customFormat="false" ht="15" hidden="false" customHeight="false" outlineLevel="0" collapsed="false">
      <c r="A144" s="0" t="s">
        <v>227</v>
      </c>
      <c r="B144" s="0" t="s">
        <v>49</v>
      </c>
      <c r="C144" s="0" t="s">
        <v>228</v>
      </c>
      <c r="D144" s="0" t="s">
        <v>53</v>
      </c>
      <c r="E144" s="38" t="n">
        <v>2424494</v>
      </c>
      <c r="F144" s="39" t="n">
        <v>8200</v>
      </c>
    </row>
    <row r="145" customFormat="false" ht="15" hidden="false" customHeight="false" outlineLevel="0" collapsed="false">
      <c r="A145" s="0" t="s">
        <v>227</v>
      </c>
      <c r="B145" s="0" t="s">
        <v>49</v>
      </c>
      <c r="C145" s="0" t="s">
        <v>228</v>
      </c>
      <c r="D145" s="0" t="s">
        <v>50</v>
      </c>
      <c r="E145" s="38" t="n">
        <v>2424494</v>
      </c>
      <c r="F145" s="39" t="n">
        <v>8200</v>
      </c>
    </row>
    <row r="146" customFormat="false" ht="15" hidden="false" customHeight="false" outlineLevel="0" collapsed="false">
      <c r="A146" s="0" t="s">
        <v>229</v>
      </c>
      <c r="B146" s="0" t="s">
        <v>46</v>
      </c>
      <c r="C146" s="0" t="s">
        <v>230</v>
      </c>
      <c r="D146" s="0" t="s">
        <v>48</v>
      </c>
      <c r="E146" s="38" t="n">
        <v>7118512.84</v>
      </c>
      <c r="F146" s="39" t="n">
        <v>130567</v>
      </c>
    </row>
    <row r="147" customFormat="false" ht="15" hidden="false" customHeight="false" outlineLevel="0" collapsed="false">
      <c r="A147" s="0" t="s">
        <v>231</v>
      </c>
      <c r="B147" s="0" t="s">
        <v>46</v>
      </c>
      <c r="C147" s="0" t="s">
        <v>232</v>
      </c>
      <c r="D147" s="0" t="s">
        <v>48</v>
      </c>
      <c r="E147" s="38" t="n">
        <v>13786.2</v>
      </c>
      <c r="F147" s="39" t="n">
        <v>828</v>
      </c>
    </row>
    <row r="148" customFormat="false" ht="15" hidden="false" customHeight="false" outlineLevel="0" collapsed="false">
      <c r="A148" s="0" t="s">
        <v>231</v>
      </c>
      <c r="B148" s="0" t="s">
        <v>49</v>
      </c>
      <c r="C148" s="0" t="s">
        <v>232</v>
      </c>
      <c r="D148" s="0" t="s">
        <v>53</v>
      </c>
      <c r="E148" s="38" t="n">
        <v>1383615</v>
      </c>
      <c r="F148" s="39" t="n">
        <v>83100</v>
      </c>
    </row>
    <row r="149" customFormat="false" ht="15" hidden="false" customHeight="false" outlineLevel="0" collapsed="false">
      <c r="A149" s="0" t="s">
        <v>231</v>
      </c>
      <c r="B149" s="0" t="s">
        <v>49</v>
      </c>
      <c r="C149" s="0" t="s">
        <v>232</v>
      </c>
      <c r="D149" s="0" t="s">
        <v>50</v>
      </c>
      <c r="E149" s="38" t="n">
        <v>1383615</v>
      </c>
      <c r="F149" s="39" t="n">
        <v>83100</v>
      </c>
    </row>
    <row r="150" customFormat="false" ht="15" hidden="false" customHeight="false" outlineLevel="0" collapsed="false">
      <c r="A150" s="0" t="s">
        <v>233</v>
      </c>
      <c r="B150" s="0" t="s">
        <v>67</v>
      </c>
      <c r="C150" s="0" t="s">
        <v>234</v>
      </c>
      <c r="D150" s="0" t="s">
        <v>48</v>
      </c>
      <c r="E150" s="38" t="n">
        <v>8728370</v>
      </c>
      <c r="F150" s="39" t="n">
        <v>10000000</v>
      </c>
    </row>
    <row r="151" customFormat="false" ht="15" hidden="false" customHeight="false" outlineLevel="0" collapsed="false">
      <c r="A151" s="0" t="s">
        <v>235</v>
      </c>
      <c r="B151" s="0" t="s">
        <v>67</v>
      </c>
      <c r="C151" s="0" t="s">
        <v>236</v>
      </c>
      <c r="D151" s="0" t="s">
        <v>48</v>
      </c>
      <c r="E151" s="38" t="n">
        <v>22540950</v>
      </c>
      <c r="F151" s="39" t="n">
        <v>27000000</v>
      </c>
    </row>
    <row r="152" customFormat="false" ht="15" hidden="false" customHeight="false" outlineLevel="0" collapsed="false">
      <c r="A152" s="0" t="s">
        <v>237</v>
      </c>
      <c r="B152" s="0" t="s">
        <v>67</v>
      </c>
      <c r="C152" s="0" t="s">
        <v>238</v>
      </c>
      <c r="D152" s="0" t="s">
        <v>48</v>
      </c>
      <c r="E152" s="38" t="n">
        <v>22939500</v>
      </c>
      <c r="F152" s="39" t="n">
        <v>20500000</v>
      </c>
    </row>
    <row r="153" customFormat="false" ht="15" hidden="false" customHeight="false" outlineLevel="0" collapsed="false">
      <c r="A153" s="0" t="s">
        <v>239</v>
      </c>
      <c r="B153" s="0" t="s">
        <v>46</v>
      </c>
      <c r="C153" s="0" t="s">
        <v>240</v>
      </c>
      <c r="D153" s="0" t="s">
        <v>48</v>
      </c>
      <c r="E153" s="38" t="n">
        <v>232544</v>
      </c>
      <c r="F153" s="39" t="n">
        <v>3380</v>
      </c>
    </row>
    <row r="154" customFormat="false" ht="15" hidden="false" customHeight="false" outlineLevel="0" collapsed="false">
      <c r="A154" s="0" t="s">
        <v>239</v>
      </c>
      <c r="B154" s="0" t="s">
        <v>49</v>
      </c>
      <c r="C154" s="0" t="s">
        <v>240</v>
      </c>
      <c r="D154" s="0" t="s">
        <v>53</v>
      </c>
      <c r="E154" s="38" t="n">
        <v>5318240</v>
      </c>
      <c r="F154" s="39" t="n">
        <v>77300</v>
      </c>
    </row>
    <row r="155" customFormat="false" ht="15" hidden="false" customHeight="false" outlineLevel="0" collapsed="false">
      <c r="A155" s="0" t="s">
        <v>239</v>
      </c>
      <c r="B155" s="0" t="s">
        <v>49</v>
      </c>
      <c r="C155" s="0" t="s">
        <v>240</v>
      </c>
      <c r="D155" s="0" t="s">
        <v>50</v>
      </c>
      <c r="E155" s="38" t="n">
        <v>5318240</v>
      </c>
      <c r="F155" s="39" t="n">
        <v>77300</v>
      </c>
    </row>
    <row r="156" customFormat="false" ht="15" hidden="false" customHeight="false" outlineLevel="0" collapsed="false">
      <c r="A156" s="0" t="s">
        <v>241</v>
      </c>
      <c r="B156" s="0" t="s">
        <v>46</v>
      </c>
      <c r="C156" s="0" t="s">
        <v>242</v>
      </c>
      <c r="D156" s="0" t="s">
        <v>48</v>
      </c>
      <c r="E156" s="38" t="n">
        <v>3218069.65</v>
      </c>
      <c r="F156" s="39" t="n">
        <v>23605</v>
      </c>
    </row>
    <row r="157" customFormat="false" ht="15" hidden="false" customHeight="false" outlineLevel="0" collapsed="false">
      <c r="A157" s="0" t="s">
        <v>243</v>
      </c>
      <c r="B157" s="0" t="s">
        <v>67</v>
      </c>
      <c r="C157" s="0" t="s">
        <v>244</v>
      </c>
      <c r="D157" s="0" t="s">
        <v>48</v>
      </c>
      <c r="E157" s="38" t="n">
        <v>9031602.5</v>
      </c>
      <c r="F157" s="39" t="n">
        <v>9500000</v>
      </c>
    </row>
    <row r="158" customFormat="false" ht="15" hidden="false" customHeight="false" outlineLevel="0" collapsed="false">
      <c r="A158" s="0" t="s">
        <v>245</v>
      </c>
      <c r="B158" s="0" t="s">
        <v>46</v>
      </c>
      <c r="C158" s="0" t="s">
        <v>246</v>
      </c>
      <c r="D158" s="0" t="s">
        <v>48</v>
      </c>
      <c r="E158" s="38" t="n">
        <v>1490327.8</v>
      </c>
      <c r="F158" s="39" t="n">
        <v>19370</v>
      </c>
    </row>
    <row r="159" customFormat="false" ht="15" hidden="false" customHeight="false" outlineLevel="0" collapsed="false">
      <c r="A159" s="0" t="s">
        <v>247</v>
      </c>
      <c r="B159" s="0" t="s">
        <v>49</v>
      </c>
      <c r="C159" s="0" t="s">
        <v>248</v>
      </c>
      <c r="D159" s="0" t="s">
        <v>53</v>
      </c>
      <c r="E159" s="38" t="n">
        <v>3177108</v>
      </c>
      <c r="F159" s="39" t="n">
        <v>21300</v>
      </c>
    </row>
    <row r="160" customFormat="false" ht="15" hidden="false" customHeight="false" outlineLevel="0" collapsed="false">
      <c r="A160" s="0" t="s">
        <v>247</v>
      </c>
      <c r="B160" s="0" t="s">
        <v>49</v>
      </c>
      <c r="C160" s="0" t="s">
        <v>248</v>
      </c>
      <c r="D160" s="0" t="s">
        <v>50</v>
      </c>
      <c r="E160" s="38" t="n">
        <v>3177108</v>
      </c>
      <c r="F160" s="39" t="n">
        <v>21300</v>
      </c>
    </row>
    <row r="161" customFormat="false" ht="15" hidden="false" customHeight="false" outlineLevel="0" collapsed="false">
      <c r="A161" s="0" t="s">
        <v>249</v>
      </c>
      <c r="B161" s="0" t="s">
        <v>49</v>
      </c>
      <c r="C161" s="0" t="s">
        <v>250</v>
      </c>
      <c r="D161" s="0" t="s">
        <v>53</v>
      </c>
      <c r="E161" s="38" t="n">
        <v>686088</v>
      </c>
      <c r="F161" s="39" t="n">
        <v>300</v>
      </c>
    </row>
    <row r="162" customFormat="false" ht="15" hidden="false" customHeight="false" outlineLevel="0" collapsed="false">
      <c r="A162" s="0" t="s">
        <v>249</v>
      </c>
      <c r="B162" s="0" t="s">
        <v>49</v>
      </c>
      <c r="C162" s="0" t="s">
        <v>250</v>
      </c>
      <c r="D162" s="0" t="s">
        <v>50</v>
      </c>
      <c r="E162" s="38" t="n">
        <v>686088</v>
      </c>
      <c r="F162" s="39" t="n">
        <v>300</v>
      </c>
    </row>
    <row r="163" customFormat="false" ht="15" hidden="false" customHeight="false" outlineLevel="0" collapsed="false">
      <c r="A163" s="0" t="s">
        <v>251</v>
      </c>
      <c r="B163" s="0" t="s">
        <v>46</v>
      </c>
      <c r="C163" s="0" t="s">
        <v>252</v>
      </c>
      <c r="D163" s="0" t="s">
        <v>48</v>
      </c>
      <c r="E163" s="38" t="n">
        <v>197481.24</v>
      </c>
      <c r="F163" s="39" t="n">
        <v>1188</v>
      </c>
    </row>
    <row r="164" customFormat="false" ht="15" hidden="false" customHeight="false" outlineLevel="0" collapsed="false">
      <c r="A164" s="0" t="s">
        <v>253</v>
      </c>
      <c r="B164" s="0" t="s">
        <v>46</v>
      </c>
      <c r="C164" s="0" t="s">
        <v>254</v>
      </c>
      <c r="D164" s="0" t="s">
        <v>48</v>
      </c>
      <c r="E164" s="38" t="n">
        <v>48810.35</v>
      </c>
      <c r="F164" s="39" t="n">
        <v>163</v>
      </c>
    </row>
    <row r="165" customFormat="false" ht="15" hidden="false" customHeight="false" outlineLevel="0" collapsed="false">
      <c r="A165" s="0" t="s">
        <v>253</v>
      </c>
      <c r="B165" s="0" t="s">
        <v>49</v>
      </c>
      <c r="C165" s="0" t="s">
        <v>254</v>
      </c>
      <c r="D165" s="0" t="s">
        <v>53</v>
      </c>
      <c r="E165" s="38" t="n">
        <v>2006315</v>
      </c>
      <c r="F165" s="39" t="n">
        <v>6700</v>
      </c>
    </row>
    <row r="166" customFormat="false" ht="15" hidden="false" customHeight="false" outlineLevel="0" collapsed="false">
      <c r="A166" s="0" t="s">
        <v>253</v>
      </c>
      <c r="B166" s="0" t="s">
        <v>49</v>
      </c>
      <c r="C166" s="0" t="s">
        <v>254</v>
      </c>
      <c r="D166" s="0" t="s">
        <v>50</v>
      </c>
      <c r="E166" s="38" t="n">
        <v>2006315</v>
      </c>
      <c r="F166" s="39" t="n">
        <v>6700</v>
      </c>
    </row>
    <row r="167" customFormat="false" ht="15" hidden="false" customHeight="false" outlineLevel="0" collapsed="false">
      <c r="A167" s="0" t="s">
        <v>255</v>
      </c>
      <c r="B167" s="0" t="s">
        <v>256</v>
      </c>
      <c r="D167" s="0" t="s">
        <v>48</v>
      </c>
      <c r="E167" s="38" t="n">
        <v>2117856</v>
      </c>
      <c r="F167" s="39" t="n">
        <v>705952</v>
      </c>
    </row>
    <row r="168" customFormat="false" ht="15" hidden="false" customHeight="false" outlineLevel="0" collapsed="false">
      <c r="A168" s="0" t="s">
        <v>257</v>
      </c>
      <c r="B168" s="0" t="s">
        <v>46</v>
      </c>
      <c r="C168" s="0" t="s">
        <v>258</v>
      </c>
      <c r="D168" s="0" t="s">
        <v>48</v>
      </c>
      <c r="E168" s="38" t="n">
        <v>274273.08</v>
      </c>
      <c r="F168" s="39" t="n">
        <v>5429</v>
      </c>
    </row>
    <row r="169" customFormat="false" ht="15" hidden="false" customHeight="false" outlineLevel="0" collapsed="false">
      <c r="A169" s="0" t="s">
        <v>257</v>
      </c>
      <c r="B169" s="0" t="s">
        <v>49</v>
      </c>
      <c r="C169" s="0" t="s">
        <v>258</v>
      </c>
      <c r="D169" s="0" t="s">
        <v>53</v>
      </c>
      <c r="E169" s="38" t="n">
        <v>5895684</v>
      </c>
      <c r="F169" s="39" t="n">
        <v>116700</v>
      </c>
    </row>
    <row r="170" customFormat="false" ht="15" hidden="false" customHeight="false" outlineLevel="0" collapsed="false">
      <c r="A170" s="0" t="s">
        <v>257</v>
      </c>
      <c r="B170" s="0" t="s">
        <v>49</v>
      </c>
      <c r="C170" s="0" t="s">
        <v>258</v>
      </c>
      <c r="D170" s="0" t="s">
        <v>50</v>
      </c>
      <c r="E170" s="38" t="n">
        <v>5895684</v>
      </c>
      <c r="F170" s="39" t="n">
        <v>116700</v>
      </c>
    </row>
    <row r="171" customFormat="false" ht="15" hidden="false" customHeight="false" outlineLevel="0" collapsed="false">
      <c r="A171" s="0" t="s">
        <v>259</v>
      </c>
      <c r="B171" s="0" t="s">
        <v>49</v>
      </c>
      <c r="C171" s="0" t="s">
        <v>260</v>
      </c>
      <c r="D171" s="0" t="s">
        <v>53</v>
      </c>
      <c r="E171" s="38" t="n">
        <v>97736</v>
      </c>
      <c r="F171" s="39" t="n">
        <v>1900</v>
      </c>
    </row>
    <row r="172" customFormat="false" ht="15" hidden="false" customHeight="false" outlineLevel="0" collapsed="false">
      <c r="A172" s="0" t="s">
        <v>259</v>
      </c>
      <c r="B172" s="0" t="s">
        <v>49</v>
      </c>
      <c r="C172" s="0" t="s">
        <v>260</v>
      </c>
      <c r="D172" s="0" t="s">
        <v>50</v>
      </c>
      <c r="E172" s="38" t="n">
        <v>97736</v>
      </c>
      <c r="F172" s="39" t="n">
        <v>1900</v>
      </c>
    </row>
    <row r="173" customFormat="false" ht="15" hidden="false" customHeight="false" outlineLevel="0" collapsed="false">
      <c r="A173" s="0" t="s">
        <v>261</v>
      </c>
      <c r="B173" s="0" t="s">
        <v>46</v>
      </c>
      <c r="C173" s="0" t="s">
        <v>262</v>
      </c>
      <c r="D173" s="0" t="s">
        <v>48</v>
      </c>
      <c r="E173" s="38" t="n">
        <v>1742469.82</v>
      </c>
      <c r="F173" s="39" t="n">
        <v>957401</v>
      </c>
    </row>
    <row r="174" customFormat="false" ht="15" hidden="false" customHeight="false" outlineLevel="0" collapsed="false">
      <c r="A174" s="0" t="s">
        <v>263</v>
      </c>
      <c r="B174" s="0" t="s">
        <v>67</v>
      </c>
      <c r="C174" s="0" t="s">
        <v>264</v>
      </c>
      <c r="D174" s="0" t="s">
        <v>48</v>
      </c>
      <c r="E174" s="38" t="n">
        <v>7664875</v>
      </c>
      <c r="F174" s="39" t="n">
        <v>8500000</v>
      </c>
    </row>
    <row r="175" customFormat="false" ht="15" hidden="false" customHeight="false" outlineLevel="0" collapsed="false">
      <c r="A175" s="0" t="s">
        <v>263</v>
      </c>
      <c r="B175" s="0" t="s">
        <v>46</v>
      </c>
      <c r="C175" s="0" t="s">
        <v>265</v>
      </c>
      <c r="D175" s="0" t="s">
        <v>48</v>
      </c>
      <c r="E175" s="38" t="n">
        <v>17389517.08</v>
      </c>
      <c r="F175" s="39" t="n">
        <v>208858</v>
      </c>
    </row>
    <row r="176" customFormat="false" ht="15" hidden="false" customHeight="false" outlineLevel="0" collapsed="false">
      <c r="A176" s="0" t="s">
        <v>266</v>
      </c>
      <c r="B176" s="0" t="s">
        <v>46</v>
      </c>
      <c r="C176" s="0" t="s">
        <v>267</v>
      </c>
      <c r="D176" s="0" t="s">
        <v>48</v>
      </c>
      <c r="E176" s="38" t="n">
        <v>3771.52</v>
      </c>
      <c r="F176" s="39" t="n">
        <v>64</v>
      </c>
    </row>
    <row r="177" customFormat="false" ht="15" hidden="false" customHeight="false" outlineLevel="0" collapsed="false">
      <c r="A177" s="0" t="s">
        <v>266</v>
      </c>
      <c r="B177" s="0" t="s">
        <v>49</v>
      </c>
      <c r="C177" s="0" t="s">
        <v>267</v>
      </c>
      <c r="D177" s="0" t="s">
        <v>53</v>
      </c>
      <c r="E177" s="38" t="n">
        <v>300543</v>
      </c>
      <c r="F177" s="39" t="n">
        <v>5100</v>
      </c>
    </row>
    <row r="178" customFormat="false" ht="15" hidden="false" customHeight="false" outlineLevel="0" collapsed="false">
      <c r="A178" s="0" t="s">
        <v>266</v>
      </c>
      <c r="B178" s="0" t="s">
        <v>49</v>
      </c>
      <c r="C178" s="0" t="s">
        <v>267</v>
      </c>
      <c r="D178" s="0" t="s">
        <v>50</v>
      </c>
      <c r="E178" s="38" t="n">
        <v>300543</v>
      </c>
      <c r="F178" s="39" t="n">
        <v>5100</v>
      </c>
    </row>
    <row r="179" customFormat="false" ht="15" hidden="false" customHeight="false" outlineLevel="0" collapsed="false">
      <c r="A179" s="0" t="s">
        <v>268</v>
      </c>
      <c r="B179" s="0" t="s">
        <v>49</v>
      </c>
      <c r="C179" s="0" t="s">
        <v>269</v>
      </c>
      <c r="D179" s="0" t="s">
        <v>53</v>
      </c>
      <c r="E179" s="38" t="n">
        <v>657750</v>
      </c>
      <c r="F179" s="39" t="n">
        <v>15000</v>
      </c>
    </row>
    <row r="180" customFormat="false" ht="15" hidden="false" customHeight="false" outlineLevel="0" collapsed="false">
      <c r="A180" s="0" t="s">
        <v>268</v>
      </c>
      <c r="B180" s="0" t="s">
        <v>49</v>
      </c>
      <c r="C180" s="0" t="s">
        <v>269</v>
      </c>
      <c r="D180" s="0" t="s">
        <v>50</v>
      </c>
      <c r="E180" s="38" t="n">
        <v>657750</v>
      </c>
      <c r="F180" s="39" t="n">
        <v>15000</v>
      </c>
    </row>
    <row r="181" customFormat="false" ht="15" hidden="false" customHeight="false" outlineLevel="0" collapsed="false">
      <c r="A181" s="0" t="s">
        <v>270</v>
      </c>
      <c r="B181" s="0" t="s">
        <v>46</v>
      </c>
      <c r="C181" s="0" t="s">
        <v>271</v>
      </c>
      <c r="D181" s="0" t="s">
        <v>48</v>
      </c>
      <c r="E181" s="38" t="n">
        <v>5344037.1</v>
      </c>
      <c r="F181" s="39" t="n">
        <v>603846</v>
      </c>
    </row>
    <row r="182" customFormat="false" ht="15" hidden="false" customHeight="false" outlineLevel="0" collapsed="false">
      <c r="A182" s="0" t="s">
        <v>272</v>
      </c>
      <c r="B182" s="0" t="s">
        <v>67</v>
      </c>
      <c r="C182" s="0" t="s">
        <v>273</v>
      </c>
      <c r="D182" s="0" t="s">
        <v>48</v>
      </c>
      <c r="E182" s="38" t="n">
        <v>4519800</v>
      </c>
      <c r="F182" s="39" t="n">
        <v>4500000</v>
      </c>
    </row>
    <row r="183" customFormat="false" ht="15" hidden="false" customHeight="false" outlineLevel="0" collapsed="false">
      <c r="A183" s="0" t="s">
        <v>274</v>
      </c>
      <c r="B183" s="0" t="s">
        <v>46</v>
      </c>
      <c r="C183" s="0" t="s">
        <v>275</v>
      </c>
      <c r="D183" s="0" t="s">
        <v>48</v>
      </c>
      <c r="E183" s="38" t="n">
        <v>9401.67</v>
      </c>
      <c r="F183" s="39" t="n">
        <v>81</v>
      </c>
    </row>
    <row r="184" customFormat="false" ht="15" hidden="false" customHeight="false" outlineLevel="0" collapsed="false">
      <c r="A184" s="0" t="s">
        <v>274</v>
      </c>
      <c r="B184" s="0" t="s">
        <v>49</v>
      </c>
      <c r="C184" s="0" t="s">
        <v>275</v>
      </c>
      <c r="D184" s="0" t="s">
        <v>53</v>
      </c>
      <c r="E184" s="38" t="n">
        <v>139284</v>
      </c>
      <c r="F184" s="39" t="n">
        <v>1200</v>
      </c>
    </row>
    <row r="185" customFormat="false" ht="15" hidden="false" customHeight="false" outlineLevel="0" collapsed="false">
      <c r="A185" s="0" t="s">
        <v>274</v>
      </c>
      <c r="B185" s="0" t="s">
        <v>49</v>
      </c>
      <c r="C185" s="0" t="s">
        <v>275</v>
      </c>
      <c r="D185" s="0" t="s">
        <v>50</v>
      </c>
      <c r="E185" s="38" t="n">
        <v>139284</v>
      </c>
      <c r="F185" s="39" t="n">
        <v>1200</v>
      </c>
    </row>
    <row r="186" customFormat="false" ht="15" hidden="false" customHeight="false" outlineLevel="0" collapsed="false">
      <c r="A186" s="0" t="s">
        <v>276</v>
      </c>
      <c r="B186" s="0" t="s">
        <v>49</v>
      </c>
      <c r="C186" s="0" t="s">
        <v>277</v>
      </c>
      <c r="D186" s="0" t="s">
        <v>53</v>
      </c>
      <c r="E186" s="38" t="n">
        <v>990120</v>
      </c>
      <c r="F186" s="39" t="n">
        <v>1500</v>
      </c>
    </row>
    <row r="187" customFormat="false" ht="15" hidden="false" customHeight="false" outlineLevel="0" collapsed="false">
      <c r="A187" s="0" t="s">
        <v>276</v>
      </c>
      <c r="B187" s="0" t="s">
        <v>49</v>
      </c>
      <c r="C187" s="0" t="s">
        <v>277</v>
      </c>
      <c r="D187" s="0" t="s">
        <v>50</v>
      </c>
      <c r="E187" s="38" t="n">
        <v>990120</v>
      </c>
      <c r="F187" s="39" t="n">
        <v>1500</v>
      </c>
    </row>
    <row r="188" customFormat="false" ht="15" hidden="false" customHeight="false" outlineLevel="0" collapsed="false">
      <c r="A188" s="0" t="s">
        <v>278</v>
      </c>
      <c r="B188" s="0" t="s">
        <v>49</v>
      </c>
      <c r="C188" s="0" t="s">
        <v>279</v>
      </c>
      <c r="D188" s="0" t="s">
        <v>53</v>
      </c>
      <c r="E188" s="38" t="n">
        <v>1472504</v>
      </c>
      <c r="F188" s="39" t="n">
        <v>57700</v>
      </c>
    </row>
    <row r="189" customFormat="false" ht="15" hidden="false" customHeight="false" outlineLevel="0" collapsed="false">
      <c r="A189" s="0" t="s">
        <v>280</v>
      </c>
      <c r="B189" s="0" t="s">
        <v>46</v>
      </c>
      <c r="C189" s="0" t="s">
        <v>281</v>
      </c>
      <c r="D189" s="0" t="s">
        <v>48</v>
      </c>
      <c r="E189" s="38" t="n">
        <v>3230448.96</v>
      </c>
      <c r="F189" s="39" t="n">
        <v>143448</v>
      </c>
    </row>
    <row r="190" customFormat="false" ht="15" hidden="false" customHeight="false" outlineLevel="0" collapsed="false">
      <c r="A190" s="0" t="s">
        <v>282</v>
      </c>
      <c r="B190" s="0" t="s">
        <v>49</v>
      </c>
      <c r="C190" s="0" t="s">
        <v>283</v>
      </c>
      <c r="D190" s="0" t="s">
        <v>53</v>
      </c>
      <c r="E190" s="38" t="n">
        <v>1326422</v>
      </c>
      <c r="F190" s="39" t="n">
        <v>14200</v>
      </c>
    </row>
    <row r="191" customFormat="false" ht="15" hidden="false" customHeight="false" outlineLevel="0" collapsed="false">
      <c r="A191" s="0" t="s">
        <v>284</v>
      </c>
      <c r="B191" s="0" t="s">
        <v>49</v>
      </c>
      <c r="C191" s="0" t="s">
        <v>285</v>
      </c>
      <c r="D191" s="0" t="s">
        <v>50</v>
      </c>
      <c r="E191" s="38" t="n">
        <v>18418</v>
      </c>
      <c r="F191" s="39" t="n">
        <v>200</v>
      </c>
    </row>
    <row r="192" customFormat="false" ht="15" hidden="false" customHeight="false" outlineLevel="0" collapsed="false">
      <c r="A192" s="0" t="s">
        <v>286</v>
      </c>
      <c r="B192" s="0" t="s">
        <v>67</v>
      </c>
      <c r="C192" s="0" t="s">
        <v>287</v>
      </c>
      <c r="D192" s="0" t="s">
        <v>48</v>
      </c>
      <c r="E192" s="38" t="n">
        <v>18169200</v>
      </c>
      <c r="F192" s="39" t="n">
        <v>18000000</v>
      </c>
    </row>
    <row r="193" customFormat="false" ht="15" hidden="false" customHeight="false" outlineLevel="0" collapsed="false">
      <c r="A193" s="0" t="s">
        <v>288</v>
      </c>
      <c r="B193" s="0" t="s">
        <v>49</v>
      </c>
      <c r="C193" s="0" t="s">
        <v>289</v>
      </c>
      <c r="D193" s="0" t="s">
        <v>53</v>
      </c>
      <c r="E193" s="38" t="n">
        <v>173350</v>
      </c>
      <c r="F193" s="39" t="n">
        <v>5000</v>
      </c>
    </row>
    <row r="194" customFormat="false" ht="15" hidden="false" customHeight="false" outlineLevel="0" collapsed="false">
      <c r="A194" s="0" t="s">
        <v>288</v>
      </c>
      <c r="B194" s="0" t="s">
        <v>49</v>
      </c>
      <c r="C194" s="0" t="s">
        <v>289</v>
      </c>
      <c r="D194" s="0" t="s">
        <v>50</v>
      </c>
      <c r="E194" s="38" t="n">
        <v>173350</v>
      </c>
      <c r="F194" s="39" t="n">
        <v>5000</v>
      </c>
    </row>
    <row r="195" customFormat="false" ht="15" hidden="false" customHeight="false" outlineLevel="0" collapsed="false">
      <c r="A195" s="0" t="s">
        <v>290</v>
      </c>
      <c r="B195" s="0" t="s">
        <v>46</v>
      </c>
      <c r="C195" s="0" t="s">
        <v>291</v>
      </c>
      <c r="D195" s="0" t="s">
        <v>48</v>
      </c>
      <c r="E195" s="38" t="n">
        <v>2099422.8</v>
      </c>
      <c r="F195" s="39" t="n">
        <v>194391</v>
      </c>
    </row>
    <row r="196" customFormat="false" ht="15" hidden="false" customHeight="false" outlineLevel="0" collapsed="false">
      <c r="A196" s="0" t="s">
        <v>292</v>
      </c>
      <c r="B196" s="0" t="s">
        <v>67</v>
      </c>
      <c r="C196" s="0" t="s">
        <v>293</v>
      </c>
      <c r="D196" s="0" t="s">
        <v>48</v>
      </c>
      <c r="E196" s="38" t="n">
        <v>720510</v>
      </c>
      <c r="F196" s="39" t="n">
        <v>3290000</v>
      </c>
    </row>
    <row r="197" customFormat="false" ht="15" hidden="false" customHeight="false" outlineLevel="0" collapsed="false">
      <c r="A197" s="0" t="s">
        <v>294</v>
      </c>
      <c r="B197" s="0" t="s">
        <v>49</v>
      </c>
      <c r="C197" s="0" t="s">
        <v>295</v>
      </c>
      <c r="D197" s="0" t="s">
        <v>53</v>
      </c>
      <c r="E197" s="38" t="n">
        <v>2510928</v>
      </c>
      <c r="F197" s="39" t="n">
        <v>31800</v>
      </c>
    </row>
    <row r="198" customFormat="false" ht="15" hidden="false" customHeight="false" outlineLevel="0" collapsed="false">
      <c r="A198" s="0" t="s">
        <v>294</v>
      </c>
      <c r="B198" s="0" t="s">
        <v>49</v>
      </c>
      <c r="C198" s="0" t="s">
        <v>295</v>
      </c>
      <c r="D198" s="0" t="s">
        <v>50</v>
      </c>
      <c r="E198" s="38" t="n">
        <v>2510928</v>
      </c>
      <c r="F198" s="39" t="n">
        <v>31800</v>
      </c>
    </row>
    <row r="199" customFormat="false" ht="15" hidden="false" customHeight="false" outlineLevel="0" collapsed="false">
      <c r="A199" s="0" t="s">
        <v>296</v>
      </c>
      <c r="B199" s="0" t="s">
        <v>67</v>
      </c>
      <c r="C199" s="0" t="s">
        <v>297</v>
      </c>
      <c r="D199" s="0" t="s">
        <v>48</v>
      </c>
      <c r="E199" s="38" t="n">
        <v>26840000</v>
      </c>
      <c r="F199" s="39" t="n">
        <v>15250000</v>
      </c>
    </row>
    <row r="200" customFormat="false" ht="15" hidden="false" customHeight="false" outlineLevel="0" collapsed="false">
      <c r="A200" s="0" t="s">
        <v>296</v>
      </c>
      <c r="B200" s="0" t="s">
        <v>46</v>
      </c>
      <c r="C200" s="0" t="s">
        <v>298</v>
      </c>
      <c r="D200" s="0" t="s">
        <v>48</v>
      </c>
      <c r="E200" s="38" t="n">
        <v>4700487</v>
      </c>
      <c r="F200" s="39" t="n">
        <v>56300</v>
      </c>
    </row>
    <row r="201" customFormat="false" ht="15" hidden="false" customHeight="false" outlineLevel="0" collapsed="false">
      <c r="A201" s="0" t="s">
        <v>299</v>
      </c>
      <c r="B201" s="0" t="s">
        <v>46</v>
      </c>
      <c r="C201" s="0" t="s">
        <v>300</v>
      </c>
      <c r="D201" s="0" t="s">
        <v>48</v>
      </c>
      <c r="E201" s="38" t="n">
        <v>209362.7</v>
      </c>
      <c r="F201" s="39" t="n">
        <v>905</v>
      </c>
    </row>
    <row r="202" customFormat="false" ht="15" hidden="false" customHeight="false" outlineLevel="0" collapsed="false">
      <c r="A202" s="0" t="s">
        <v>299</v>
      </c>
      <c r="B202" s="0" t="s">
        <v>49</v>
      </c>
      <c r="C202" s="0" t="s">
        <v>300</v>
      </c>
      <c r="D202" s="0" t="s">
        <v>53</v>
      </c>
      <c r="E202" s="38" t="n">
        <v>2452204</v>
      </c>
      <c r="F202" s="39" t="n">
        <v>10600</v>
      </c>
    </row>
    <row r="203" customFormat="false" ht="15" hidden="false" customHeight="false" outlineLevel="0" collapsed="false">
      <c r="A203" s="0" t="s">
        <v>299</v>
      </c>
      <c r="B203" s="0" t="s">
        <v>49</v>
      </c>
      <c r="C203" s="0" t="s">
        <v>300</v>
      </c>
      <c r="D203" s="0" t="s">
        <v>50</v>
      </c>
      <c r="E203" s="38" t="n">
        <v>2452204</v>
      </c>
      <c r="F203" s="39" t="n">
        <v>10600</v>
      </c>
    </row>
    <row r="204" customFormat="false" ht="15" hidden="false" customHeight="false" outlineLevel="0" collapsed="false">
      <c r="A204" s="0" t="s">
        <v>301</v>
      </c>
      <c r="B204" s="0" t="s">
        <v>46</v>
      </c>
      <c r="C204" s="0" t="s">
        <v>302</v>
      </c>
      <c r="D204" s="0" t="s">
        <v>48</v>
      </c>
      <c r="E204" s="38" t="n">
        <v>34667.3</v>
      </c>
      <c r="F204" s="39" t="n">
        <v>211</v>
      </c>
    </row>
    <row r="205" customFormat="false" ht="15" hidden="false" customHeight="false" outlineLevel="0" collapsed="false">
      <c r="A205" s="0" t="s">
        <v>301</v>
      </c>
      <c r="B205" s="0" t="s">
        <v>49</v>
      </c>
      <c r="C205" s="0" t="s">
        <v>302</v>
      </c>
      <c r="D205" s="0" t="s">
        <v>53</v>
      </c>
      <c r="E205" s="38" t="n">
        <v>427180</v>
      </c>
      <c r="F205" s="39" t="n">
        <v>2600</v>
      </c>
    </row>
    <row r="206" customFormat="false" ht="15" hidden="false" customHeight="false" outlineLevel="0" collapsed="false">
      <c r="A206" s="0" t="s">
        <v>301</v>
      </c>
      <c r="B206" s="0" t="s">
        <v>49</v>
      </c>
      <c r="C206" s="0" t="s">
        <v>302</v>
      </c>
      <c r="D206" s="0" t="s">
        <v>50</v>
      </c>
      <c r="E206" s="38" t="n">
        <v>427180</v>
      </c>
      <c r="F206" s="39" t="n">
        <v>2600</v>
      </c>
    </row>
    <row r="207" customFormat="false" ht="15" hidden="false" customHeight="false" outlineLevel="0" collapsed="false">
      <c r="A207" s="0" t="s">
        <v>303</v>
      </c>
      <c r="B207" s="0" t="s">
        <v>67</v>
      </c>
      <c r="C207" s="0" t="s">
        <v>304</v>
      </c>
      <c r="D207" s="0" t="s">
        <v>48</v>
      </c>
      <c r="E207" s="38" t="n">
        <v>19178125</v>
      </c>
      <c r="F207" s="39" t="n">
        <v>21250000</v>
      </c>
    </row>
    <row r="208" customFormat="false" ht="15" hidden="false" customHeight="false" outlineLevel="0" collapsed="false">
      <c r="A208" s="0" t="s">
        <v>305</v>
      </c>
      <c r="B208" s="0" t="s">
        <v>46</v>
      </c>
      <c r="C208" s="0" t="s">
        <v>306</v>
      </c>
      <c r="D208" s="0" t="s">
        <v>48</v>
      </c>
      <c r="E208" s="38" t="n">
        <v>1443808.8</v>
      </c>
      <c r="F208" s="39" t="n">
        <v>2160</v>
      </c>
    </row>
    <row r="209" customFormat="false" ht="15" hidden="false" customHeight="false" outlineLevel="0" collapsed="false">
      <c r="A209" s="0" t="s">
        <v>307</v>
      </c>
      <c r="B209" s="0" t="s">
        <v>49</v>
      </c>
      <c r="C209" s="0" t="s">
        <v>308</v>
      </c>
      <c r="D209" s="0" t="s">
        <v>53</v>
      </c>
      <c r="E209" s="38" t="n">
        <v>3158973</v>
      </c>
      <c r="F209" s="39" t="n">
        <v>7900</v>
      </c>
    </row>
    <row r="210" customFormat="false" ht="15" hidden="false" customHeight="false" outlineLevel="0" collapsed="false">
      <c r="A210" s="0" t="s">
        <v>307</v>
      </c>
      <c r="B210" s="0" t="s">
        <v>49</v>
      </c>
      <c r="C210" s="0" t="s">
        <v>308</v>
      </c>
      <c r="D210" s="0" t="s">
        <v>50</v>
      </c>
      <c r="E210" s="38" t="n">
        <v>3158973</v>
      </c>
      <c r="F210" s="39" t="n">
        <v>7900</v>
      </c>
    </row>
    <row r="211" customFormat="false" ht="15" hidden="false" customHeight="false" outlineLevel="0" collapsed="false">
      <c r="A211" s="0" t="s">
        <v>309</v>
      </c>
      <c r="B211" s="0" t="s">
        <v>49</v>
      </c>
      <c r="C211" s="0" t="s">
        <v>310</v>
      </c>
      <c r="D211" s="0" t="s">
        <v>53</v>
      </c>
      <c r="E211" s="38" t="n">
        <v>2019600</v>
      </c>
      <c r="F211" s="39" t="n">
        <v>26400</v>
      </c>
    </row>
    <row r="212" customFormat="false" ht="15" hidden="false" customHeight="false" outlineLevel="0" collapsed="false">
      <c r="A212" s="0" t="s">
        <v>309</v>
      </c>
      <c r="B212" s="0" t="s">
        <v>49</v>
      </c>
      <c r="C212" s="0" t="s">
        <v>310</v>
      </c>
      <c r="D212" s="0" t="s">
        <v>50</v>
      </c>
      <c r="E212" s="38" t="n">
        <v>2019600</v>
      </c>
      <c r="F212" s="39" t="n">
        <v>26400</v>
      </c>
    </row>
    <row r="213" customFormat="false" ht="15" hidden="false" customHeight="false" outlineLevel="0" collapsed="false">
      <c r="A213" s="0" t="s">
        <v>311</v>
      </c>
      <c r="B213" s="0" t="s">
        <v>67</v>
      </c>
      <c r="C213" s="0" t="s">
        <v>312</v>
      </c>
      <c r="D213" s="0" t="s">
        <v>48</v>
      </c>
      <c r="E213" s="38" t="n">
        <v>2582992</v>
      </c>
      <c r="F213" s="39" t="n">
        <v>4000000</v>
      </c>
    </row>
    <row r="214" customFormat="false" ht="15" hidden="false" customHeight="false" outlineLevel="0" collapsed="false">
      <c r="A214" s="0" t="s">
        <v>311</v>
      </c>
      <c r="B214" s="0" t="s">
        <v>49</v>
      </c>
      <c r="C214" s="0" t="s">
        <v>313</v>
      </c>
      <c r="D214" s="0" t="s">
        <v>50</v>
      </c>
      <c r="E214" s="38" t="n">
        <v>751000</v>
      </c>
      <c r="F214" s="39" t="n">
        <v>1000000</v>
      </c>
    </row>
    <row r="215" customFormat="false" ht="15" hidden="false" customHeight="false" outlineLevel="0" collapsed="false">
      <c r="A215" s="0" t="s">
        <v>314</v>
      </c>
      <c r="B215" s="0" t="s">
        <v>46</v>
      </c>
      <c r="C215" s="0" t="s">
        <v>315</v>
      </c>
      <c r="D215" s="0" t="s">
        <v>48</v>
      </c>
      <c r="E215" s="38" t="n">
        <v>4997104.3</v>
      </c>
      <c r="F215" s="39" t="n">
        <v>40270</v>
      </c>
    </row>
    <row r="216" customFormat="false" ht="15" hidden="false" customHeight="false" outlineLevel="0" collapsed="false">
      <c r="A216" s="0" t="s">
        <v>316</v>
      </c>
      <c r="B216" s="0" t="s">
        <v>46</v>
      </c>
      <c r="C216" s="0" t="s">
        <v>317</v>
      </c>
      <c r="D216" s="0" t="s">
        <v>48</v>
      </c>
      <c r="E216" s="38" t="n">
        <v>1214017.35</v>
      </c>
      <c r="F216" s="39" t="n">
        <v>2945</v>
      </c>
    </row>
    <row r="217" customFormat="false" ht="15" hidden="false" customHeight="false" outlineLevel="0" collapsed="false">
      <c r="A217" s="0" t="s">
        <v>316</v>
      </c>
      <c r="B217" s="0" t="s">
        <v>49</v>
      </c>
      <c r="C217" s="0" t="s">
        <v>317</v>
      </c>
      <c r="D217" s="0" t="s">
        <v>53</v>
      </c>
      <c r="E217" s="38" t="n">
        <v>453453</v>
      </c>
      <c r="F217" s="39" t="n">
        <v>1100</v>
      </c>
    </row>
    <row r="218" customFormat="false" ht="15" hidden="false" customHeight="false" outlineLevel="0" collapsed="false">
      <c r="A218" s="0" t="s">
        <v>316</v>
      </c>
      <c r="B218" s="0" t="s">
        <v>49</v>
      </c>
      <c r="C218" s="0" t="s">
        <v>317</v>
      </c>
      <c r="D218" s="0" t="s">
        <v>50</v>
      </c>
      <c r="E218" s="38" t="n">
        <v>453453</v>
      </c>
      <c r="F218" s="39" t="n">
        <v>1100</v>
      </c>
    </row>
    <row r="219" customFormat="false" ht="15" hidden="false" customHeight="false" outlineLevel="0" collapsed="false">
      <c r="A219" s="0" t="s">
        <v>318</v>
      </c>
      <c r="B219" s="0" t="s">
        <v>49</v>
      </c>
      <c r="C219" s="0" t="s">
        <v>319</v>
      </c>
      <c r="D219" s="0" t="s">
        <v>53</v>
      </c>
      <c r="E219" s="38" t="n">
        <v>1489404</v>
      </c>
      <c r="F219" s="39" t="n">
        <v>9800</v>
      </c>
    </row>
    <row r="220" customFormat="false" ht="15" hidden="false" customHeight="false" outlineLevel="0" collapsed="false">
      <c r="A220" s="0" t="s">
        <v>318</v>
      </c>
      <c r="B220" s="0" t="s">
        <v>49</v>
      </c>
      <c r="C220" s="0" t="s">
        <v>319</v>
      </c>
      <c r="D220" s="0" t="s">
        <v>50</v>
      </c>
      <c r="E220" s="38" t="n">
        <v>9088404</v>
      </c>
      <c r="F220" s="39" t="n">
        <v>59800</v>
      </c>
    </row>
    <row r="221" customFormat="false" ht="15" hidden="false" customHeight="false" outlineLevel="0" collapsed="false">
      <c r="A221" s="0" t="s">
        <v>320</v>
      </c>
      <c r="B221" s="0" t="s">
        <v>46</v>
      </c>
      <c r="C221" s="0" t="s">
        <v>321</v>
      </c>
      <c r="D221" s="0" t="s">
        <v>48</v>
      </c>
      <c r="E221" s="38" t="n">
        <v>870157.68</v>
      </c>
      <c r="F221" s="39" t="n">
        <v>8967</v>
      </c>
    </row>
    <row r="222" customFormat="false" ht="15" hidden="false" customHeight="false" outlineLevel="0" collapsed="false">
      <c r="A222" s="0" t="s">
        <v>320</v>
      </c>
      <c r="B222" s="0" t="s">
        <v>49</v>
      </c>
      <c r="C222" s="0" t="s">
        <v>321</v>
      </c>
      <c r="D222" s="0" t="s">
        <v>53</v>
      </c>
      <c r="E222" s="38" t="n">
        <v>883064</v>
      </c>
      <c r="F222" s="39" t="n">
        <v>9100</v>
      </c>
    </row>
    <row r="223" customFormat="false" ht="15" hidden="false" customHeight="false" outlineLevel="0" collapsed="false">
      <c r="A223" s="0" t="s">
        <v>320</v>
      </c>
      <c r="B223" s="0" t="s">
        <v>49</v>
      </c>
      <c r="C223" s="0" t="s">
        <v>321</v>
      </c>
      <c r="D223" s="0" t="s">
        <v>50</v>
      </c>
      <c r="E223" s="38" t="n">
        <v>2998536</v>
      </c>
      <c r="F223" s="39" t="n">
        <v>30900</v>
      </c>
    </row>
    <row r="224" customFormat="false" ht="15" hidden="false" customHeight="false" outlineLevel="0" collapsed="false">
      <c r="A224" s="0" t="s">
        <v>322</v>
      </c>
      <c r="B224" s="0" t="s">
        <v>67</v>
      </c>
      <c r="C224" s="0" t="s">
        <v>323</v>
      </c>
      <c r="D224" s="0" t="s">
        <v>48</v>
      </c>
      <c r="E224" s="38" t="n">
        <v>8026700</v>
      </c>
      <c r="F224" s="39" t="n">
        <v>5500000</v>
      </c>
    </row>
    <row r="225" customFormat="false" ht="15" hidden="false" customHeight="false" outlineLevel="0" collapsed="false">
      <c r="A225" s="0" t="s">
        <v>324</v>
      </c>
      <c r="B225" s="0" t="s">
        <v>49</v>
      </c>
      <c r="C225" s="0" t="s">
        <v>325</v>
      </c>
      <c r="D225" s="0" t="s">
        <v>53</v>
      </c>
      <c r="E225" s="38" t="n">
        <v>3010250</v>
      </c>
      <c r="F225" s="39" t="n">
        <v>12500</v>
      </c>
    </row>
    <row r="226" customFormat="false" ht="15" hidden="false" customHeight="false" outlineLevel="0" collapsed="false">
      <c r="A226" s="0" t="s">
        <v>324</v>
      </c>
      <c r="B226" s="0" t="s">
        <v>49</v>
      </c>
      <c r="C226" s="0" t="s">
        <v>325</v>
      </c>
      <c r="D226" s="0" t="s">
        <v>50</v>
      </c>
      <c r="E226" s="38" t="n">
        <v>3010250</v>
      </c>
      <c r="F226" s="39" t="n">
        <v>12500</v>
      </c>
    </row>
    <row r="227" customFormat="false" ht="15" hidden="false" customHeight="false" outlineLevel="0" collapsed="false">
      <c r="A227" s="0" t="s">
        <v>326</v>
      </c>
      <c r="B227" s="0" t="s">
        <v>46</v>
      </c>
      <c r="C227" s="0" t="s">
        <v>327</v>
      </c>
      <c r="D227" s="0" t="s">
        <v>48</v>
      </c>
      <c r="E227" s="38" t="n">
        <v>43358.28</v>
      </c>
      <c r="F227" s="39" t="n">
        <v>994</v>
      </c>
    </row>
    <row r="228" customFormat="false" ht="15" hidden="false" customHeight="false" outlineLevel="0" collapsed="false">
      <c r="A228" s="0" t="s">
        <v>326</v>
      </c>
      <c r="B228" s="0" t="s">
        <v>49</v>
      </c>
      <c r="C228" s="0" t="s">
        <v>327</v>
      </c>
      <c r="D228" s="0" t="s">
        <v>53</v>
      </c>
      <c r="E228" s="38" t="n">
        <v>418752</v>
      </c>
      <c r="F228" s="39" t="n">
        <v>9600</v>
      </c>
    </row>
    <row r="229" customFormat="false" ht="15" hidden="false" customHeight="false" outlineLevel="0" collapsed="false">
      <c r="A229" s="0" t="s">
        <v>326</v>
      </c>
      <c r="B229" s="0" t="s">
        <v>49</v>
      </c>
      <c r="C229" s="0" t="s">
        <v>327</v>
      </c>
      <c r="D229" s="0" t="s">
        <v>50</v>
      </c>
      <c r="E229" s="38" t="n">
        <v>418752</v>
      </c>
      <c r="F229" s="39" t="n">
        <v>9600</v>
      </c>
    </row>
    <row r="230" customFormat="false" ht="15" hidden="false" customHeight="false" outlineLevel="0" collapsed="false">
      <c r="A230" s="0" t="s">
        <v>328</v>
      </c>
      <c r="B230" s="0" t="s">
        <v>67</v>
      </c>
      <c r="C230" s="0" t="s">
        <v>329</v>
      </c>
      <c r="D230" s="0" t="s">
        <v>48</v>
      </c>
      <c r="E230" s="38" t="n">
        <v>1875000</v>
      </c>
      <c r="F230" s="39" t="n">
        <v>3000000</v>
      </c>
    </row>
    <row r="231" customFormat="false" ht="15" hidden="false" customHeight="false" outlineLevel="0" collapsed="false">
      <c r="A231" s="0" t="s">
        <v>330</v>
      </c>
      <c r="B231" s="0" t="s">
        <v>46</v>
      </c>
      <c r="C231" s="0" t="s">
        <v>331</v>
      </c>
      <c r="D231" s="0" t="s">
        <v>48</v>
      </c>
      <c r="E231" s="38" t="n">
        <v>4715.6</v>
      </c>
      <c r="F231" s="39" t="n">
        <v>10</v>
      </c>
    </row>
    <row r="232" customFormat="false" ht="15" hidden="false" customHeight="false" outlineLevel="0" collapsed="false">
      <c r="A232" s="0" t="s">
        <v>330</v>
      </c>
      <c r="B232" s="0" t="s">
        <v>49</v>
      </c>
      <c r="C232" s="0" t="s">
        <v>331</v>
      </c>
      <c r="D232" s="0" t="s">
        <v>53</v>
      </c>
      <c r="E232" s="38" t="n">
        <v>94312</v>
      </c>
      <c r="F232" s="39" t="n">
        <v>200</v>
      </c>
    </row>
    <row r="233" customFormat="false" ht="15" hidden="false" customHeight="false" outlineLevel="0" collapsed="false">
      <c r="A233" s="0" t="s">
        <v>330</v>
      </c>
      <c r="B233" s="0" t="s">
        <v>49</v>
      </c>
      <c r="C233" s="0" t="s">
        <v>331</v>
      </c>
      <c r="D233" s="0" t="s">
        <v>50</v>
      </c>
      <c r="E233" s="38" t="n">
        <v>94312</v>
      </c>
      <c r="F233" s="39" t="n">
        <v>200</v>
      </c>
    </row>
    <row r="234" customFormat="false" ht="15" hidden="false" customHeight="false" outlineLevel="0" collapsed="false">
      <c r="A234" s="0" t="s">
        <v>332</v>
      </c>
      <c r="B234" s="0" t="s">
        <v>46</v>
      </c>
      <c r="C234" s="0" t="s">
        <v>333</v>
      </c>
      <c r="D234" s="0" t="s">
        <v>48</v>
      </c>
      <c r="E234" s="38" t="n">
        <v>1517446.42</v>
      </c>
      <c r="F234" s="39" t="n">
        <v>10513</v>
      </c>
    </row>
    <row r="235" customFormat="false" ht="15" hidden="false" customHeight="false" outlineLevel="0" collapsed="false">
      <c r="A235" s="0" t="s">
        <v>334</v>
      </c>
      <c r="B235" s="0" t="s">
        <v>46</v>
      </c>
      <c r="C235" s="0" t="s">
        <v>335</v>
      </c>
      <c r="D235" s="0" t="s">
        <v>48</v>
      </c>
      <c r="E235" s="38" t="n">
        <v>170795.56</v>
      </c>
      <c r="F235" s="39" t="n">
        <v>293</v>
      </c>
    </row>
    <row r="236" customFormat="false" ht="15" hidden="false" customHeight="false" outlineLevel="0" collapsed="false">
      <c r="A236" s="0" t="s">
        <v>334</v>
      </c>
      <c r="B236" s="0" t="s">
        <v>49</v>
      </c>
      <c r="C236" s="0" t="s">
        <v>335</v>
      </c>
      <c r="D236" s="0" t="s">
        <v>53</v>
      </c>
      <c r="E236" s="38" t="n">
        <v>5596032</v>
      </c>
      <c r="F236" s="39" t="n">
        <v>9600</v>
      </c>
    </row>
    <row r="237" customFormat="false" ht="15" hidden="false" customHeight="false" outlineLevel="0" collapsed="false">
      <c r="A237" s="0" t="s">
        <v>334</v>
      </c>
      <c r="B237" s="0" t="s">
        <v>49</v>
      </c>
      <c r="C237" s="0" t="s">
        <v>335</v>
      </c>
      <c r="D237" s="0" t="s">
        <v>50</v>
      </c>
      <c r="E237" s="38" t="n">
        <v>5596032</v>
      </c>
      <c r="F237" s="39" t="n">
        <v>9600</v>
      </c>
    </row>
    <row r="238" customFormat="false" ht="15" hidden="false" customHeight="false" outlineLevel="0" collapsed="false">
      <c r="A238" s="0" t="s">
        <v>336</v>
      </c>
      <c r="B238" s="0" t="s">
        <v>49</v>
      </c>
      <c r="C238" s="0" t="s">
        <v>337</v>
      </c>
      <c r="D238" s="0" t="s">
        <v>53</v>
      </c>
      <c r="E238" s="38" t="n">
        <v>1831155</v>
      </c>
      <c r="F238" s="39" t="n">
        <v>8500</v>
      </c>
    </row>
    <row r="239" customFormat="false" ht="15" hidden="false" customHeight="false" outlineLevel="0" collapsed="false">
      <c r="A239" s="0" t="s">
        <v>338</v>
      </c>
      <c r="B239" s="0" t="s">
        <v>49</v>
      </c>
      <c r="C239" s="0" t="s">
        <v>339</v>
      </c>
      <c r="D239" s="0" t="s">
        <v>53</v>
      </c>
      <c r="E239" s="38" t="n">
        <v>2666112</v>
      </c>
      <c r="F239" s="39" t="n">
        <v>31800</v>
      </c>
    </row>
    <row r="240" customFormat="false" ht="15" hidden="false" customHeight="false" outlineLevel="0" collapsed="false">
      <c r="A240" s="0" t="s">
        <v>338</v>
      </c>
      <c r="B240" s="0" t="s">
        <v>49</v>
      </c>
      <c r="C240" s="0" t="s">
        <v>339</v>
      </c>
      <c r="D240" s="0" t="s">
        <v>50</v>
      </c>
      <c r="E240" s="38" t="n">
        <v>2666112</v>
      </c>
      <c r="F240" s="39" t="n">
        <v>31800</v>
      </c>
    </row>
    <row r="241" customFormat="false" ht="15" hidden="false" customHeight="false" outlineLevel="0" collapsed="false">
      <c r="A241" s="0" t="s">
        <v>340</v>
      </c>
      <c r="B241" s="0" t="s">
        <v>46</v>
      </c>
      <c r="C241" s="0" t="s">
        <v>341</v>
      </c>
      <c r="D241" s="0" t="s">
        <v>48</v>
      </c>
      <c r="E241" s="38" t="n">
        <v>1055486.1</v>
      </c>
      <c r="F241" s="39" t="n">
        <v>108813</v>
      </c>
    </row>
    <row r="242" customFormat="false" ht="15" hidden="false" customHeight="false" outlineLevel="0" collapsed="false">
      <c r="A242" s="0" t="s">
        <v>342</v>
      </c>
      <c r="B242" s="0" t="s">
        <v>67</v>
      </c>
      <c r="C242" s="0" t="s">
        <v>343</v>
      </c>
      <c r="D242" s="0" t="s">
        <v>48</v>
      </c>
      <c r="E242" s="38" t="n">
        <v>36281830</v>
      </c>
      <c r="F242" s="39" t="n">
        <v>30172000</v>
      </c>
    </row>
    <row r="243" customFormat="false" ht="15" hidden="false" customHeight="false" outlineLevel="0" collapsed="false">
      <c r="A243" s="0" t="s">
        <v>344</v>
      </c>
      <c r="B243" s="0" t="s">
        <v>67</v>
      </c>
      <c r="C243" s="0" t="s">
        <v>345</v>
      </c>
      <c r="D243" s="0" t="s">
        <v>48</v>
      </c>
      <c r="E243" s="38" t="n">
        <v>11539000</v>
      </c>
      <c r="F243" s="39" t="n">
        <v>11000000</v>
      </c>
    </row>
    <row r="244" customFormat="false" ht="15" hidden="false" customHeight="false" outlineLevel="0" collapsed="false">
      <c r="A244" s="0" t="s">
        <v>346</v>
      </c>
      <c r="B244" s="0" t="s">
        <v>67</v>
      </c>
      <c r="C244" s="0" t="s">
        <v>347</v>
      </c>
      <c r="D244" s="0" t="s">
        <v>48</v>
      </c>
      <c r="E244" s="38" t="n">
        <v>12968800</v>
      </c>
      <c r="F244" s="39" t="n">
        <v>14500000</v>
      </c>
    </row>
    <row r="245" customFormat="false" ht="15" hidden="false" customHeight="false" outlineLevel="0" collapsed="false">
      <c r="A245" s="0" t="s">
        <v>348</v>
      </c>
      <c r="B245" s="0" t="s">
        <v>46</v>
      </c>
      <c r="C245" s="0" t="s">
        <v>349</v>
      </c>
      <c r="D245" s="0" t="s">
        <v>48</v>
      </c>
      <c r="E245" s="38" t="n">
        <v>30434.28</v>
      </c>
      <c r="F245" s="39" t="n">
        <v>254</v>
      </c>
    </row>
    <row r="246" customFormat="false" ht="15" hidden="false" customHeight="false" outlineLevel="0" collapsed="false">
      <c r="A246" s="0" t="s">
        <v>348</v>
      </c>
      <c r="B246" s="0" t="s">
        <v>49</v>
      </c>
      <c r="C246" s="0" t="s">
        <v>349</v>
      </c>
      <c r="D246" s="0" t="s">
        <v>50</v>
      </c>
      <c r="E246" s="38" t="n">
        <v>3462798</v>
      </c>
      <c r="F246" s="39" t="n">
        <v>28900</v>
      </c>
    </row>
    <row r="247" customFormat="false" ht="15" hidden="false" customHeight="false" outlineLevel="0" collapsed="false">
      <c r="A247" s="0" t="s">
        <v>350</v>
      </c>
      <c r="B247" s="0" t="s">
        <v>67</v>
      </c>
      <c r="C247" s="0" t="s">
        <v>351</v>
      </c>
      <c r="D247" s="0" t="s">
        <v>48</v>
      </c>
      <c r="E247" s="38" t="n">
        <v>27556750</v>
      </c>
      <c r="F247" s="39" t="n">
        <v>27800000</v>
      </c>
    </row>
    <row r="248" customFormat="false" ht="15" hidden="false" customHeight="false" outlineLevel="0" collapsed="false">
      <c r="A248" s="0" t="s">
        <v>352</v>
      </c>
      <c r="B248" s="0" t="s">
        <v>46</v>
      </c>
      <c r="C248" s="0" t="s">
        <v>353</v>
      </c>
      <c r="D248" s="0" t="s">
        <v>48</v>
      </c>
      <c r="E248" s="38" t="n">
        <v>792252</v>
      </c>
      <c r="F248" s="39" t="n">
        <v>88028</v>
      </c>
    </row>
    <row r="249" customFormat="false" ht="15" hidden="false" customHeight="false" outlineLevel="0" collapsed="false">
      <c r="A249" s="0" t="s">
        <v>354</v>
      </c>
      <c r="B249" s="0" t="s">
        <v>46</v>
      </c>
      <c r="C249" s="0" t="s">
        <v>355</v>
      </c>
      <c r="D249" s="0" t="s">
        <v>48</v>
      </c>
      <c r="E249" s="38" t="n">
        <v>146954.25</v>
      </c>
      <c r="F249" s="39" t="n">
        <v>1215</v>
      </c>
    </row>
    <row r="250" customFormat="false" ht="15" hidden="false" customHeight="false" outlineLevel="0" collapsed="false">
      <c r="A250" s="0" t="s">
        <v>354</v>
      </c>
      <c r="B250" s="0" t="s">
        <v>49</v>
      </c>
      <c r="C250" s="0" t="s">
        <v>355</v>
      </c>
      <c r="D250" s="0" t="s">
        <v>53</v>
      </c>
      <c r="E250" s="38" t="n">
        <v>7208620</v>
      </c>
      <c r="F250" s="39" t="n">
        <v>59600</v>
      </c>
    </row>
    <row r="251" customFormat="false" ht="15" hidden="false" customHeight="false" outlineLevel="0" collapsed="false">
      <c r="A251" s="0" t="s">
        <v>354</v>
      </c>
      <c r="B251" s="0" t="s">
        <v>49</v>
      </c>
      <c r="C251" s="0" t="s">
        <v>355</v>
      </c>
      <c r="D251" s="0" t="s">
        <v>50</v>
      </c>
      <c r="E251" s="38" t="n">
        <v>2128720</v>
      </c>
      <c r="F251" s="39" t="n">
        <v>17600</v>
      </c>
    </row>
    <row r="252" customFormat="false" ht="15" hidden="false" customHeight="false" outlineLevel="0" collapsed="false">
      <c r="A252" s="0" t="s">
        <v>356</v>
      </c>
      <c r="B252" s="0" t="s">
        <v>46</v>
      </c>
      <c r="C252" s="0" t="s">
        <v>357</v>
      </c>
      <c r="D252" s="0" t="s">
        <v>48</v>
      </c>
      <c r="E252" s="38" t="n">
        <v>82149.78</v>
      </c>
      <c r="F252" s="39" t="n">
        <v>102</v>
      </c>
    </row>
    <row r="253" customFormat="false" ht="15" hidden="false" customHeight="false" outlineLevel="0" collapsed="false">
      <c r="A253" s="0" t="s">
        <v>356</v>
      </c>
      <c r="B253" s="0" t="s">
        <v>49</v>
      </c>
      <c r="C253" s="0" t="s">
        <v>357</v>
      </c>
      <c r="D253" s="0" t="s">
        <v>53</v>
      </c>
      <c r="E253" s="38" t="n">
        <v>1852397</v>
      </c>
      <c r="F253" s="39" t="n">
        <v>2300</v>
      </c>
    </row>
    <row r="254" customFormat="false" ht="15" hidden="false" customHeight="false" outlineLevel="0" collapsed="false">
      <c r="A254" s="0" t="s">
        <v>356</v>
      </c>
      <c r="B254" s="0" t="s">
        <v>49</v>
      </c>
      <c r="C254" s="0" t="s">
        <v>357</v>
      </c>
      <c r="D254" s="0" t="s">
        <v>50</v>
      </c>
      <c r="E254" s="38" t="n">
        <v>1852397</v>
      </c>
      <c r="F254" s="39" t="n">
        <v>2300</v>
      </c>
    </row>
    <row r="255" customFormat="false" ht="15" hidden="false" customHeight="false" outlineLevel="0" collapsed="false">
      <c r="A255" s="0" t="s">
        <v>358</v>
      </c>
      <c r="B255" s="0" t="s">
        <v>67</v>
      </c>
      <c r="C255" s="0" t="s">
        <v>359</v>
      </c>
      <c r="D255" s="0" t="s">
        <v>48</v>
      </c>
      <c r="E255" s="38" t="n">
        <v>3262919</v>
      </c>
      <c r="F255" s="39" t="n">
        <v>5500000</v>
      </c>
    </row>
    <row r="256" customFormat="false" ht="15" hidden="false" customHeight="false" outlineLevel="0" collapsed="false">
      <c r="A256" s="0" t="s">
        <v>360</v>
      </c>
      <c r="B256" s="0" t="s">
        <v>49</v>
      </c>
      <c r="C256" s="0" t="s">
        <v>361</v>
      </c>
      <c r="D256" s="0" t="s">
        <v>53</v>
      </c>
      <c r="E256" s="38" t="n">
        <v>2340000</v>
      </c>
      <c r="F256" s="39" t="n">
        <v>16000</v>
      </c>
    </row>
    <row r="257" customFormat="false" ht="15" hidden="false" customHeight="false" outlineLevel="0" collapsed="false">
      <c r="A257" s="0" t="s">
        <v>360</v>
      </c>
      <c r="B257" s="0" t="s">
        <v>49</v>
      </c>
      <c r="C257" s="0" t="s">
        <v>361</v>
      </c>
      <c r="D257" s="0" t="s">
        <v>50</v>
      </c>
      <c r="E257" s="38" t="n">
        <v>2340000</v>
      </c>
      <c r="F257" s="39" t="n">
        <v>16000</v>
      </c>
    </row>
    <row r="258" customFormat="false" ht="15" hidden="false" customHeight="false" outlineLevel="0" collapsed="false">
      <c r="A258" s="0" t="s">
        <v>362</v>
      </c>
      <c r="B258" s="0" t="s">
        <v>67</v>
      </c>
      <c r="C258" s="0" t="s">
        <v>363</v>
      </c>
      <c r="D258" s="0" t="s">
        <v>48</v>
      </c>
      <c r="E258" s="38" t="n">
        <v>13251150</v>
      </c>
      <c r="F258" s="39" t="n">
        <v>16500000</v>
      </c>
    </row>
    <row r="259" customFormat="false" ht="15" hidden="false" customHeight="false" outlineLevel="0" collapsed="false">
      <c r="A259" s="0" t="s">
        <v>364</v>
      </c>
      <c r="B259" s="0" t="s">
        <v>67</v>
      </c>
      <c r="C259" s="0" t="s">
        <v>365</v>
      </c>
      <c r="D259" s="0" t="s">
        <v>48</v>
      </c>
      <c r="E259" s="38" t="n">
        <v>15472500</v>
      </c>
      <c r="F259" s="39" t="n">
        <v>15000000</v>
      </c>
    </row>
    <row r="260" customFormat="false" ht="15" hidden="false" customHeight="false" outlineLevel="0" collapsed="false">
      <c r="A260" s="0" t="s">
        <v>366</v>
      </c>
      <c r="B260" s="0" t="s">
        <v>67</v>
      </c>
      <c r="C260" s="0" t="s">
        <v>367</v>
      </c>
      <c r="D260" s="0" t="s">
        <v>48</v>
      </c>
      <c r="E260" s="38" t="n">
        <v>37179250</v>
      </c>
      <c r="F260" s="39" t="n">
        <v>31750000</v>
      </c>
    </row>
    <row r="261" customFormat="false" ht="15" hidden="false" customHeight="false" outlineLevel="0" collapsed="false">
      <c r="A261" s="0" t="s">
        <v>368</v>
      </c>
      <c r="B261" s="0" t="s">
        <v>67</v>
      </c>
      <c r="C261" s="0" t="s">
        <v>369</v>
      </c>
      <c r="D261" s="0" t="s">
        <v>48</v>
      </c>
      <c r="E261" s="38" t="n">
        <v>21150000</v>
      </c>
      <c r="F261" s="39" t="n">
        <v>22500000</v>
      </c>
    </row>
    <row r="262" customFormat="false" ht="15" hidden="false" customHeight="false" outlineLevel="0" collapsed="false">
      <c r="A262" s="0" t="s">
        <v>368</v>
      </c>
      <c r="B262" s="0" t="s">
        <v>67</v>
      </c>
      <c r="C262" s="0" t="s">
        <v>370</v>
      </c>
      <c r="D262" s="0" t="s">
        <v>48</v>
      </c>
      <c r="E262" s="38" t="n">
        <v>26499000</v>
      </c>
      <c r="F262" s="39" t="n">
        <v>22000000</v>
      </c>
    </row>
    <row r="263" customFormat="false" ht="15" hidden="false" customHeight="false" outlineLevel="0" collapsed="false">
      <c r="A263" s="0" t="s">
        <v>371</v>
      </c>
      <c r="B263" s="0" t="s">
        <v>49</v>
      </c>
      <c r="C263" s="0" t="s">
        <v>372</v>
      </c>
      <c r="D263" s="0" t="s">
        <v>53</v>
      </c>
      <c r="E263" s="38" t="n">
        <v>561623</v>
      </c>
      <c r="F263" s="39" t="n">
        <v>3700</v>
      </c>
    </row>
    <row r="264" customFormat="false" ht="15" hidden="false" customHeight="false" outlineLevel="0" collapsed="false">
      <c r="A264" s="0" t="s">
        <v>371</v>
      </c>
      <c r="B264" s="0" t="s">
        <v>49</v>
      </c>
      <c r="C264" s="0" t="s">
        <v>372</v>
      </c>
      <c r="D264" s="0" t="s">
        <v>50</v>
      </c>
      <c r="E264" s="38" t="n">
        <v>561623</v>
      </c>
      <c r="F264" s="39" t="n">
        <v>3700</v>
      </c>
    </row>
    <row r="265" customFormat="false" ht="15" hidden="false" customHeight="false" outlineLevel="0" collapsed="false">
      <c r="A265" s="0" t="s">
        <v>373</v>
      </c>
      <c r="B265" s="0" t="s">
        <v>49</v>
      </c>
      <c r="C265" s="0" t="s">
        <v>374</v>
      </c>
      <c r="D265" s="0" t="s">
        <v>53</v>
      </c>
      <c r="E265" s="38" t="n">
        <v>3439312</v>
      </c>
      <c r="F265" s="39" t="n">
        <v>34400</v>
      </c>
    </row>
    <row r="266" customFormat="false" ht="15" hidden="false" customHeight="false" outlineLevel="0" collapsed="false">
      <c r="A266" s="0" t="s">
        <v>373</v>
      </c>
      <c r="B266" s="0" t="s">
        <v>49</v>
      </c>
      <c r="C266" s="0" t="s">
        <v>374</v>
      </c>
      <c r="D266" s="0" t="s">
        <v>50</v>
      </c>
      <c r="E266" s="38" t="n">
        <v>3439312</v>
      </c>
      <c r="F266" s="39" t="n">
        <v>34400</v>
      </c>
    </row>
    <row r="267" customFormat="false" ht="15" hidden="false" customHeight="false" outlineLevel="0" collapsed="false">
      <c r="A267" s="0" t="s">
        <v>375</v>
      </c>
      <c r="B267" s="0" t="s">
        <v>67</v>
      </c>
      <c r="C267" s="0" t="s">
        <v>376</v>
      </c>
      <c r="D267" s="0" t="s">
        <v>48</v>
      </c>
      <c r="E267" s="38" t="n">
        <v>14024448</v>
      </c>
      <c r="F267" s="39" t="n">
        <v>13824000</v>
      </c>
    </row>
    <row r="268" customFormat="false" ht="15" hidden="false" customHeight="false" outlineLevel="0" collapsed="false">
      <c r="A268" s="0" t="s">
        <v>377</v>
      </c>
      <c r="B268" s="0" t="s">
        <v>67</v>
      </c>
      <c r="C268" s="0" t="s">
        <v>378</v>
      </c>
      <c r="D268" s="0" t="s">
        <v>48</v>
      </c>
      <c r="E268" s="38" t="n">
        <v>9494100</v>
      </c>
      <c r="F268" s="39" t="n">
        <v>11000000</v>
      </c>
    </row>
    <row r="269" customFormat="false" ht="15" hidden="false" customHeight="false" outlineLevel="0" collapsed="false">
      <c r="A269" s="0" t="s">
        <v>379</v>
      </c>
      <c r="B269" s="0" t="s">
        <v>46</v>
      </c>
      <c r="C269" s="0" t="s">
        <v>380</v>
      </c>
      <c r="D269" s="0" t="s">
        <v>48</v>
      </c>
      <c r="E269" s="38" t="n">
        <v>35910534.7</v>
      </c>
      <c r="F269" s="39" t="n">
        <v>12382943</v>
      </c>
    </row>
    <row r="270" customFormat="false" ht="15" hidden="false" customHeight="false" outlineLevel="0" collapsed="false">
      <c r="A270" s="0" t="s">
        <v>379</v>
      </c>
      <c r="B270" s="0" t="s">
        <v>46</v>
      </c>
      <c r="C270" s="0" t="s">
        <v>381</v>
      </c>
      <c r="D270" s="0" t="s">
        <v>48</v>
      </c>
      <c r="E270" s="38" t="n">
        <v>1753080.16</v>
      </c>
      <c r="F270" s="39" t="n">
        <v>755638</v>
      </c>
    </row>
    <row r="271" customFormat="false" ht="15" hidden="false" customHeight="false" outlineLevel="0" collapsed="false">
      <c r="A271" s="0" t="s">
        <v>379</v>
      </c>
      <c r="B271" s="0" t="s">
        <v>46</v>
      </c>
      <c r="C271" s="0" t="s">
        <v>382</v>
      </c>
      <c r="D271" s="0" t="s">
        <v>48</v>
      </c>
      <c r="E271" s="38" t="n">
        <v>850758.54</v>
      </c>
      <c r="F271" s="39" t="n">
        <v>324717</v>
      </c>
    </row>
    <row r="272" customFormat="false" ht="15" hidden="false" customHeight="false" outlineLevel="0" collapsed="false">
      <c r="A272" s="0" t="s">
        <v>379</v>
      </c>
      <c r="B272" s="0" t="s">
        <v>46</v>
      </c>
      <c r="C272" s="0" t="s">
        <v>383</v>
      </c>
      <c r="D272" s="0" t="s">
        <v>48</v>
      </c>
      <c r="E272" s="38" t="n">
        <v>1609598.62</v>
      </c>
      <c r="F272" s="39" t="n">
        <v>686396</v>
      </c>
    </row>
    <row r="273" customFormat="false" ht="15" hidden="false" customHeight="false" outlineLevel="0" collapsed="false">
      <c r="A273" s="0" t="s">
        <v>379</v>
      </c>
      <c r="B273" s="0" t="s">
        <v>46</v>
      </c>
      <c r="C273" s="0" t="s">
        <v>384</v>
      </c>
      <c r="D273" s="0" t="s">
        <v>48</v>
      </c>
      <c r="E273" s="38" t="n">
        <v>189154</v>
      </c>
      <c r="F273" s="39" t="n">
        <v>82600</v>
      </c>
    </row>
    <row r="274" customFormat="false" ht="15" hidden="false" customHeight="false" outlineLevel="0" collapsed="false">
      <c r="A274" s="0" t="s">
        <v>379</v>
      </c>
      <c r="B274" s="0" t="s">
        <v>46</v>
      </c>
      <c r="C274" s="0" t="s">
        <v>385</v>
      </c>
      <c r="D274" s="0" t="s">
        <v>48</v>
      </c>
      <c r="E274" s="38" t="n">
        <v>143850</v>
      </c>
      <c r="F274" s="39" t="n">
        <v>35000</v>
      </c>
    </row>
    <row r="275" customFormat="false" ht="15" hidden="false" customHeight="false" outlineLevel="0" collapsed="false">
      <c r="A275" s="0" t="s">
        <v>379</v>
      </c>
      <c r="B275" s="0" t="s">
        <v>46</v>
      </c>
      <c r="C275" s="0" t="s">
        <v>386</v>
      </c>
      <c r="D275" s="0" t="s">
        <v>48</v>
      </c>
      <c r="E275" s="38" t="n">
        <v>313760</v>
      </c>
      <c r="F275" s="39" t="n">
        <v>74000</v>
      </c>
    </row>
    <row r="276" customFormat="false" ht="15" hidden="false" customHeight="false" outlineLevel="0" collapsed="false">
      <c r="A276" s="0" t="s">
        <v>379</v>
      </c>
      <c r="B276" s="0" t="s">
        <v>46</v>
      </c>
      <c r="C276" s="0" t="s">
        <v>387</v>
      </c>
      <c r="D276" s="0" t="s">
        <v>48</v>
      </c>
      <c r="E276" s="38" t="n">
        <v>72000</v>
      </c>
      <c r="F276" s="39" t="n">
        <v>18000</v>
      </c>
    </row>
    <row r="277" customFormat="false" ht="15" hidden="false" customHeight="false" outlineLevel="0" collapsed="false">
      <c r="A277" s="0" t="s">
        <v>388</v>
      </c>
      <c r="B277" s="0" t="s">
        <v>46</v>
      </c>
      <c r="C277" s="0" t="s">
        <v>389</v>
      </c>
      <c r="D277" s="0" t="s">
        <v>48</v>
      </c>
      <c r="E277" s="38" t="n">
        <v>27514726.12</v>
      </c>
      <c r="F277" s="39" t="n">
        <v>8544946</v>
      </c>
    </row>
    <row r="278" customFormat="false" ht="15" hidden="false" customHeight="false" outlineLevel="0" collapsed="false">
      <c r="A278" s="0" t="s">
        <v>390</v>
      </c>
      <c r="B278" s="0" t="s">
        <v>46</v>
      </c>
      <c r="C278" s="0" t="s">
        <v>391</v>
      </c>
      <c r="D278" s="0" t="s">
        <v>48</v>
      </c>
      <c r="E278" s="38" t="n">
        <v>3564254.4</v>
      </c>
      <c r="F278" s="39" t="n">
        <v>94794</v>
      </c>
    </row>
    <row r="279" customFormat="false" ht="15" hidden="false" customHeight="false" outlineLevel="0" collapsed="false">
      <c r="A279" s="0" t="s">
        <v>390</v>
      </c>
      <c r="B279" s="0" t="s">
        <v>49</v>
      </c>
      <c r="C279" s="0" t="s">
        <v>391</v>
      </c>
      <c r="D279" s="0" t="s">
        <v>50</v>
      </c>
      <c r="E279" s="38" t="n">
        <v>45120000</v>
      </c>
      <c r="F279" s="39" t="n">
        <v>1200000</v>
      </c>
    </row>
    <row r="280" customFormat="false" ht="15" hidden="false" customHeight="false" outlineLevel="0" collapsed="false">
      <c r="A280" s="0" t="s">
        <v>392</v>
      </c>
      <c r="B280" s="0" t="s">
        <v>49</v>
      </c>
      <c r="C280" s="0" t="s">
        <v>393</v>
      </c>
      <c r="D280" s="0" t="s">
        <v>53</v>
      </c>
      <c r="E280" s="38" t="n">
        <v>212544</v>
      </c>
      <c r="F280" s="39" t="n">
        <v>1600</v>
      </c>
    </row>
    <row r="281" customFormat="false" ht="15" hidden="false" customHeight="false" outlineLevel="0" collapsed="false">
      <c r="A281" s="0" t="s">
        <v>392</v>
      </c>
      <c r="B281" s="0" t="s">
        <v>49</v>
      </c>
      <c r="C281" s="0" t="s">
        <v>393</v>
      </c>
      <c r="D281" s="0" t="s">
        <v>50</v>
      </c>
      <c r="E281" s="38" t="n">
        <v>212544</v>
      </c>
      <c r="F281" s="39" t="n">
        <v>1600</v>
      </c>
    </row>
    <row r="282" customFormat="false" ht="15" hidden="false" customHeight="false" outlineLevel="0" collapsed="false">
      <c r="A282" s="0" t="s">
        <v>394</v>
      </c>
      <c r="B282" s="0" t="s">
        <v>46</v>
      </c>
      <c r="C282" s="0" t="s">
        <v>395</v>
      </c>
      <c r="D282" s="0" t="s">
        <v>48</v>
      </c>
      <c r="E282" s="38" t="n">
        <v>1542490.8</v>
      </c>
      <c r="F282" s="39" t="n">
        <v>502440</v>
      </c>
    </row>
    <row r="283" customFormat="false" ht="15" hidden="false" customHeight="false" outlineLevel="0" collapsed="false">
      <c r="A283" s="0" t="s">
        <v>396</v>
      </c>
      <c r="B283" s="0" t="s">
        <v>46</v>
      </c>
      <c r="C283" s="0" t="s">
        <v>397</v>
      </c>
      <c r="D283" s="0" t="s">
        <v>48</v>
      </c>
      <c r="E283" s="38" t="n">
        <v>4626946.11</v>
      </c>
      <c r="F283" s="39" t="n">
        <v>379569</v>
      </c>
    </row>
    <row r="284" customFormat="false" ht="15" hidden="false" customHeight="false" outlineLevel="0" collapsed="false">
      <c r="A284" s="0" t="s">
        <v>396</v>
      </c>
      <c r="B284" s="0" t="s">
        <v>49</v>
      </c>
      <c r="C284" s="0" t="s">
        <v>397</v>
      </c>
      <c r="D284" s="0" t="s">
        <v>53</v>
      </c>
      <c r="E284" s="38" t="n">
        <v>3025558</v>
      </c>
      <c r="F284" s="39" t="n">
        <v>248200</v>
      </c>
    </row>
    <row r="285" customFormat="false" ht="15" hidden="false" customHeight="false" outlineLevel="0" collapsed="false">
      <c r="A285" s="0" t="s">
        <v>396</v>
      </c>
      <c r="B285" s="0" t="s">
        <v>49</v>
      </c>
      <c r="C285" s="0" t="s">
        <v>397</v>
      </c>
      <c r="D285" s="0" t="s">
        <v>50</v>
      </c>
      <c r="E285" s="38" t="n">
        <v>455906</v>
      </c>
      <c r="F285" s="39" t="n">
        <v>37400</v>
      </c>
    </row>
    <row r="286" customFormat="false" ht="15" hidden="false" customHeight="false" outlineLevel="0" collapsed="false">
      <c r="A286" s="0" t="s">
        <v>398</v>
      </c>
      <c r="B286" s="0" t="s">
        <v>49</v>
      </c>
      <c r="C286" s="0" t="s">
        <v>399</v>
      </c>
      <c r="D286" s="0" t="s">
        <v>53</v>
      </c>
      <c r="E286" s="38" t="n">
        <v>2171463</v>
      </c>
      <c r="F286" s="39" t="n">
        <v>37100</v>
      </c>
    </row>
    <row r="287" customFormat="false" ht="15" hidden="false" customHeight="false" outlineLevel="0" collapsed="false">
      <c r="A287" s="0" t="s">
        <v>398</v>
      </c>
      <c r="B287" s="0" t="s">
        <v>49</v>
      </c>
      <c r="C287" s="0" t="s">
        <v>399</v>
      </c>
      <c r="D287" s="0" t="s">
        <v>50</v>
      </c>
      <c r="E287" s="38" t="n">
        <v>2171463</v>
      </c>
      <c r="F287" s="39" t="n">
        <v>37100</v>
      </c>
    </row>
    <row r="288" customFormat="false" ht="15" hidden="false" customHeight="false" outlineLevel="0" collapsed="false">
      <c r="A288" s="0" t="s">
        <v>400</v>
      </c>
      <c r="B288" s="0" t="s">
        <v>49</v>
      </c>
      <c r="C288" s="0" t="s">
        <v>401</v>
      </c>
      <c r="D288" s="0" t="s">
        <v>53</v>
      </c>
      <c r="E288" s="38" t="n">
        <v>3460941</v>
      </c>
      <c r="F288" s="39" t="n">
        <v>81300</v>
      </c>
    </row>
    <row r="289" customFormat="false" ht="15" hidden="false" customHeight="false" outlineLevel="0" collapsed="false">
      <c r="A289" s="0" t="s">
        <v>400</v>
      </c>
      <c r="B289" s="0" t="s">
        <v>49</v>
      </c>
      <c r="C289" s="0" t="s">
        <v>401</v>
      </c>
      <c r="D289" s="0" t="s">
        <v>50</v>
      </c>
      <c r="E289" s="38" t="n">
        <v>3460941</v>
      </c>
      <c r="F289" s="39" t="n">
        <v>81300</v>
      </c>
    </row>
    <row r="290" customFormat="false" ht="15" hidden="false" customHeight="false" outlineLevel="0" collapsed="false">
      <c r="A290" s="0" t="s">
        <v>402</v>
      </c>
      <c r="B290" s="0" t="s">
        <v>67</v>
      </c>
      <c r="C290" s="0" t="s">
        <v>403</v>
      </c>
      <c r="D290" s="0" t="s">
        <v>48</v>
      </c>
      <c r="E290" s="38" t="n">
        <v>77552235</v>
      </c>
      <c r="F290" s="39" t="n">
        <v>53940000</v>
      </c>
    </row>
    <row r="291" customFormat="false" ht="15" hidden="false" customHeight="false" outlineLevel="0" collapsed="false">
      <c r="A291" s="0" t="s">
        <v>404</v>
      </c>
      <c r="B291" s="0" t="s">
        <v>46</v>
      </c>
      <c r="C291" s="0" t="s">
        <v>405</v>
      </c>
      <c r="D291" s="0" t="s">
        <v>48</v>
      </c>
      <c r="E291" s="38" t="n">
        <v>128.54</v>
      </c>
      <c r="F291" s="39" t="n">
        <v>1</v>
      </c>
    </row>
    <row r="292" customFormat="false" ht="15" hidden="false" customHeight="false" outlineLevel="0" collapsed="false">
      <c r="A292" s="0" t="s">
        <v>404</v>
      </c>
      <c r="B292" s="0" t="s">
        <v>49</v>
      </c>
      <c r="C292" s="0" t="s">
        <v>405</v>
      </c>
      <c r="D292" s="0" t="s">
        <v>50</v>
      </c>
      <c r="E292" s="38" t="n">
        <v>514160</v>
      </c>
      <c r="F292" s="39" t="n">
        <v>4000</v>
      </c>
    </row>
    <row r="293" customFormat="false" ht="15" hidden="false" customHeight="false" outlineLevel="0" collapsed="false">
      <c r="A293" s="0" t="s">
        <v>406</v>
      </c>
      <c r="B293" s="0" t="s">
        <v>49</v>
      </c>
      <c r="C293" s="0" t="s">
        <v>407</v>
      </c>
      <c r="D293" s="0" t="s">
        <v>53</v>
      </c>
      <c r="E293" s="38" t="n">
        <v>1576728</v>
      </c>
      <c r="F293" s="39" t="n">
        <v>12200</v>
      </c>
    </row>
    <row r="294" customFormat="false" ht="15" hidden="false" customHeight="false" outlineLevel="0" collapsed="false">
      <c r="A294" s="0" t="s">
        <v>408</v>
      </c>
      <c r="B294" s="0" t="s">
        <v>46</v>
      </c>
      <c r="C294" s="0" t="s">
        <v>409</v>
      </c>
      <c r="D294" s="0" t="s">
        <v>48</v>
      </c>
      <c r="E294" s="38" t="n">
        <v>1659.19</v>
      </c>
      <c r="F294" s="39" t="n">
        <v>13</v>
      </c>
    </row>
    <row r="295" customFormat="false" ht="15" hidden="false" customHeight="false" outlineLevel="0" collapsed="false">
      <c r="A295" s="0" t="s">
        <v>408</v>
      </c>
      <c r="B295" s="0" t="s">
        <v>49</v>
      </c>
      <c r="C295" s="0" t="s">
        <v>409</v>
      </c>
      <c r="D295" s="0" t="s">
        <v>53</v>
      </c>
      <c r="E295" s="38" t="n">
        <v>1340115</v>
      </c>
      <c r="F295" s="39" t="n">
        <v>10500</v>
      </c>
    </row>
    <row r="296" customFormat="false" ht="15" hidden="false" customHeight="false" outlineLevel="0" collapsed="false">
      <c r="A296" s="0" t="s">
        <v>408</v>
      </c>
      <c r="B296" s="0" t="s">
        <v>49</v>
      </c>
      <c r="C296" s="0" t="s">
        <v>409</v>
      </c>
      <c r="D296" s="0" t="s">
        <v>50</v>
      </c>
      <c r="E296" s="38" t="n">
        <v>1340115</v>
      </c>
      <c r="F296" s="39" t="n">
        <v>10500</v>
      </c>
    </row>
    <row r="297" customFormat="false" ht="15" hidden="false" customHeight="false" outlineLevel="0" collapsed="false">
      <c r="A297" s="0" t="s">
        <v>410</v>
      </c>
      <c r="B297" s="0" t="s">
        <v>46</v>
      </c>
      <c r="C297" s="0" t="s">
        <v>411</v>
      </c>
      <c r="D297" s="0" t="s">
        <v>48</v>
      </c>
      <c r="E297" s="38" t="n">
        <v>2718138.24</v>
      </c>
      <c r="F297" s="39" t="n">
        <v>75672</v>
      </c>
    </row>
    <row r="298" customFormat="false" ht="15" hidden="false" customHeight="false" outlineLevel="0" collapsed="false">
      <c r="A298" s="0" t="s">
        <v>410</v>
      </c>
      <c r="B298" s="0" t="s">
        <v>49</v>
      </c>
      <c r="C298" s="0" t="s">
        <v>411</v>
      </c>
      <c r="D298" s="0" t="s">
        <v>53</v>
      </c>
      <c r="E298" s="38" t="n">
        <v>3983528</v>
      </c>
      <c r="F298" s="39" t="n">
        <v>110900</v>
      </c>
    </row>
    <row r="299" customFormat="false" ht="15" hidden="false" customHeight="false" outlineLevel="0" collapsed="false">
      <c r="A299" s="0" t="s">
        <v>410</v>
      </c>
      <c r="B299" s="0" t="s">
        <v>49</v>
      </c>
      <c r="C299" s="0" t="s">
        <v>411</v>
      </c>
      <c r="D299" s="0" t="s">
        <v>50</v>
      </c>
      <c r="E299" s="38" t="n">
        <v>3983528</v>
      </c>
      <c r="F299" s="39" t="n">
        <v>110900</v>
      </c>
    </row>
    <row r="300" customFormat="false" ht="15" hidden="false" customHeight="false" outlineLevel="0" collapsed="false">
      <c r="A300" s="0" t="s">
        <v>412</v>
      </c>
      <c r="B300" s="0" t="s">
        <v>46</v>
      </c>
      <c r="C300" s="0" t="s">
        <v>413</v>
      </c>
      <c r="D300" s="0" t="s">
        <v>48</v>
      </c>
      <c r="E300" s="38" t="n">
        <v>239051</v>
      </c>
      <c r="F300" s="39" t="n">
        <v>1726</v>
      </c>
    </row>
    <row r="301" customFormat="false" ht="15" hidden="false" customHeight="false" outlineLevel="0" collapsed="false">
      <c r="A301" s="0" t="s">
        <v>412</v>
      </c>
      <c r="B301" s="0" t="s">
        <v>49</v>
      </c>
      <c r="C301" s="0" t="s">
        <v>413</v>
      </c>
      <c r="D301" s="0" t="s">
        <v>53</v>
      </c>
      <c r="E301" s="38" t="n">
        <v>346250</v>
      </c>
      <c r="F301" s="39" t="n">
        <v>2500</v>
      </c>
    </row>
    <row r="302" customFormat="false" ht="15" hidden="false" customHeight="false" outlineLevel="0" collapsed="false">
      <c r="A302" s="0" t="s">
        <v>412</v>
      </c>
      <c r="B302" s="0" t="s">
        <v>49</v>
      </c>
      <c r="C302" s="0" t="s">
        <v>413</v>
      </c>
      <c r="D302" s="0" t="s">
        <v>50</v>
      </c>
      <c r="E302" s="38" t="n">
        <v>346250</v>
      </c>
      <c r="F302" s="39" t="n">
        <v>2500</v>
      </c>
    </row>
    <row r="303" customFormat="false" ht="15" hidden="false" customHeight="false" outlineLevel="0" collapsed="false">
      <c r="A303" s="0" t="s">
        <v>414</v>
      </c>
      <c r="B303" s="0" t="s">
        <v>46</v>
      </c>
      <c r="C303" s="0" t="s">
        <v>415</v>
      </c>
      <c r="D303" s="0" t="s">
        <v>48</v>
      </c>
      <c r="E303" s="38" t="n">
        <v>170283.02</v>
      </c>
      <c r="F303" s="39" t="n">
        <v>2102</v>
      </c>
    </row>
    <row r="304" customFormat="false" ht="15" hidden="false" customHeight="false" outlineLevel="0" collapsed="false">
      <c r="A304" s="0" t="s">
        <v>414</v>
      </c>
      <c r="B304" s="0" t="s">
        <v>49</v>
      </c>
      <c r="C304" s="0" t="s">
        <v>415</v>
      </c>
      <c r="D304" s="0" t="s">
        <v>53</v>
      </c>
      <c r="E304" s="38" t="n">
        <v>3459127</v>
      </c>
      <c r="F304" s="39" t="n">
        <v>42700</v>
      </c>
    </row>
    <row r="305" customFormat="false" ht="15" hidden="false" customHeight="false" outlineLevel="0" collapsed="false">
      <c r="A305" s="0" t="s">
        <v>414</v>
      </c>
      <c r="B305" s="0" t="s">
        <v>49</v>
      </c>
      <c r="C305" s="0" t="s">
        <v>415</v>
      </c>
      <c r="D305" s="0" t="s">
        <v>50</v>
      </c>
      <c r="E305" s="38" t="n">
        <v>3459127</v>
      </c>
      <c r="F305" s="39" t="n">
        <v>42700</v>
      </c>
    </row>
    <row r="306" customFormat="false" ht="15" hidden="false" customHeight="false" outlineLevel="0" collapsed="false">
      <c r="A306" s="0" t="s">
        <v>416</v>
      </c>
      <c r="B306" s="0" t="s">
        <v>46</v>
      </c>
      <c r="C306" s="0" t="s">
        <v>417</v>
      </c>
      <c r="D306" s="0" t="s">
        <v>48</v>
      </c>
      <c r="E306" s="38" t="n">
        <v>3520738.8</v>
      </c>
      <c r="F306" s="39" t="n">
        <v>58098</v>
      </c>
    </row>
    <row r="307" customFormat="false" ht="15" hidden="false" customHeight="false" outlineLevel="0" collapsed="false">
      <c r="A307" s="0" t="s">
        <v>418</v>
      </c>
      <c r="B307" s="0" t="s">
        <v>49</v>
      </c>
      <c r="C307" s="0" t="s">
        <v>419</v>
      </c>
      <c r="D307" s="0" t="s">
        <v>53</v>
      </c>
      <c r="E307" s="38" t="n">
        <v>115731</v>
      </c>
      <c r="F307" s="39" t="n">
        <v>300</v>
      </c>
    </row>
    <row r="308" customFormat="false" ht="15" hidden="false" customHeight="false" outlineLevel="0" collapsed="false">
      <c r="A308" s="0" t="s">
        <v>418</v>
      </c>
      <c r="B308" s="0" t="s">
        <v>49</v>
      </c>
      <c r="C308" s="0" t="s">
        <v>419</v>
      </c>
      <c r="D308" s="0" t="s">
        <v>50</v>
      </c>
      <c r="E308" s="38" t="n">
        <v>115731</v>
      </c>
      <c r="F308" s="39" t="n">
        <v>300</v>
      </c>
    </row>
    <row r="309" customFormat="false" ht="15" hidden="false" customHeight="false" outlineLevel="0" collapsed="false">
      <c r="A309" s="0" t="s">
        <v>420</v>
      </c>
      <c r="B309" s="0" t="s">
        <v>46</v>
      </c>
      <c r="C309" s="0" t="s">
        <v>421</v>
      </c>
      <c r="D309" s="0" t="s">
        <v>48</v>
      </c>
      <c r="E309" s="38" t="n">
        <v>7937146.4</v>
      </c>
      <c r="F309" s="39" t="n">
        <v>554270</v>
      </c>
    </row>
    <row r="310" customFormat="false" ht="15" hidden="false" customHeight="false" outlineLevel="0" collapsed="false">
      <c r="A310" s="0" t="s">
        <v>422</v>
      </c>
      <c r="B310" s="0" t="s">
        <v>67</v>
      </c>
      <c r="C310" s="0" t="s">
        <v>423</v>
      </c>
      <c r="D310" s="0" t="s">
        <v>48</v>
      </c>
      <c r="E310" s="38" t="n">
        <v>56719700</v>
      </c>
      <c r="F310" s="39" t="n">
        <v>44500000</v>
      </c>
    </row>
    <row r="311" customFormat="false" ht="15" hidden="false" customHeight="false" outlineLevel="0" collapsed="false">
      <c r="A311" s="0" t="s">
        <v>424</v>
      </c>
      <c r="B311" s="0" t="s">
        <v>46</v>
      </c>
      <c r="C311" s="0" t="s">
        <v>425</v>
      </c>
      <c r="D311" s="0" t="s">
        <v>48</v>
      </c>
      <c r="E311" s="38" t="n">
        <v>768965.12</v>
      </c>
      <c r="F311" s="39" t="n">
        <v>85822</v>
      </c>
    </row>
    <row r="312" customFormat="false" ht="15" hidden="false" customHeight="false" outlineLevel="0" collapsed="false">
      <c r="A312" s="0" t="s">
        <v>426</v>
      </c>
      <c r="B312" s="0" t="s">
        <v>46</v>
      </c>
      <c r="C312" s="0" t="s">
        <v>427</v>
      </c>
      <c r="D312" s="0" t="s">
        <v>48</v>
      </c>
      <c r="E312" s="38" t="n">
        <v>3317760.08</v>
      </c>
      <c r="F312" s="39" t="n">
        <v>30427</v>
      </c>
    </row>
    <row r="313" customFormat="false" ht="15" hidden="false" customHeight="false" outlineLevel="0" collapsed="false">
      <c r="A313" s="0" t="s">
        <v>428</v>
      </c>
      <c r="B313" s="0" t="s">
        <v>46</v>
      </c>
      <c r="C313" s="0" t="s">
        <v>429</v>
      </c>
      <c r="D313" s="0" t="s">
        <v>48</v>
      </c>
      <c r="E313" s="38" t="n">
        <v>5030654.64</v>
      </c>
      <c r="F313" s="39" t="n">
        <v>82254</v>
      </c>
    </row>
    <row r="314" customFormat="false" ht="15" hidden="false" customHeight="false" outlineLevel="0" collapsed="false">
      <c r="A314" s="0" t="s">
        <v>430</v>
      </c>
      <c r="B314" s="0" t="s">
        <v>67</v>
      </c>
      <c r="C314" s="0" t="s">
        <v>431</v>
      </c>
      <c r="D314" s="0" t="s">
        <v>48</v>
      </c>
      <c r="E314" s="38" t="n">
        <v>29266500</v>
      </c>
      <c r="F314" s="39" t="n">
        <v>32700000</v>
      </c>
    </row>
    <row r="315" customFormat="false" ht="15" hidden="false" customHeight="false" outlineLevel="0" collapsed="false">
      <c r="A315" s="0" t="s">
        <v>432</v>
      </c>
      <c r="B315" s="0" t="s">
        <v>46</v>
      </c>
      <c r="C315" s="0" t="s">
        <v>433</v>
      </c>
      <c r="D315" s="0" t="s">
        <v>48</v>
      </c>
      <c r="E315" s="38" t="n">
        <v>124934.4</v>
      </c>
      <c r="F315" s="39" t="n">
        <v>3456</v>
      </c>
    </row>
    <row r="316" customFormat="false" ht="15" hidden="false" customHeight="false" outlineLevel="0" collapsed="false">
      <c r="A316" s="0" t="s">
        <v>432</v>
      </c>
      <c r="B316" s="0" t="s">
        <v>49</v>
      </c>
      <c r="C316" s="0" t="s">
        <v>433</v>
      </c>
      <c r="D316" s="0" t="s">
        <v>53</v>
      </c>
      <c r="E316" s="38" t="n">
        <v>6391320</v>
      </c>
      <c r="F316" s="39" t="n">
        <v>176800</v>
      </c>
    </row>
    <row r="317" customFormat="false" ht="15" hidden="false" customHeight="false" outlineLevel="0" collapsed="false">
      <c r="A317" s="0" t="s">
        <v>432</v>
      </c>
      <c r="B317" s="0" t="s">
        <v>49</v>
      </c>
      <c r="C317" s="0" t="s">
        <v>433</v>
      </c>
      <c r="D317" s="0" t="s">
        <v>50</v>
      </c>
      <c r="E317" s="38" t="n">
        <v>6391320</v>
      </c>
      <c r="F317" s="39" t="n">
        <v>176800</v>
      </c>
    </row>
    <row r="318" customFormat="false" ht="15" hidden="false" customHeight="false" outlineLevel="0" collapsed="false">
      <c r="A318" s="0" t="s">
        <v>434</v>
      </c>
      <c r="B318" s="0" t="s">
        <v>67</v>
      </c>
      <c r="C318" s="0" t="s">
        <v>435</v>
      </c>
      <c r="D318" s="0" t="s">
        <v>48</v>
      </c>
      <c r="E318" s="38" t="n">
        <v>7917750</v>
      </c>
      <c r="F318" s="39" t="n">
        <v>8500000</v>
      </c>
    </row>
    <row r="319" customFormat="false" ht="15" hidden="false" customHeight="false" outlineLevel="0" collapsed="false">
      <c r="A319" s="0" t="s">
        <v>434</v>
      </c>
      <c r="B319" s="0" t="s">
        <v>67</v>
      </c>
      <c r="C319" s="0" t="s">
        <v>436</v>
      </c>
      <c r="D319" s="0" t="s">
        <v>48</v>
      </c>
      <c r="E319" s="38" t="n">
        <v>10954440</v>
      </c>
      <c r="F319" s="39" t="n">
        <v>12600000</v>
      </c>
    </row>
    <row r="320" customFormat="false" ht="15" hidden="false" customHeight="false" outlineLevel="0" collapsed="false">
      <c r="A320" s="0" t="s">
        <v>437</v>
      </c>
      <c r="B320" s="0" t="s">
        <v>46</v>
      </c>
      <c r="C320" s="0" t="s">
        <v>438</v>
      </c>
      <c r="D320" s="0" t="s">
        <v>48</v>
      </c>
      <c r="E320" s="38" t="n">
        <v>1920365.4</v>
      </c>
      <c r="F320" s="39" t="n">
        <v>135237</v>
      </c>
    </row>
    <row r="321" customFormat="false" ht="15" hidden="false" customHeight="false" outlineLevel="0" collapsed="false">
      <c r="A321" s="0" t="s">
        <v>439</v>
      </c>
      <c r="B321" s="0" t="s">
        <v>49</v>
      </c>
      <c r="C321" s="0" t="s">
        <v>440</v>
      </c>
      <c r="D321" s="0" t="s">
        <v>53</v>
      </c>
      <c r="E321" s="38" t="n">
        <v>1488740</v>
      </c>
      <c r="F321" s="39" t="n">
        <v>5500</v>
      </c>
    </row>
    <row r="322" customFormat="false" ht="15" hidden="false" customHeight="false" outlineLevel="0" collapsed="false">
      <c r="A322" s="0" t="s">
        <v>439</v>
      </c>
      <c r="B322" s="0" t="s">
        <v>49</v>
      </c>
      <c r="C322" s="0" t="s">
        <v>440</v>
      </c>
      <c r="D322" s="0" t="s">
        <v>50</v>
      </c>
      <c r="E322" s="38" t="n">
        <v>1488740</v>
      </c>
      <c r="F322" s="39" t="n">
        <v>5500</v>
      </c>
    </row>
    <row r="323" customFormat="false" ht="15" hidden="false" customHeight="false" outlineLevel="0" collapsed="false">
      <c r="A323" s="0" t="s">
        <v>441</v>
      </c>
      <c r="B323" s="0" t="s">
        <v>46</v>
      </c>
      <c r="C323" s="0" t="s">
        <v>442</v>
      </c>
      <c r="D323" s="0" t="s">
        <v>48</v>
      </c>
      <c r="E323" s="38" t="n">
        <v>2022026.3</v>
      </c>
      <c r="F323" s="39" t="n">
        <v>132505</v>
      </c>
    </row>
    <row r="324" customFormat="false" ht="15" hidden="false" customHeight="false" outlineLevel="0" collapsed="false">
      <c r="A324" s="0" t="s">
        <v>443</v>
      </c>
      <c r="B324" s="0" t="s">
        <v>46</v>
      </c>
      <c r="C324" s="0" t="s">
        <v>444</v>
      </c>
      <c r="D324" s="0" t="s">
        <v>48</v>
      </c>
      <c r="E324" s="38" t="n">
        <v>20763653.12</v>
      </c>
      <c r="F324" s="39" t="n">
        <v>144032</v>
      </c>
    </row>
    <row r="325" customFormat="false" ht="15" hidden="false" customHeight="false" outlineLevel="0" collapsed="false">
      <c r="A325" s="0" t="s">
        <v>445</v>
      </c>
      <c r="B325" s="0" t="s">
        <v>46</v>
      </c>
      <c r="C325" s="0" t="s">
        <v>446</v>
      </c>
      <c r="D325" s="0" t="s">
        <v>48</v>
      </c>
      <c r="E325" s="38" t="n">
        <v>1442875.05</v>
      </c>
      <c r="F325" s="39" t="n">
        <v>25965</v>
      </c>
    </row>
    <row r="326" customFormat="false" ht="15" hidden="false" customHeight="false" outlineLevel="0" collapsed="false">
      <c r="A326" s="0" t="s">
        <v>447</v>
      </c>
      <c r="B326" s="0" t="s">
        <v>49</v>
      </c>
      <c r="C326" s="0" t="s">
        <v>448</v>
      </c>
      <c r="D326" s="0" t="s">
        <v>53</v>
      </c>
      <c r="E326" s="38" t="n">
        <v>546270</v>
      </c>
      <c r="F326" s="39" t="n">
        <v>3000</v>
      </c>
    </row>
    <row r="327" customFormat="false" ht="15" hidden="false" customHeight="false" outlineLevel="0" collapsed="false">
      <c r="A327" s="0" t="s">
        <v>447</v>
      </c>
      <c r="B327" s="0" t="s">
        <v>49</v>
      </c>
      <c r="C327" s="0" t="s">
        <v>448</v>
      </c>
      <c r="D327" s="0" t="s">
        <v>50</v>
      </c>
      <c r="E327" s="38" t="n">
        <v>382389</v>
      </c>
      <c r="F327" s="39" t="n">
        <v>2100</v>
      </c>
    </row>
    <row r="328" customFormat="false" ht="15" hidden="false" customHeight="false" outlineLevel="0" collapsed="false">
      <c r="A328" s="0" t="s">
        <v>449</v>
      </c>
      <c r="B328" s="0" t="s">
        <v>49</v>
      </c>
      <c r="C328" s="0" t="s">
        <v>450</v>
      </c>
      <c r="D328" s="0" t="s">
        <v>53</v>
      </c>
      <c r="E328" s="38" t="n">
        <v>1420855</v>
      </c>
      <c r="F328" s="39" t="n">
        <v>4100</v>
      </c>
    </row>
    <row r="329" customFormat="false" ht="15" hidden="false" customHeight="false" outlineLevel="0" collapsed="false">
      <c r="A329" s="0" t="s">
        <v>449</v>
      </c>
      <c r="B329" s="0" t="s">
        <v>49</v>
      </c>
      <c r="C329" s="0" t="s">
        <v>450</v>
      </c>
      <c r="D329" s="0" t="s">
        <v>50</v>
      </c>
      <c r="E329" s="38" t="n">
        <v>1420855</v>
      </c>
      <c r="F329" s="39" t="n">
        <v>4100</v>
      </c>
    </row>
    <row r="330" customFormat="false" ht="15" hidden="false" customHeight="false" outlineLevel="0" collapsed="false">
      <c r="A330" s="0" t="s">
        <v>451</v>
      </c>
      <c r="B330" s="0" t="s">
        <v>49</v>
      </c>
      <c r="C330" s="0" t="s">
        <v>452</v>
      </c>
      <c r="D330" s="0" t="s">
        <v>53</v>
      </c>
      <c r="E330" s="38" t="n">
        <v>2893998</v>
      </c>
      <c r="F330" s="39" t="n">
        <v>13800</v>
      </c>
    </row>
    <row r="331" customFormat="false" ht="15" hidden="false" customHeight="false" outlineLevel="0" collapsed="false">
      <c r="A331" s="0" t="s">
        <v>451</v>
      </c>
      <c r="B331" s="0" t="s">
        <v>49</v>
      </c>
      <c r="C331" s="0" t="s">
        <v>452</v>
      </c>
      <c r="D331" s="0" t="s">
        <v>50</v>
      </c>
      <c r="E331" s="38" t="n">
        <v>2893998</v>
      </c>
      <c r="F331" s="39" t="n">
        <v>13800</v>
      </c>
    </row>
    <row r="332" customFormat="false" ht="15" hidden="false" customHeight="false" outlineLevel="0" collapsed="false">
      <c r="A332" s="0" t="s">
        <v>453</v>
      </c>
      <c r="B332" s="0" t="s">
        <v>49</v>
      </c>
      <c r="C332" s="0" t="s">
        <v>454</v>
      </c>
      <c r="D332" s="0" t="s">
        <v>53</v>
      </c>
      <c r="E332" s="38" t="n">
        <v>1931778</v>
      </c>
      <c r="F332" s="39" t="n">
        <v>64200</v>
      </c>
    </row>
    <row r="333" customFormat="false" ht="15" hidden="false" customHeight="false" outlineLevel="0" collapsed="false">
      <c r="A333" s="0" t="s">
        <v>455</v>
      </c>
      <c r="B333" s="0" t="s">
        <v>49</v>
      </c>
      <c r="C333" s="0" t="s">
        <v>456</v>
      </c>
      <c r="D333" s="0" t="s">
        <v>50</v>
      </c>
      <c r="E333" s="38" t="n">
        <v>28307</v>
      </c>
      <c r="F333" s="39" t="n">
        <v>100</v>
      </c>
    </row>
    <row r="334" customFormat="false" ht="15" hidden="false" customHeight="false" outlineLevel="0" collapsed="false">
      <c r="A334" s="0" t="s">
        <v>457</v>
      </c>
      <c r="B334" s="0" t="s">
        <v>46</v>
      </c>
      <c r="C334" s="0" t="s">
        <v>458</v>
      </c>
      <c r="D334" s="0" t="s">
        <v>48</v>
      </c>
      <c r="E334" s="38" t="n">
        <v>190961.07</v>
      </c>
      <c r="F334" s="39" t="n">
        <v>71521</v>
      </c>
    </row>
    <row r="335" customFormat="false" ht="15" hidden="false" customHeight="false" outlineLevel="0" collapsed="false">
      <c r="A335" s="0" t="s">
        <v>459</v>
      </c>
      <c r="B335" s="0" t="s">
        <v>49</v>
      </c>
      <c r="C335" s="0" t="s">
        <v>460</v>
      </c>
      <c r="D335" s="0" t="s">
        <v>53</v>
      </c>
      <c r="E335" s="38" t="n">
        <v>1204924</v>
      </c>
      <c r="F335" s="39" t="n">
        <v>4600</v>
      </c>
    </row>
    <row r="336" customFormat="false" ht="15" hidden="false" customHeight="false" outlineLevel="0" collapsed="false">
      <c r="A336" s="0" t="s">
        <v>459</v>
      </c>
      <c r="B336" s="0" t="s">
        <v>49</v>
      </c>
      <c r="C336" s="0" t="s">
        <v>460</v>
      </c>
      <c r="D336" s="0" t="s">
        <v>50</v>
      </c>
      <c r="E336" s="38" t="n">
        <v>1204924</v>
      </c>
      <c r="F336" s="39" t="n">
        <v>4600</v>
      </c>
    </row>
    <row r="337" customFormat="false" ht="15" hidden="false" customHeight="false" outlineLevel="0" collapsed="false">
      <c r="A337" s="0" t="s">
        <v>461</v>
      </c>
      <c r="B337" s="0" t="s">
        <v>67</v>
      </c>
      <c r="C337" s="0" t="s">
        <v>462</v>
      </c>
      <c r="D337" s="0" t="s">
        <v>48</v>
      </c>
      <c r="E337" s="38" t="n">
        <v>17660790</v>
      </c>
      <c r="F337" s="39" t="n">
        <v>19788000</v>
      </c>
    </row>
    <row r="338" customFormat="false" ht="15" hidden="false" customHeight="false" outlineLevel="0" collapsed="false">
      <c r="A338" s="0" t="s">
        <v>463</v>
      </c>
      <c r="B338" s="0" t="s">
        <v>46</v>
      </c>
      <c r="C338" s="0" t="s">
        <v>464</v>
      </c>
      <c r="D338" s="0" t="s">
        <v>48</v>
      </c>
      <c r="E338" s="38" t="n">
        <v>4432971.5</v>
      </c>
      <c r="F338" s="39" t="n">
        <v>149510</v>
      </c>
    </row>
    <row r="339" customFormat="false" ht="15" hidden="false" customHeight="false" outlineLevel="0" collapsed="false">
      <c r="A339" s="0" t="s">
        <v>465</v>
      </c>
      <c r="B339" s="0" t="s">
        <v>67</v>
      </c>
      <c r="C339" s="0" t="s">
        <v>466</v>
      </c>
      <c r="D339" s="0" t="s">
        <v>48</v>
      </c>
      <c r="E339" s="38" t="n">
        <v>35541937.2</v>
      </c>
      <c r="F339" s="39" t="n">
        <v>32494000</v>
      </c>
    </row>
    <row r="340" customFormat="false" ht="15" hidden="false" customHeight="false" outlineLevel="0" collapsed="false">
      <c r="A340" s="0" t="s">
        <v>467</v>
      </c>
      <c r="B340" s="0" t="s">
        <v>67</v>
      </c>
      <c r="C340" s="0" t="s">
        <v>468</v>
      </c>
      <c r="D340" s="0" t="s">
        <v>48</v>
      </c>
      <c r="E340" s="38" t="n">
        <v>34399500</v>
      </c>
      <c r="F340" s="39" t="n">
        <v>28500000</v>
      </c>
    </row>
    <row r="341" customFormat="false" ht="15" hidden="false" customHeight="false" outlineLevel="0" collapsed="false">
      <c r="A341" s="0" t="s">
        <v>469</v>
      </c>
      <c r="B341" s="0" t="s">
        <v>46</v>
      </c>
      <c r="C341" s="0" t="s">
        <v>470</v>
      </c>
      <c r="D341" s="0" t="s">
        <v>48</v>
      </c>
      <c r="E341" s="38" t="n">
        <v>525882</v>
      </c>
      <c r="F341" s="39" t="n">
        <v>13839</v>
      </c>
    </row>
    <row r="342" customFormat="false" ht="15" hidden="false" customHeight="false" outlineLevel="0" collapsed="false">
      <c r="A342" s="0" t="s">
        <v>471</v>
      </c>
      <c r="B342" s="0" t="s">
        <v>67</v>
      </c>
      <c r="C342" s="0" t="s">
        <v>472</v>
      </c>
      <c r="D342" s="0" t="s">
        <v>48</v>
      </c>
      <c r="E342" s="38" t="n">
        <v>5957187.5</v>
      </c>
      <c r="F342" s="39" t="n">
        <v>5500000</v>
      </c>
    </row>
    <row r="343" customFormat="false" ht="15" hidden="false" customHeight="false" outlineLevel="0" collapsed="false">
      <c r="A343" s="0" t="s">
        <v>473</v>
      </c>
      <c r="B343" s="0" t="s">
        <v>67</v>
      </c>
      <c r="C343" s="0" t="s">
        <v>474</v>
      </c>
      <c r="D343" s="0" t="s">
        <v>48</v>
      </c>
      <c r="E343" s="38" t="n">
        <v>21793000</v>
      </c>
      <c r="F343" s="39" t="n">
        <v>19000000</v>
      </c>
    </row>
    <row r="344" customFormat="false" ht="15" hidden="false" customHeight="false" outlineLevel="0" collapsed="false">
      <c r="A344" s="0" t="s">
        <v>475</v>
      </c>
      <c r="B344" s="0" t="s">
        <v>46</v>
      </c>
      <c r="C344" s="0" t="s">
        <v>476</v>
      </c>
      <c r="D344" s="0" t="s">
        <v>48</v>
      </c>
      <c r="E344" s="38" t="n">
        <v>8947515</v>
      </c>
      <c r="F344" s="39" t="n">
        <v>178060</v>
      </c>
    </row>
    <row r="345" customFormat="false" ht="15" hidden="false" customHeight="false" outlineLevel="0" collapsed="false">
      <c r="A345" s="0" t="s">
        <v>475</v>
      </c>
      <c r="B345" s="0" t="s">
        <v>49</v>
      </c>
      <c r="C345" s="0" t="s">
        <v>476</v>
      </c>
      <c r="D345" s="0" t="s">
        <v>53</v>
      </c>
      <c r="E345" s="38" t="n">
        <v>3683325</v>
      </c>
      <c r="F345" s="39" t="n">
        <v>73300</v>
      </c>
    </row>
    <row r="346" customFormat="false" ht="15" hidden="false" customHeight="false" outlineLevel="0" collapsed="false">
      <c r="A346" s="0" t="s">
        <v>475</v>
      </c>
      <c r="B346" s="0" t="s">
        <v>49</v>
      </c>
      <c r="C346" s="0" t="s">
        <v>476</v>
      </c>
      <c r="D346" s="0" t="s">
        <v>50</v>
      </c>
      <c r="E346" s="38" t="n">
        <v>3683325</v>
      </c>
      <c r="F346" s="39" t="n">
        <v>73300</v>
      </c>
    </row>
    <row r="347" customFormat="false" ht="15" hidden="false" customHeight="false" outlineLevel="0" collapsed="false">
      <c r="A347" s="0" t="s">
        <v>477</v>
      </c>
      <c r="B347" s="0" t="s">
        <v>49</v>
      </c>
      <c r="C347" s="0" t="s">
        <v>478</v>
      </c>
      <c r="D347" s="0" t="s">
        <v>53</v>
      </c>
      <c r="E347" s="38" t="n">
        <v>163550</v>
      </c>
      <c r="F347" s="39" t="n">
        <v>1000</v>
      </c>
    </row>
    <row r="348" customFormat="false" ht="15" hidden="false" customHeight="false" outlineLevel="0" collapsed="false">
      <c r="A348" s="0" t="s">
        <v>477</v>
      </c>
      <c r="B348" s="0" t="s">
        <v>49</v>
      </c>
      <c r="C348" s="0" t="s">
        <v>478</v>
      </c>
      <c r="D348" s="0" t="s">
        <v>50</v>
      </c>
      <c r="E348" s="38" t="n">
        <v>163550</v>
      </c>
      <c r="F348" s="39" t="n">
        <v>1000</v>
      </c>
    </row>
    <row r="349" customFormat="false" ht="15" hidden="false" customHeight="false" outlineLevel="0" collapsed="false">
      <c r="A349" s="0" t="s">
        <v>479</v>
      </c>
      <c r="B349" s="0" t="s">
        <v>49</v>
      </c>
      <c r="C349" s="0" t="s">
        <v>480</v>
      </c>
      <c r="D349" s="0" t="s">
        <v>53</v>
      </c>
      <c r="E349" s="38" t="n">
        <v>4812731</v>
      </c>
      <c r="F349" s="39" t="n">
        <v>7700</v>
      </c>
    </row>
    <row r="350" customFormat="false" ht="15" hidden="false" customHeight="false" outlineLevel="0" collapsed="false">
      <c r="A350" s="0" t="s">
        <v>479</v>
      </c>
      <c r="B350" s="0" t="s">
        <v>49</v>
      </c>
      <c r="C350" s="0" t="s">
        <v>480</v>
      </c>
      <c r="D350" s="0" t="s">
        <v>50</v>
      </c>
      <c r="E350" s="38" t="n">
        <v>4812731</v>
      </c>
      <c r="F350" s="39" t="n">
        <v>7700</v>
      </c>
    </row>
    <row r="351" customFormat="false" ht="15" hidden="false" customHeight="false" outlineLevel="0" collapsed="false">
      <c r="A351" s="0" t="s">
        <v>481</v>
      </c>
      <c r="B351" s="0" t="s">
        <v>49</v>
      </c>
      <c r="C351" s="0" t="s">
        <v>482</v>
      </c>
      <c r="D351" s="0" t="s">
        <v>53</v>
      </c>
      <c r="E351" s="38" t="n">
        <v>3137448</v>
      </c>
      <c r="F351" s="39" t="n">
        <v>9300</v>
      </c>
    </row>
    <row r="352" customFormat="false" ht="15" hidden="false" customHeight="false" outlineLevel="0" collapsed="false">
      <c r="A352" s="0" t="s">
        <v>481</v>
      </c>
      <c r="B352" s="0" t="s">
        <v>49</v>
      </c>
      <c r="C352" s="0" t="s">
        <v>482</v>
      </c>
      <c r="D352" s="0" t="s">
        <v>50</v>
      </c>
      <c r="E352" s="38" t="n">
        <v>3137448</v>
      </c>
      <c r="F352" s="39" t="n">
        <v>9300</v>
      </c>
    </row>
    <row r="353" customFormat="false" ht="15" hidden="false" customHeight="false" outlineLevel="0" collapsed="false">
      <c r="A353" s="0" t="s">
        <v>483</v>
      </c>
      <c r="B353" s="0" t="s">
        <v>46</v>
      </c>
      <c r="C353" s="0" t="s">
        <v>484</v>
      </c>
      <c r="D353" s="0" t="s">
        <v>48</v>
      </c>
      <c r="E353" s="38" t="n">
        <v>88869935.2</v>
      </c>
      <c r="F353" s="39" t="n">
        <v>217010</v>
      </c>
    </row>
    <row r="354" customFormat="false" ht="15" hidden="false" customHeight="false" outlineLevel="0" collapsed="false">
      <c r="A354" s="0" t="s">
        <v>483</v>
      </c>
      <c r="B354" s="0" t="s">
        <v>49</v>
      </c>
      <c r="C354" s="0" t="s">
        <v>484</v>
      </c>
      <c r="D354" s="0" t="s">
        <v>50</v>
      </c>
      <c r="E354" s="38" t="n">
        <v>13596064</v>
      </c>
      <c r="F354" s="39" t="n">
        <v>33200</v>
      </c>
    </row>
    <row r="355" customFormat="false" ht="15" hidden="false" customHeight="false" outlineLevel="0" collapsed="false">
      <c r="A355" s="0" t="s">
        <v>485</v>
      </c>
      <c r="B355" s="0" t="s">
        <v>67</v>
      </c>
      <c r="C355" s="0" t="s">
        <v>486</v>
      </c>
      <c r="D355" s="0" t="s">
        <v>48</v>
      </c>
      <c r="E355" s="38" t="n">
        <v>23638550</v>
      </c>
      <c r="F355" s="39" t="n">
        <v>20500000</v>
      </c>
    </row>
    <row r="356" customFormat="false" ht="15" hidden="false" customHeight="false" outlineLevel="0" collapsed="false">
      <c r="A356" s="0" t="s">
        <v>487</v>
      </c>
      <c r="B356" s="0" t="s">
        <v>67</v>
      </c>
      <c r="C356" s="0" t="s">
        <v>488</v>
      </c>
      <c r="D356" s="0" t="s">
        <v>48</v>
      </c>
      <c r="E356" s="38" t="n">
        <v>13062000</v>
      </c>
      <c r="F356" s="39" t="n">
        <v>12000000</v>
      </c>
    </row>
    <row r="357" customFormat="false" ht="15" hidden="false" customHeight="false" outlineLevel="0" collapsed="false">
      <c r="A357" s="0" t="s">
        <v>489</v>
      </c>
      <c r="B357" s="0" t="s">
        <v>49</v>
      </c>
      <c r="C357" s="0" t="s">
        <v>490</v>
      </c>
      <c r="D357" s="0" t="s">
        <v>53</v>
      </c>
      <c r="E357" s="38" t="n">
        <v>93731570</v>
      </c>
      <c r="F357" s="39" t="n">
        <v>467000</v>
      </c>
    </row>
    <row r="358" customFormat="false" ht="15" hidden="false" customHeight="false" outlineLevel="0" collapsed="false">
      <c r="A358" s="0" t="s">
        <v>489</v>
      </c>
      <c r="B358" s="0" t="s">
        <v>49</v>
      </c>
      <c r="C358" s="0" t="s">
        <v>490</v>
      </c>
      <c r="D358" s="0" t="s">
        <v>50</v>
      </c>
      <c r="E358" s="38" t="n">
        <v>46865785</v>
      </c>
      <c r="F358" s="39" t="n">
        <v>233500</v>
      </c>
    </row>
    <row r="359" customFormat="false" ht="15" hidden="false" customHeight="false" outlineLevel="0" collapsed="false">
      <c r="A359" s="0" t="s">
        <v>491</v>
      </c>
      <c r="B359" s="0" t="s">
        <v>46</v>
      </c>
      <c r="C359" s="0" t="s">
        <v>492</v>
      </c>
      <c r="D359" s="0" t="s">
        <v>48</v>
      </c>
      <c r="E359" s="38" t="n">
        <v>1552611.45</v>
      </c>
      <c r="F359" s="39" t="n">
        <v>141791</v>
      </c>
    </row>
    <row r="360" customFormat="false" ht="15" hidden="false" customHeight="false" outlineLevel="0" collapsed="false">
      <c r="A360" s="0" t="s">
        <v>493</v>
      </c>
      <c r="B360" s="0" t="s">
        <v>67</v>
      </c>
      <c r="C360" s="0" t="s">
        <v>494</v>
      </c>
      <c r="D360" s="0" t="s">
        <v>48</v>
      </c>
      <c r="E360" s="38" t="n">
        <v>18174156</v>
      </c>
      <c r="F360" s="39" t="n">
        <v>19635000</v>
      </c>
    </row>
    <row r="361" customFormat="false" ht="15" hidden="false" customHeight="false" outlineLevel="0" collapsed="false">
      <c r="A361" s="0" t="s">
        <v>495</v>
      </c>
      <c r="B361" s="0" t="s">
        <v>46</v>
      </c>
      <c r="C361" s="0" t="s">
        <v>496</v>
      </c>
      <c r="D361" s="0" t="s">
        <v>48</v>
      </c>
      <c r="E361" s="38" t="n">
        <v>1858031.46</v>
      </c>
      <c r="F361" s="39" t="n">
        <v>64314</v>
      </c>
    </row>
    <row r="362" customFormat="false" ht="15" hidden="false" customHeight="false" outlineLevel="0" collapsed="false">
      <c r="A362" s="0" t="s">
        <v>495</v>
      </c>
      <c r="B362" s="0" t="s">
        <v>49</v>
      </c>
      <c r="C362" s="0" t="s">
        <v>496</v>
      </c>
      <c r="D362" s="0" t="s">
        <v>53</v>
      </c>
      <c r="E362" s="38" t="n">
        <v>2470095</v>
      </c>
      <c r="F362" s="39" t="n">
        <v>85500</v>
      </c>
    </row>
    <row r="363" customFormat="false" ht="15" hidden="false" customHeight="false" outlineLevel="0" collapsed="false">
      <c r="A363" s="0" t="s">
        <v>495</v>
      </c>
      <c r="B363" s="0" t="s">
        <v>49</v>
      </c>
      <c r="C363" s="0" t="s">
        <v>496</v>
      </c>
      <c r="D363" s="0" t="s">
        <v>50</v>
      </c>
      <c r="E363" s="38" t="n">
        <v>2470095</v>
      </c>
      <c r="F363" s="39" t="n">
        <v>85500</v>
      </c>
    </row>
    <row r="364" customFormat="false" ht="15" hidden="false" customHeight="false" outlineLevel="0" collapsed="false">
      <c r="A364" s="0" t="s">
        <v>497</v>
      </c>
      <c r="B364" s="0" t="s">
        <v>49</v>
      </c>
      <c r="C364" s="0" t="s">
        <v>498</v>
      </c>
      <c r="D364" s="0" t="s">
        <v>53</v>
      </c>
      <c r="E364" s="38" t="n">
        <v>3840130</v>
      </c>
      <c r="F364" s="39" t="n">
        <v>24500</v>
      </c>
    </row>
    <row r="365" customFormat="false" ht="15" hidden="false" customHeight="false" outlineLevel="0" collapsed="false">
      <c r="A365" s="0" t="s">
        <v>497</v>
      </c>
      <c r="B365" s="0" t="s">
        <v>49</v>
      </c>
      <c r="C365" s="0" t="s">
        <v>498</v>
      </c>
      <c r="D365" s="0" t="s">
        <v>50</v>
      </c>
      <c r="E365" s="38" t="n">
        <v>3840130</v>
      </c>
      <c r="F365" s="39" t="n">
        <v>24500</v>
      </c>
    </row>
    <row r="366" customFormat="false" ht="15" hidden="false" customHeight="false" outlineLevel="0" collapsed="false">
      <c r="A366" s="0" t="s">
        <v>499</v>
      </c>
      <c r="B366" s="0" t="s">
        <v>49</v>
      </c>
      <c r="C366" s="0" t="s">
        <v>500</v>
      </c>
      <c r="D366" s="0" t="s">
        <v>53</v>
      </c>
      <c r="E366" s="38" t="n">
        <v>3504060</v>
      </c>
      <c r="F366" s="39" t="n">
        <v>20600</v>
      </c>
    </row>
    <row r="367" customFormat="false" ht="15" hidden="false" customHeight="false" outlineLevel="0" collapsed="false">
      <c r="A367" s="0" t="s">
        <v>499</v>
      </c>
      <c r="B367" s="0" t="s">
        <v>49</v>
      </c>
      <c r="C367" s="0" t="s">
        <v>500</v>
      </c>
      <c r="D367" s="0" t="s">
        <v>50</v>
      </c>
      <c r="E367" s="38" t="n">
        <v>3504060</v>
      </c>
      <c r="F367" s="39" t="n">
        <v>20600</v>
      </c>
    </row>
    <row r="368" customFormat="false" ht="15" hidden="false" customHeight="false" outlineLevel="0" collapsed="false">
      <c r="A368" s="0" t="s">
        <v>501</v>
      </c>
      <c r="B368" s="0" t="s">
        <v>46</v>
      </c>
      <c r="C368" s="0" t="s">
        <v>502</v>
      </c>
      <c r="D368" s="0" t="s">
        <v>48</v>
      </c>
      <c r="E368" s="38" t="n">
        <v>12505700.5</v>
      </c>
      <c r="F368" s="39" t="n">
        <v>580850</v>
      </c>
    </row>
    <row r="369" customFormat="false" ht="15" hidden="false" customHeight="false" outlineLevel="0" collapsed="false">
      <c r="A369" s="0" t="s">
        <v>503</v>
      </c>
      <c r="B369" s="0" t="s">
        <v>46</v>
      </c>
      <c r="C369" s="0" t="s">
        <v>504</v>
      </c>
      <c r="D369" s="0" t="s">
        <v>48</v>
      </c>
      <c r="E369" s="38" t="n">
        <v>12646502.64</v>
      </c>
      <c r="F369" s="39" t="n">
        <v>161143</v>
      </c>
    </row>
    <row r="370" customFormat="false" ht="15" hidden="false" customHeight="false" outlineLevel="0" collapsed="false">
      <c r="A370" s="0" t="s">
        <v>505</v>
      </c>
      <c r="B370" s="0" t="s">
        <v>46</v>
      </c>
      <c r="C370" s="0" t="s">
        <v>506</v>
      </c>
      <c r="D370" s="0" t="s">
        <v>48</v>
      </c>
      <c r="E370" s="38" t="n">
        <v>92426.7</v>
      </c>
      <c r="F370" s="39" t="n">
        <v>159</v>
      </c>
    </row>
    <row r="371" customFormat="false" ht="15" hidden="false" customHeight="false" outlineLevel="0" collapsed="false">
      <c r="A371" s="0" t="s">
        <v>505</v>
      </c>
      <c r="B371" s="0" t="s">
        <v>49</v>
      </c>
      <c r="C371" s="0" t="s">
        <v>506</v>
      </c>
      <c r="D371" s="0" t="s">
        <v>53</v>
      </c>
      <c r="E371" s="38" t="n">
        <v>3139020</v>
      </c>
      <c r="F371" s="39" t="n">
        <v>5400</v>
      </c>
    </row>
    <row r="372" customFormat="false" ht="15" hidden="false" customHeight="false" outlineLevel="0" collapsed="false">
      <c r="A372" s="0" t="s">
        <v>505</v>
      </c>
      <c r="B372" s="0" t="s">
        <v>49</v>
      </c>
      <c r="C372" s="0" t="s">
        <v>506</v>
      </c>
      <c r="D372" s="0" t="s">
        <v>50</v>
      </c>
      <c r="E372" s="38" t="n">
        <v>3139020</v>
      </c>
      <c r="F372" s="39" t="n">
        <v>5400</v>
      </c>
    </row>
    <row r="373" customFormat="false" ht="15" hidden="false" customHeight="false" outlineLevel="0" collapsed="false">
      <c r="A373" s="0" t="s">
        <v>507</v>
      </c>
      <c r="B373" s="0" t="s">
        <v>49</v>
      </c>
      <c r="C373" s="0" t="s">
        <v>508</v>
      </c>
      <c r="D373" s="0" t="s">
        <v>53</v>
      </c>
      <c r="E373" s="38" t="n">
        <v>3368018</v>
      </c>
      <c r="F373" s="39" t="n">
        <v>4300</v>
      </c>
    </row>
    <row r="374" customFormat="false" ht="15" hidden="false" customHeight="false" outlineLevel="0" collapsed="false">
      <c r="A374" s="0" t="s">
        <v>507</v>
      </c>
      <c r="B374" s="0" t="s">
        <v>49</v>
      </c>
      <c r="C374" s="0" t="s">
        <v>508</v>
      </c>
      <c r="D374" s="0" t="s">
        <v>50</v>
      </c>
      <c r="E374" s="38" t="n">
        <v>3368018</v>
      </c>
      <c r="F374" s="39" t="n">
        <v>4300</v>
      </c>
    </row>
    <row r="375" customFormat="false" ht="15" hidden="false" customHeight="false" outlineLevel="0" collapsed="false">
      <c r="A375" s="0" t="s">
        <v>509</v>
      </c>
      <c r="B375" s="0" t="s">
        <v>67</v>
      </c>
      <c r="C375" s="0" t="s">
        <v>510</v>
      </c>
      <c r="D375" s="0" t="s">
        <v>48</v>
      </c>
      <c r="E375" s="38" t="n">
        <v>45586800</v>
      </c>
      <c r="F375" s="39" t="n">
        <v>40500000</v>
      </c>
    </row>
    <row r="376" customFormat="false" ht="15" hidden="false" customHeight="false" outlineLevel="0" collapsed="false">
      <c r="A376" s="0" t="s">
        <v>511</v>
      </c>
      <c r="B376" s="0" t="s">
        <v>46</v>
      </c>
      <c r="C376" s="0" t="s">
        <v>512</v>
      </c>
      <c r="D376" s="0" t="s">
        <v>48</v>
      </c>
      <c r="E376" s="38" t="n">
        <v>324097.06</v>
      </c>
      <c r="F376" s="39" t="n">
        <v>6586</v>
      </c>
    </row>
    <row r="377" customFormat="false" ht="15" hidden="false" customHeight="false" outlineLevel="0" collapsed="false">
      <c r="A377" s="0" t="s">
        <v>511</v>
      </c>
      <c r="B377" s="0" t="s">
        <v>49</v>
      </c>
      <c r="C377" s="0" t="s">
        <v>512</v>
      </c>
      <c r="D377" s="0" t="s">
        <v>53</v>
      </c>
      <c r="E377" s="38" t="n">
        <v>398601</v>
      </c>
      <c r="F377" s="39" t="n">
        <v>8100</v>
      </c>
    </row>
    <row r="378" customFormat="false" ht="15" hidden="false" customHeight="false" outlineLevel="0" collapsed="false">
      <c r="A378" s="0" t="s">
        <v>511</v>
      </c>
      <c r="B378" s="0" t="s">
        <v>49</v>
      </c>
      <c r="C378" s="0" t="s">
        <v>512</v>
      </c>
      <c r="D378" s="0" t="s">
        <v>50</v>
      </c>
      <c r="E378" s="38" t="n">
        <v>398601</v>
      </c>
      <c r="F378" s="39" t="n">
        <v>8100</v>
      </c>
    </row>
    <row r="379" customFormat="false" ht="15" hidden="false" customHeight="false" outlineLevel="0" collapsed="false">
      <c r="A379" s="0" t="s">
        <v>513</v>
      </c>
      <c r="B379" s="0" t="s">
        <v>49</v>
      </c>
      <c r="C379" s="0" t="s">
        <v>514</v>
      </c>
      <c r="D379" s="0" t="s">
        <v>53</v>
      </c>
      <c r="E379" s="38" t="n">
        <v>521640</v>
      </c>
      <c r="F379" s="39" t="n">
        <v>3500</v>
      </c>
    </row>
    <row r="380" customFormat="false" ht="15" hidden="false" customHeight="false" outlineLevel="0" collapsed="false">
      <c r="A380" s="0" t="s">
        <v>513</v>
      </c>
      <c r="B380" s="0" t="s">
        <v>49</v>
      </c>
      <c r="C380" s="0" t="s">
        <v>514</v>
      </c>
      <c r="D380" s="0" t="s">
        <v>50</v>
      </c>
      <c r="E380" s="38" t="n">
        <v>521640</v>
      </c>
      <c r="F380" s="39" t="n">
        <v>3500</v>
      </c>
    </row>
    <row r="381" customFormat="false" ht="15" hidden="false" customHeight="false" outlineLevel="0" collapsed="false">
      <c r="A381" s="0" t="s">
        <v>515</v>
      </c>
      <c r="B381" s="0" t="s">
        <v>46</v>
      </c>
      <c r="C381" s="0" t="s">
        <v>516</v>
      </c>
      <c r="D381" s="0" t="s">
        <v>48</v>
      </c>
      <c r="E381" s="38" t="n">
        <v>203174.08</v>
      </c>
      <c r="F381" s="39" t="n">
        <v>454</v>
      </c>
    </row>
    <row r="382" customFormat="false" ht="15" hidden="false" customHeight="false" outlineLevel="0" collapsed="false">
      <c r="A382" s="0" t="s">
        <v>517</v>
      </c>
      <c r="B382" s="0" t="s">
        <v>46</v>
      </c>
      <c r="C382" s="0" t="s">
        <v>518</v>
      </c>
      <c r="D382" s="0" t="s">
        <v>48</v>
      </c>
      <c r="E382" s="38" t="n">
        <v>1847906.24</v>
      </c>
      <c r="F382" s="39" t="n">
        <v>64208</v>
      </c>
    </row>
    <row r="383" customFormat="false" ht="15" hidden="false" customHeight="false" outlineLevel="0" collapsed="false">
      <c r="A383" s="0" t="s">
        <v>519</v>
      </c>
      <c r="B383" s="0" t="s">
        <v>49</v>
      </c>
      <c r="C383" s="0" t="s">
        <v>520</v>
      </c>
      <c r="D383" s="0" t="s">
        <v>53</v>
      </c>
      <c r="E383" s="38" t="n">
        <v>2382118</v>
      </c>
      <c r="F383" s="39" t="n">
        <v>5800</v>
      </c>
    </row>
    <row r="384" customFormat="false" ht="15" hidden="false" customHeight="false" outlineLevel="0" collapsed="false">
      <c r="A384" s="0" t="s">
        <v>519</v>
      </c>
      <c r="B384" s="0" t="s">
        <v>49</v>
      </c>
      <c r="C384" s="0" t="s">
        <v>520</v>
      </c>
      <c r="D384" s="0" t="s">
        <v>50</v>
      </c>
      <c r="E384" s="38" t="n">
        <v>2382118</v>
      </c>
      <c r="F384" s="39" t="n">
        <v>5800</v>
      </c>
    </row>
    <row r="385" customFormat="false" ht="15" hidden="false" customHeight="false" outlineLevel="0" collapsed="false">
      <c r="A385" s="0" t="s">
        <v>521</v>
      </c>
      <c r="B385" s="0" t="s">
        <v>46</v>
      </c>
      <c r="C385" s="0" t="s">
        <v>522</v>
      </c>
      <c r="D385" s="0" t="s">
        <v>48</v>
      </c>
      <c r="E385" s="38" t="n">
        <v>177253.11</v>
      </c>
      <c r="F385" s="39" t="n">
        <v>3709</v>
      </c>
    </row>
    <row r="386" customFormat="false" ht="15" hidden="false" customHeight="false" outlineLevel="0" collapsed="false">
      <c r="A386" s="0" t="s">
        <v>521</v>
      </c>
      <c r="B386" s="0" t="s">
        <v>49</v>
      </c>
      <c r="C386" s="0" t="s">
        <v>522</v>
      </c>
      <c r="D386" s="0" t="s">
        <v>53</v>
      </c>
      <c r="E386" s="38" t="n">
        <v>387099</v>
      </c>
      <c r="F386" s="39" t="n">
        <v>8100</v>
      </c>
    </row>
    <row r="387" customFormat="false" ht="15" hidden="false" customHeight="false" outlineLevel="0" collapsed="false">
      <c r="A387" s="0" t="s">
        <v>521</v>
      </c>
      <c r="B387" s="0" t="s">
        <v>49</v>
      </c>
      <c r="C387" s="0" t="s">
        <v>522</v>
      </c>
      <c r="D387" s="0" t="s">
        <v>50</v>
      </c>
      <c r="E387" s="38" t="n">
        <v>387099</v>
      </c>
      <c r="F387" s="39" t="n">
        <v>8100</v>
      </c>
    </row>
    <row r="388" customFormat="false" ht="15" hidden="false" customHeight="false" outlineLevel="0" collapsed="false">
      <c r="A388" s="0" t="s">
        <v>523</v>
      </c>
      <c r="B388" s="0" t="s">
        <v>49</v>
      </c>
      <c r="C388" s="0" t="s">
        <v>524</v>
      </c>
      <c r="D388" s="0" t="s">
        <v>53</v>
      </c>
      <c r="E388" s="38" t="n">
        <v>135972</v>
      </c>
      <c r="F388" s="39" t="n">
        <v>300</v>
      </c>
    </row>
    <row r="389" customFormat="false" ht="15" hidden="false" customHeight="false" outlineLevel="0" collapsed="false">
      <c r="A389" s="0" t="s">
        <v>523</v>
      </c>
      <c r="B389" s="0" t="s">
        <v>49</v>
      </c>
      <c r="C389" s="0" t="s">
        <v>524</v>
      </c>
      <c r="D389" s="0" t="s">
        <v>50</v>
      </c>
      <c r="E389" s="38" t="n">
        <v>135972</v>
      </c>
      <c r="F389" s="39" t="n">
        <v>300</v>
      </c>
    </row>
    <row r="390" customFormat="false" ht="15" hidden="false" customHeight="false" outlineLevel="0" collapsed="false">
      <c r="A390" s="0" t="s">
        <v>525</v>
      </c>
      <c r="B390" s="0" t="s">
        <v>46</v>
      </c>
      <c r="C390" s="0" t="s">
        <v>526</v>
      </c>
      <c r="D390" s="0" t="s">
        <v>48</v>
      </c>
      <c r="E390" s="38" t="n">
        <v>179375.3</v>
      </c>
      <c r="F390" s="39" t="n">
        <v>806</v>
      </c>
    </row>
    <row r="391" customFormat="false" ht="15" hidden="false" customHeight="false" outlineLevel="0" collapsed="false">
      <c r="A391" s="0" t="s">
        <v>525</v>
      </c>
      <c r="B391" s="0" t="s">
        <v>49</v>
      </c>
      <c r="C391" s="0" t="s">
        <v>526</v>
      </c>
      <c r="D391" s="0" t="s">
        <v>53</v>
      </c>
      <c r="E391" s="38" t="n">
        <v>2626090</v>
      </c>
      <c r="F391" s="39" t="n">
        <v>11800</v>
      </c>
    </row>
    <row r="392" customFormat="false" ht="15" hidden="false" customHeight="false" outlineLevel="0" collapsed="false">
      <c r="A392" s="0" t="s">
        <v>525</v>
      </c>
      <c r="B392" s="0" t="s">
        <v>49</v>
      </c>
      <c r="C392" s="0" t="s">
        <v>526</v>
      </c>
      <c r="D392" s="0" t="s">
        <v>50</v>
      </c>
      <c r="E392" s="38" t="n">
        <v>2626090</v>
      </c>
      <c r="F392" s="39" t="n">
        <v>11800</v>
      </c>
    </row>
    <row r="393" customFormat="false" ht="15" hidden="false" customHeight="false" outlineLevel="0" collapsed="false">
      <c r="A393" s="0" t="s">
        <v>527</v>
      </c>
      <c r="B393" s="0" t="s">
        <v>49</v>
      </c>
      <c r="C393" s="0" t="s">
        <v>528</v>
      </c>
      <c r="D393" s="0" t="s">
        <v>53</v>
      </c>
      <c r="E393" s="38" t="n">
        <v>1840644</v>
      </c>
      <c r="F393" s="39" t="n">
        <v>3600</v>
      </c>
    </row>
    <row r="394" customFormat="false" ht="15" hidden="false" customHeight="false" outlineLevel="0" collapsed="false">
      <c r="A394" s="0" t="s">
        <v>527</v>
      </c>
      <c r="B394" s="0" t="s">
        <v>49</v>
      </c>
      <c r="C394" s="0" t="s">
        <v>528</v>
      </c>
      <c r="D394" s="0" t="s">
        <v>50</v>
      </c>
      <c r="E394" s="38" t="n">
        <v>1840644</v>
      </c>
      <c r="F394" s="39" t="n">
        <v>3600</v>
      </c>
    </row>
    <row r="395" customFormat="false" ht="15" hidden="false" customHeight="false" outlineLevel="0" collapsed="false">
      <c r="A395" s="0" t="s">
        <v>529</v>
      </c>
      <c r="B395" s="0" t="s">
        <v>46</v>
      </c>
      <c r="C395" s="0" t="s">
        <v>530</v>
      </c>
      <c r="D395" s="0" t="s">
        <v>48</v>
      </c>
      <c r="E395" s="38" t="n">
        <v>2153202.16</v>
      </c>
      <c r="F395" s="39" t="n">
        <v>107018</v>
      </c>
    </row>
    <row r="396" customFormat="false" ht="15" hidden="false" customHeight="false" outlineLevel="0" collapsed="false">
      <c r="A396" s="0" t="s">
        <v>531</v>
      </c>
      <c r="B396" s="0" t="s">
        <v>46</v>
      </c>
      <c r="C396" s="0" t="s">
        <v>532</v>
      </c>
      <c r="D396" s="0" t="s">
        <v>48</v>
      </c>
      <c r="E396" s="38" t="n">
        <v>1465037.28</v>
      </c>
      <c r="F396" s="39" t="n">
        <v>6804</v>
      </c>
    </row>
    <row r="397" customFormat="false" ht="15" hidden="false" customHeight="false" outlineLevel="0" collapsed="false">
      <c r="A397" s="0" t="s">
        <v>533</v>
      </c>
      <c r="B397" s="0" t="s">
        <v>49</v>
      </c>
      <c r="C397" s="0" t="s">
        <v>534</v>
      </c>
      <c r="D397" s="0" t="s">
        <v>53</v>
      </c>
      <c r="E397" s="38" t="n">
        <v>2982036</v>
      </c>
      <c r="F397" s="39" t="n">
        <v>20100</v>
      </c>
    </row>
    <row r="398" customFormat="false" ht="15" hidden="false" customHeight="false" outlineLevel="0" collapsed="false">
      <c r="A398" s="0" t="s">
        <v>533</v>
      </c>
      <c r="B398" s="0" t="s">
        <v>49</v>
      </c>
      <c r="C398" s="0" t="s">
        <v>534</v>
      </c>
      <c r="D398" s="0" t="s">
        <v>50</v>
      </c>
      <c r="E398" s="38" t="n">
        <v>2982036</v>
      </c>
      <c r="F398" s="39" t="n">
        <v>20100</v>
      </c>
    </row>
    <row r="399" customFormat="false" ht="15" hidden="false" customHeight="false" outlineLevel="0" collapsed="false">
      <c r="A399" s="0" t="s">
        <v>535</v>
      </c>
      <c r="B399" s="0" t="s">
        <v>49</v>
      </c>
      <c r="C399" s="0" t="s">
        <v>536</v>
      </c>
      <c r="D399" s="0" t="s">
        <v>53</v>
      </c>
      <c r="E399" s="38" t="n">
        <v>2954181</v>
      </c>
      <c r="F399" s="39" t="n">
        <v>13100</v>
      </c>
    </row>
    <row r="400" customFormat="false" ht="15" hidden="false" customHeight="false" outlineLevel="0" collapsed="false">
      <c r="A400" s="0" t="s">
        <v>535</v>
      </c>
      <c r="B400" s="0" t="s">
        <v>49</v>
      </c>
      <c r="C400" s="0" t="s">
        <v>536</v>
      </c>
      <c r="D400" s="0" t="s">
        <v>50</v>
      </c>
      <c r="E400" s="38" t="n">
        <v>2954181</v>
      </c>
      <c r="F400" s="39" t="n">
        <v>13100</v>
      </c>
    </row>
    <row r="401" customFormat="false" ht="15" hidden="false" customHeight="false" outlineLevel="0" collapsed="false">
      <c r="A401" s="0" t="s">
        <v>537</v>
      </c>
      <c r="B401" s="0" t="s">
        <v>49</v>
      </c>
      <c r="C401" s="0" t="s">
        <v>538</v>
      </c>
      <c r="D401" s="0" t="s">
        <v>53</v>
      </c>
      <c r="E401" s="38" t="n">
        <v>75788</v>
      </c>
      <c r="F401" s="39" t="n">
        <v>400</v>
      </c>
    </row>
    <row r="402" customFormat="false" ht="15" hidden="false" customHeight="false" outlineLevel="0" collapsed="false">
      <c r="A402" s="0" t="s">
        <v>537</v>
      </c>
      <c r="B402" s="0" t="s">
        <v>49</v>
      </c>
      <c r="C402" s="0" t="s">
        <v>538</v>
      </c>
      <c r="D402" s="0" t="s">
        <v>50</v>
      </c>
      <c r="E402" s="38" t="n">
        <v>75788</v>
      </c>
      <c r="F402" s="39" t="n">
        <v>400</v>
      </c>
    </row>
    <row r="403" customFormat="false" ht="15" hidden="false" customHeight="false" outlineLevel="0" collapsed="false">
      <c r="A403" s="0" t="s">
        <v>539</v>
      </c>
      <c r="B403" s="0" t="s">
        <v>46</v>
      </c>
      <c r="C403" s="0" t="s">
        <v>540</v>
      </c>
      <c r="D403" s="0" t="s">
        <v>48</v>
      </c>
      <c r="E403" s="38" t="n">
        <v>3220930.8</v>
      </c>
      <c r="F403" s="39" t="n">
        <v>27480</v>
      </c>
    </row>
    <row r="404" customFormat="false" ht="15" hidden="false" customHeight="false" outlineLevel="0" collapsed="false">
      <c r="A404" s="0" t="s">
        <v>541</v>
      </c>
      <c r="B404" s="0" t="s">
        <v>49</v>
      </c>
      <c r="C404" s="0" t="s">
        <v>542</v>
      </c>
      <c r="D404" s="0" t="s">
        <v>53</v>
      </c>
      <c r="E404" s="38" t="n">
        <v>2175201</v>
      </c>
      <c r="F404" s="39" t="n">
        <v>5100</v>
      </c>
    </row>
    <row r="405" customFormat="false" ht="15" hidden="false" customHeight="false" outlineLevel="0" collapsed="false">
      <c r="A405" s="0" t="s">
        <v>541</v>
      </c>
      <c r="B405" s="0" t="s">
        <v>49</v>
      </c>
      <c r="C405" s="0" t="s">
        <v>542</v>
      </c>
      <c r="D405" s="0" t="s">
        <v>50</v>
      </c>
      <c r="E405" s="38" t="n">
        <v>2175201</v>
      </c>
      <c r="F405" s="39" t="n">
        <v>5100</v>
      </c>
    </row>
    <row r="406" customFormat="false" ht="15" hidden="false" customHeight="false" outlineLevel="0" collapsed="false">
      <c r="A406" s="0" t="s">
        <v>543</v>
      </c>
      <c r="B406" s="0" t="s">
        <v>46</v>
      </c>
      <c r="C406" s="0" t="s">
        <v>544</v>
      </c>
      <c r="D406" s="0" t="s">
        <v>48</v>
      </c>
      <c r="E406" s="38" t="n">
        <v>314447.5</v>
      </c>
      <c r="F406" s="39" t="n">
        <v>8615</v>
      </c>
    </row>
    <row r="407" customFormat="false" ht="15" hidden="false" customHeight="false" outlineLevel="0" collapsed="false">
      <c r="A407" s="0" t="s">
        <v>543</v>
      </c>
      <c r="B407" s="0" t="s">
        <v>49</v>
      </c>
      <c r="C407" s="0" t="s">
        <v>544</v>
      </c>
      <c r="D407" s="0" t="s">
        <v>53</v>
      </c>
      <c r="E407" s="38" t="n">
        <v>5245050</v>
      </c>
      <c r="F407" s="39" t="n">
        <v>143700</v>
      </c>
    </row>
    <row r="408" customFormat="false" ht="15" hidden="false" customHeight="false" outlineLevel="0" collapsed="false">
      <c r="A408" s="0" t="s">
        <v>543</v>
      </c>
      <c r="B408" s="0" t="s">
        <v>49</v>
      </c>
      <c r="C408" s="0" t="s">
        <v>544</v>
      </c>
      <c r="D408" s="0" t="s">
        <v>50</v>
      </c>
      <c r="E408" s="38" t="n">
        <v>1233700</v>
      </c>
      <c r="F408" s="39" t="n">
        <v>33800</v>
      </c>
    </row>
    <row r="409" customFormat="false" ht="15" hidden="false" customHeight="false" outlineLevel="0" collapsed="false">
      <c r="A409" s="0" t="s">
        <v>545</v>
      </c>
      <c r="B409" s="0" t="s">
        <v>49</v>
      </c>
      <c r="C409" s="0" t="s">
        <v>546</v>
      </c>
      <c r="D409" s="0" t="s">
        <v>53</v>
      </c>
      <c r="E409" s="38" t="n">
        <v>4981368</v>
      </c>
      <c r="F409" s="39" t="n">
        <v>16800</v>
      </c>
    </row>
    <row r="410" customFormat="false" ht="15" hidden="false" customHeight="false" outlineLevel="0" collapsed="false">
      <c r="A410" s="0" t="s">
        <v>545</v>
      </c>
      <c r="B410" s="0" t="s">
        <v>49</v>
      </c>
      <c r="C410" s="0" t="s">
        <v>546</v>
      </c>
      <c r="D410" s="0" t="s">
        <v>50</v>
      </c>
      <c r="E410" s="38" t="n">
        <v>4981368</v>
      </c>
      <c r="F410" s="39" t="n">
        <v>16800</v>
      </c>
    </row>
    <row r="411" customFormat="false" ht="15" hidden="false" customHeight="false" outlineLevel="0" collapsed="false">
      <c r="A411" s="0" t="s">
        <v>547</v>
      </c>
      <c r="B411" s="0" t="s">
        <v>49</v>
      </c>
      <c r="C411" s="0" t="s">
        <v>548</v>
      </c>
      <c r="D411" s="0" t="s">
        <v>53</v>
      </c>
      <c r="E411" s="38" t="n">
        <v>2361198</v>
      </c>
      <c r="F411" s="39" t="n">
        <v>5100</v>
      </c>
    </row>
    <row r="412" customFormat="false" ht="15" hidden="false" customHeight="false" outlineLevel="0" collapsed="false">
      <c r="A412" s="0" t="s">
        <v>547</v>
      </c>
      <c r="B412" s="0" t="s">
        <v>49</v>
      </c>
      <c r="C412" s="0" t="s">
        <v>548</v>
      </c>
      <c r="D412" s="0" t="s">
        <v>50</v>
      </c>
      <c r="E412" s="38" t="n">
        <v>2361198</v>
      </c>
      <c r="F412" s="39" t="n">
        <v>5100</v>
      </c>
    </row>
    <row r="413" customFormat="false" ht="15" hidden="false" customHeight="false" outlineLevel="0" collapsed="false">
      <c r="A413" s="0" t="s">
        <v>549</v>
      </c>
      <c r="B413" s="0" t="s">
        <v>49</v>
      </c>
      <c r="C413" s="0" t="s">
        <v>550</v>
      </c>
      <c r="D413" s="0" t="s">
        <v>53</v>
      </c>
      <c r="E413" s="38" t="n">
        <v>107094</v>
      </c>
      <c r="F413" s="39" t="n">
        <v>1300</v>
      </c>
    </row>
    <row r="414" customFormat="false" ht="15" hidden="false" customHeight="false" outlineLevel="0" collapsed="false">
      <c r="A414" s="0" t="s">
        <v>549</v>
      </c>
      <c r="B414" s="0" t="s">
        <v>49</v>
      </c>
      <c r="C414" s="0" t="s">
        <v>550</v>
      </c>
      <c r="D414" s="0" t="s">
        <v>50</v>
      </c>
      <c r="E414" s="38" t="n">
        <v>107094</v>
      </c>
      <c r="F414" s="39" t="n">
        <v>1300</v>
      </c>
    </row>
    <row r="415" customFormat="false" ht="15" hidden="false" customHeight="false" outlineLevel="0" collapsed="false">
      <c r="A415" s="0" t="s">
        <v>551</v>
      </c>
      <c r="B415" s="0" t="s">
        <v>49</v>
      </c>
      <c r="C415" s="0" t="s">
        <v>552</v>
      </c>
      <c r="D415" s="0" t="s">
        <v>53</v>
      </c>
      <c r="E415" s="38" t="n">
        <v>157154</v>
      </c>
      <c r="F415" s="39" t="n">
        <v>100</v>
      </c>
    </row>
    <row r="416" customFormat="false" ht="15" hidden="false" customHeight="false" outlineLevel="0" collapsed="false">
      <c r="A416" s="0" t="s">
        <v>551</v>
      </c>
      <c r="B416" s="0" t="s">
        <v>49</v>
      </c>
      <c r="C416" s="0" t="s">
        <v>552</v>
      </c>
      <c r="D416" s="0" t="s">
        <v>50</v>
      </c>
      <c r="E416" s="38" t="n">
        <v>157154</v>
      </c>
      <c r="F416" s="39" t="n">
        <v>100</v>
      </c>
    </row>
    <row r="417" customFormat="false" ht="15" hidden="false" customHeight="false" outlineLevel="0" collapsed="false">
      <c r="A417" s="0" t="s">
        <v>553</v>
      </c>
      <c r="B417" s="0" t="s">
        <v>46</v>
      </c>
      <c r="C417" s="0" t="s">
        <v>554</v>
      </c>
      <c r="D417" s="0" t="s">
        <v>48</v>
      </c>
      <c r="E417" s="38" t="n">
        <v>3012127.8</v>
      </c>
      <c r="F417" s="39" t="n">
        <v>317735</v>
      </c>
    </row>
    <row r="418" customFormat="false" ht="15" hidden="false" customHeight="false" outlineLevel="0" collapsed="false">
      <c r="A418" s="0" t="s">
        <v>555</v>
      </c>
      <c r="B418" s="0" t="s">
        <v>49</v>
      </c>
      <c r="C418" s="0" t="s">
        <v>556</v>
      </c>
      <c r="D418" s="0" t="s">
        <v>53</v>
      </c>
      <c r="E418" s="38" t="n">
        <v>294354</v>
      </c>
      <c r="F418" s="39" t="n">
        <v>2700</v>
      </c>
    </row>
    <row r="419" customFormat="false" ht="15" hidden="false" customHeight="false" outlineLevel="0" collapsed="false">
      <c r="A419" s="0" t="s">
        <v>555</v>
      </c>
      <c r="B419" s="0" t="s">
        <v>49</v>
      </c>
      <c r="C419" s="0" t="s">
        <v>556</v>
      </c>
      <c r="D419" s="0" t="s">
        <v>50</v>
      </c>
      <c r="E419" s="38" t="n">
        <v>294354</v>
      </c>
      <c r="F419" s="39" t="n">
        <v>2700</v>
      </c>
    </row>
    <row r="420" customFormat="false" ht="15" hidden="false" customHeight="false" outlineLevel="0" collapsed="false">
      <c r="A420" s="0" t="s">
        <v>557</v>
      </c>
      <c r="B420" s="0" t="s">
        <v>67</v>
      </c>
      <c r="C420" s="0" t="s">
        <v>558</v>
      </c>
      <c r="D420" s="0" t="s">
        <v>48</v>
      </c>
      <c r="E420" s="38" t="n">
        <v>38902500</v>
      </c>
      <c r="F420" s="39" t="n">
        <v>35000000</v>
      </c>
    </row>
    <row r="421" customFormat="false" ht="15" hidden="false" customHeight="false" outlineLevel="0" collapsed="false">
      <c r="A421" s="0" t="s">
        <v>559</v>
      </c>
      <c r="B421" s="0" t="s">
        <v>46</v>
      </c>
      <c r="C421" s="0" t="s">
        <v>560</v>
      </c>
      <c r="D421" s="0" t="s">
        <v>48</v>
      </c>
      <c r="E421" s="38" t="n">
        <v>684488.16</v>
      </c>
      <c r="F421" s="39" t="n">
        <v>295038</v>
      </c>
    </row>
    <row r="422" customFormat="false" ht="15" hidden="false" customHeight="false" outlineLevel="0" collapsed="false">
      <c r="A422" s="0" t="s">
        <v>561</v>
      </c>
      <c r="B422" s="0" t="s">
        <v>67</v>
      </c>
      <c r="C422" s="0" t="s">
        <v>562</v>
      </c>
      <c r="D422" s="0" t="s">
        <v>48</v>
      </c>
      <c r="E422" s="38" t="n">
        <v>13846500</v>
      </c>
      <c r="F422" s="39" t="n">
        <v>15000000</v>
      </c>
    </row>
    <row r="423" customFormat="false" ht="15" hidden="false" customHeight="false" outlineLevel="0" collapsed="false">
      <c r="A423" s="0" t="s">
        <v>563</v>
      </c>
      <c r="B423" s="0" t="s">
        <v>49</v>
      </c>
      <c r="C423" s="0" t="s">
        <v>564</v>
      </c>
      <c r="D423" s="0" t="s">
        <v>53</v>
      </c>
      <c r="E423" s="38" t="n">
        <v>3114848</v>
      </c>
      <c r="F423" s="39" t="n">
        <v>8800</v>
      </c>
    </row>
    <row r="424" customFormat="false" ht="15" hidden="false" customHeight="false" outlineLevel="0" collapsed="false">
      <c r="A424" s="0" t="s">
        <v>563</v>
      </c>
      <c r="B424" s="0" t="s">
        <v>49</v>
      </c>
      <c r="C424" s="0" t="s">
        <v>564</v>
      </c>
      <c r="D424" s="0" t="s">
        <v>50</v>
      </c>
      <c r="E424" s="38" t="n">
        <v>3114848</v>
      </c>
      <c r="F424" s="39" t="n">
        <v>8800</v>
      </c>
    </row>
    <row r="425" customFormat="false" ht="15" hidden="false" customHeight="false" outlineLevel="0" collapsed="false">
      <c r="A425" s="0" t="s">
        <v>565</v>
      </c>
      <c r="B425" s="0" t="s">
        <v>46</v>
      </c>
      <c r="C425" s="0" t="s">
        <v>566</v>
      </c>
      <c r="D425" s="0" t="s">
        <v>48</v>
      </c>
      <c r="E425" s="38" t="n">
        <v>656009.6</v>
      </c>
      <c r="F425" s="39" t="n">
        <v>9920</v>
      </c>
    </row>
    <row r="426" customFormat="false" ht="15" hidden="false" customHeight="false" outlineLevel="0" collapsed="false">
      <c r="A426" s="0" t="s">
        <v>565</v>
      </c>
      <c r="B426" s="0" t="s">
        <v>49</v>
      </c>
      <c r="C426" s="0" t="s">
        <v>566</v>
      </c>
      <c r="D426" s="0" t="s">
        <v>53</v>
      </c>
      <c r="E426" s="38" t="n">
        <v>3537955</v>
      </c>
      <c r="F426" s="39" t="n">
        <v>53500</v>
      </c>
    </row>
    <row r="427" customFormat="false" ht="15" hidden="false" customHeight="false" outlineLevel="0" collapsed="false">
      <c r="A427" s="0" t="s">
        <v>565</v>
      </c>
      <c r="B427" s="0" t="s">
        <v>49</v>
      </c>
      <c r="C427" s="0" t="s">
        <v>566</v>
      </c>
      <c r="D427" s="0" t="s">
        <v>50</v>
      </c>
      <c r="E427" s="38" t="n">
        <v>4807651</v>
      </c>
      <c r="F427" s="39" t="n">
        <v>72700</v>
      </c>
    </row>
    <row r="428" customFormat="false" ht="15" hidden="false" customHeight="false" outlineLevel="0" collapsed="false">
      <c r="A428" s="0" t="s">
        <v>567</v>
      </c>
      <c r="B428" s="0" t="s">
        <v>46</v>
      </c>
      <c r="C428" s="0" t="s">
        <v>568</v>
      </c>
      <c r="D428" s="0" t="s">
        <v>48</v>
      </c>
      <c r="E428" s="38" t="n">
        <v>63803.04</v>
      </c>
      <c r="F428" s="39" t="n">
        <v>1428</v>
      </c>
    </row>
    <row r="429" customFormat="false" ht="15" hidden="false" customHeight="false" outlineLevel="0" collapsed="false">
      <c r="A429" s="0" t="s">
        <v>567</v>
      </c>
      <c r="B429" s="0" t="s">
        <v>49</v>
      </c>
      <c r="C429" s="0" t="s">
        <v>568</v>
      </c>
      <c r="D429" s="0" t="s">
        <v>53</v>
      </c>
      <c r="E429" s="38" t="n">
        <v>406588</v>
      </c>
      <c r="F429" s="39" t="n">
        <v>9100</v>
      </c>
    </row>
    <row r="430" customFormat="false" ht="15" hidden="false" customHeight="false" outlineLevel="0" collapsed="false">
      <c r="A430" s="0" t="s">
        <v>567</v>
      </c>
      <c r="B430" s="0" t="s">
        <v>49</v>
      </c>
      <c r="C430" s="0" t="s">
        <v>568</v>
      </c>
      <c r="D430" s="0" t="s">
        <v>50</v>
      </c>
      <c r="E430" s="38" t="n">
        <v>406588</v>
      </c>
      <c r="F430" s="39" t="n">
        <v>9100</v>
      </c>
    </row>
    <row r="431" customFormat="false" ht="15" hidden="false" customHeight="false" outlineLevel="0" collapsed="false">
      <c r="A431" s="0" t="s">
        <v>569</v>
      </c>
      <c r="B431" s="0" t="s">
        <v>49</v>
      </c>
      <c r="C431" s="0" t="s">
        <v>570</v>
      </c>
      <c r="D431" s="0" t="s">
        <v>53</v>
      </c>
      <c r="E431" s="38" t="n">
        <v>1785564</v>
      </c>
      <c r="F431" s="39" t="n">
        <v>19800</v>
      </c>
    </row>
    <row r="432" customFormat="false" ht="15" hidden="false" customHeight="false" outlineLevel="0" collapsed="false">
      <c r="A432" s="0" t="s">
        <v>571</v>
      </c>
      <c r="B432" s="0" t="s">
        <v>49</v>
      </c>
      <c r="C432" s="0" t="s">
        <v>572</v>
      </c>
      <c r="D432" s="0" t="s">
        <v>53</v>
      </c>
      <c r="E432" s="38" t="n">
        <v>2159102</v>
      </c>
      <c r="F432" s="39" t="n">
        <v>25300</v>
      </c>
    </row>
    <row r="433" customFormat="false" ht="15" hidden="false" customHeight="false" outlineLevel="0" collapsed="false">
      <c r="A433" s="0" t="s">
        <v>571</v>
      </c>
      <c r="B433" s="0" t="s">
        <v>49</v>
      </c>
      <c r="C433" s="0" t="s">
        <v>572</v>
      </c>
      <c r="D433" s="0" t="s">
        <v>50</v>
      </c>
      <c r="E433" s="38" t="n">
        <v>2159102</v>
      </c>
      <c r="F433" s="39" t="n">
        <v>25300</v>
      </c>
    </row>
    <row r="434" customFormat="false" ht="15" hidden="false" customHeight="false" outlineLevel="0" collapsed="false">
      <c r="A434" s="0" t="s">
        <v>573</v>
      </c>
      <c r="B434" s="0" t="s">
        <v>49</v>
      </c>
      <c r="C434" s="0" t="s">
        <v>574</v>
      </c>
      <c r="D434" s="0" t="s">
        <v>53</v>
      </c>
      <c r="E434" s="38" t="n">
        <v>28052584</v>
      </c>
      <c r="F434" s="39" t="n">
        <v>74600</v>
      </c>
    </row>
    <row r="435" customFormat="false" ht="15" hidden="false" customHeight="false" outlineLevel="0" collapsed="false">
      <c r="A435" s="0" t="s">
        <v>573</v>
      </c>
      <c r="B435" s="0" t="s">
        <v>49</v>
      </c>
      <c r="C435" s="0" t="s">
        <v>574</v>
      </c>
      <c r="D435" s="0" t="s">
        <v>50</v>
      </c>
      <c r="E435" s="38" t="n">
        <v>28052584</v>
      </c>
      <c r="F435" s="39" t="n">
        <v>74600</v>
      </c>
    </row>
    <row r="436" customFormat="false" ht="15" hidden="false" customHeight="false" outlineLevel="0" collapsed="false">
      <c r="A436" s="0" t="s">
        <v>575</v>
      </c>
      <c r="B436" s="0" t="s">
        <v>67</v>
      </c>
      <c r="C436" s="0" t="s">
        <v>576</v>
      </c>
      <c r="D436" s="0" t="s">
        <v>48</v>
      </c>
      <c r="E436" s="38" t="n">
        <v>54763360</v>
      </c>
      <c r="F436" s="39" t="n">
        <v>44888000</v>
      </c>
    </row>
    <row r="437" customFormat="false" ht="15" hidden="false" customHeight="false" outlineLevel="0" collapsed="false">
      <c r="A437" s="0" t="s">
        <v>577</v>
      </c>
      <c r="B437" s="0" t="s">
        <v>67</v>
      </c>
      <c r="C437" s="0" t="s">
        <v>578</v>
      </c>
      <c r="D437" s="0" t="s">
        <v>48</v>
      </c>
      <c r="E437" s="38" t="n">
        <v>5625000</v>
      </c>
      <c r="F437" s="39" t="n">
        <v>6000000</v>
      </c>
    </row>
    <row r="438" customFormat="false" ht="15" hidden="false" customHeight="false" outlineLevel="0" collapsed="false">
      <c r="A438" s="0" t="s">
        <v>579</v>
      </c>
      <c r="B438" s="0" t="s">
        <v>67</v>
      </c>
      <c r="C438" s="0" t="s">
        <v>580</v>
      </c>
      <c r="D438" s="0" t="s">
        <v>48</v>
      </c>
      <c r="E438" s="38" t="n">
        <v>21647920</v>
      </c>
      <c r="F438" s="39" t="n">
        <v>23200000</v>
      </c>
    </row>
    <row r="439" customFormat="false" ht="15" hidden="false" customHeight="false" outlineLevel="0" collapsed="false">
      <c r="A439" s="0" t="s">
        <v>581</v>
      </c>
      <c r="B439" s="0" t="s">
        <v>46</v>
      </c>
      <c r="C439" s="0" t="s">
        <v>582</v>
      </c>
      <c r="D439" s="0" t="s">
        <v>48</v>
      </c>
      <c r="E439" s="38" t="n">
        <v>1074895.65</v>
      </c>
      <c r="F439" s="39" t="n">
        <v>24435</v>
      </c>
    </row>
    <row r="440" customFormat="false" ht="15" hidden="false" customHeight="false" outlineLevel="0" collapsed="false">
      <c r="A440" s="0" t="s">
        <v>583</v>
      </c>
      <c r="B440" s="0" t="s">
        <v>46</v>
      </c>
      <c r="C440" s="0" t="s">
        <v>584</v>
      </c>
      <c r="D440" s="0" t="s">
        <v>48</v>
      </c>
      <c r="E440" s="38" t="n">
        <v>50845.86</v>
      </c>
      <c r="F440" s="39" t="n">
        <v>702</v>
      </c>
    </row>
    <row r="441" customFormat="false" ht="15" hidden="false" customHeight="false" outlineLevel="0" collapsed="false">
      <c r="A441" s="0" t="s">
        <v>583</v>
      </c>
      <c r="B441" s="0" t="s">
        <v>49</v>
      </c>
      <c r="C441" s="0" t="s">
        <v>584</v>
      </c>
      <c r="D441" s="0" t="s">
        <v>53</v>
      </c>
      <c r="E441" s="38" t="n">
        <v>362150</v>
      </c>
      <c r="F441" s="39" t="n">
        <v>5000</v>
      </c>
    </row>
    <row r="442" customFormat="false" ht="15" hidden="false" customHeight="false" outlineLevel="0" collapsed="false">
      <c r="A442" s="0" t="s">
        <v>583</v>
      </c>
      <c r="B442" s="0" t="s">
        <v>49</v>
      </c>
      <c r="C442" s="0" t="s">
        <v>584</v>
      </c>
      <c r="D442" s="0" t="s">
        <v>50</v>
      </c>
      <c r="E442" s="38" t="n">
        <v>362150</v>
      </c>
      <c r="F442" s="39" t="n">
        <v>5000</v>
      </c>
    </row>
    <row r="443" customFormat="false" ht="15" hidden="false" customHeight="false" outlineLevel="0" collapsed="false">
      <c r="A443" s="0" t="s">
        <v>585</v>
      </c>
      <c r="B443" s="0" t="s">
        <v>46</v>
      </c>
      <c r="C443" s="0" t="s">
        <v>586</v>
      </c>
      <c r="D443" s="0" t="s">
        <v>48</v>
      </c>
      <c r="E443" s="38" t="n">
        <v>47017.75</v>
      </c>
      <c r="F443" s="39" t="n">
        <v>115</v>
      </c>
    </row>
    <row r="444" customFormat="false" ht="15" hidden="false" customHeight="false" outlineLevel="0" collapsed="false">
      <c r="A444" s="0" t="s">
        <v>585</v>
      </c>
      <c r="B444" s="0" t="s">
        <v>49</v>
      </c>
      <c r="C444" s="0" t="s">
        <v>586</v>
      </c>
      <c r="D444" s="0" t="s">
        <v>53</v>
      </c>
      <c r="E444" s="38" t="n">
        <v>1390090</v>
      </c>
      <c r="F444" s="39" t="n">
        <v>3400</v>
      </c>
    </row>
    <row r="445" customFormat="false" ht="15" hidden="false" customHeight="false" outlineLevel="0" collapsed="false">
      <c r="A445" s="0" t="s">
        <v>585</v>
      </c>
      <c r="B445" s="0" t="s">
        <v>49</v>
      </c>
      <c r="C445" s="0" t="s">
        <v>586</v>
      </c>
      <c r="D445" s="0" t="s">
        <v>50</v>
      </c>
      <c r="E445" s="38" t="n">
        <v>1390090</v>
      </c>
      <c r="F445" s="39" t="n">
        <v>3400</v>
      </c>
    </row>
    <row r="446" customFormat="false" ht="15" hidden="false" customHeight="false" outlineLevel="0" collapsed="false">
      <c r="A446" s="0" t="s">
        <v>587</v>
      </c>
      <c r="B446" s="0" t="s">
        <v>49</v>
      </c>
      <c r="C446" s="0" t="s">
        <v>588</v>
      </c>
      <c r="D446" s="0" t="s">
        <v>53</v>
      </c>
      <c r="E446" s="38" t="n">
        <v>144025</v>
      </c>
      <c r="F446" s="39" t="n">
        <v>2500</v>
      </c>
    </row>
    <row r="447" customFormat="false" ht="15" hidden="false" customHeight="false" outlineLevel="0" collapsed="false">
      <c r="A447" s="0" t="s">
        <v>587</v>
      </c>
      <c r="B447" s="0" t="s">
        <v>49</v>
      </c>
      <c r="C447" s="0" t="s">
        <v>588</v>
      </c>
      <c r="D447" s="0" t="s">
        <v>50</v>
      </c>
      <c r="E447" s="38" t="n">
        <v>144025</v>
      </c>
      <c r="F447" s="39" t="n">
        <v>2500</v>
      </c>
    </row>
    <row r="448" customFormat="false" ht="15" hidden="false" customHeight="false" outlineLevel="0" collapsed="false">
      <c r="A448" s="0" t="s">
        <v>589</v>
      </c>
      <c r="B448" s="0" t="s">
        <v>49</v>
      </c>
      <c r="C448" s="0" t="s">
        <v>590</v>
      </c>
      <c r="D448" s="0" t="s">
        <v>53</v>
      </c>
      <c r="E448" s="38" t="n">
        <v>3767300</v>
      </c>
      <c r="F448" s="39" t="n">
        <v>40400</v>
      </c>
    </row>
    <row r="449" customFormat="false" ht="15" hidden="false" customHeight="false" outlineLevel="0" collapsed="false">
      <c r="A449" s="0" t="s">
        <v>589</v>
      </c>
      <c r="B449" s="0" t="s">
        <v>49</v>
      </c>
      <c r="C449" s="0" t="s">
        <v>590</v>
      </c>
      <c r="D449" s="0" t="s">
        <v>50</v>
      </c>
      <c r="E449" s="38" t="n">
        <v>3767300</v>
      </c>
      <c r="F449" s="39" t="n">
        <v>40400</v>
      </c>
    </row>
    <row r="450" customFormat="false" ht="15" hidden="false" customHeight="false" outlineLevel="0" collapsed="false">
      <c r="A450" s="0" t="s">
        <v>591</v>
      </c>
      <c r="B450" s="0" t="s">
        <v>46</v>
      </c>
      <c r="C450" s="0" t="s">
        <v>592</v>
      </c>
      <c r="D450" s="0" t="s">
        <v>48</v>
      </c>
      <c r="E450" s="38" t="n">
        <v>2163113.37</v>
      </c>
      <c r="F450" s="39" t="n">
        <v>26499</v>
      </c>
    </row>
    <row r="451" customFormat="false" ht="15" hidden="false" customHeight="false" outlineLevel="0" collapsed="false">
      <c r="A451" s="0" t="s">
        <v>593</v>
      </c>
      <c r="B451" s="0" t="s">
        <v>46</v>
      </c>
      <c r="C451" s="0" t="s">
        <v>594</v>
      </c>
      <c r="D451" s="0" t="s">
        <v>48</v>
      </c>
      <c r="E451" s="38" t="n">
        <v>7484659.17</v>
      </c>
      <c r="F451" s="39" t="n">
        <v>222559</v>
      </c>
    </row>
    <row r="452" customFormat="false" ht="15" hidden="false" customHeight="false" outlineLevel="0" collapsed="false">
      <c r="A452" s="0" t="s">
        <v>595</v>
      </c>
      <c r="B452" s="0" t="s">
        <v>49</v>
      </c>
      <c r="C452" s="0" t="s">
        <v>596</v>
      </c>
      <c r="D452" s="0" t="s">
        <v>53</v>
      </c>
      <c r="E452" s="38" t="n">
        <v>1675040</v>
      </c>
      <c r="F452" s="39" t="n">
        <v>19000</v>
      </c>
    </row>
    <row r="453" customFormat="false" ht="15" hidden="false" customHeight="false" outlineLevel="0" collapsed="false">
      <c r="A453" s="0" t="s">
        <v>595</v>
      </c>
      <c r="B453" s="0" t="s">
        <v>49</v>
      </c>
      <c r="C453" s="0" t="s">
        <v>596</v>
      </c>
      <c r="D453" s="0" t="s">
        <v>50</v>
      </c>
      <c r="E453" s="38" t="n">
        <v>1675040</v>
      </c>
      <c r="F453" s="39" t="n">
        <v>19000</v>
      </c>
    </row>
    <row r="454" customFormat="false" ht="15" hidden="false" customHeight="false" outlineLevel="0" collapsed="false">
      <c r="A454" s="0" t="s">
        <v>597</v>
      </c>
      <c r="B454" s="0" t="s">
        <v>49</v>
      </c>
      <c r="C454" s="0" t="s">
        <v>598</v>
      </c>
      <c r="D454" s="0" t="s">
        <v>53</v>
      </c>
      <c r="E454" s="38" t="n">
        <v>3846352</v>
      </c>
      <c r="F454" s="39" t="n">
        <v>7900</v>
      </c>
    </row>
    <row r="455" customFormat="false" ht="15" hidden="false" customHeight="false" outlineLevel="0" collapsed="false">
      <c r="A455" s="0" t="s">
        <v>597</v>
      </c>
      <c r="B455" s="0" t="s">
        <v>49</v>
      </c>
      <c r="C455" s="0" t="s">
        <v>598</v>
      </c>
      <c r="D455" s="0" t="s">
        <v>50</v>
      </c>
      <c r="E455" s="38" t="n">
        <v>3846352</v>
      </c>
      <c r="F455" s="39" t="n">
        <v>7900</v>
      </c>
    </row>
    <row r="456" customFormat="false" ht="15" hidden="false" customHeight="false" outlineLevel="0" collapsed="false">
      <c r="A456" s="0" t="s">
        <v>599</v>
      </c>
      <c r="B456" s="0" t="s">
        <v>49</v>
      </c>
      <c r="C456" s="0" t="s">
        <v>600</v>
      </c>
      <c r="D456" s="0" t="s">
        <v>53</v>
      </c>
      <c r="E456" s="38" t="n">
        <v>782271</v>
      </c>
      <c r="F456" s="39" t="n">
        <v>18900</v>
      </c>
    </row>
    <row r="457" customFormat="false" ht="15" hidden="false" customHeight="false" outlineLevel="0" collapsed="false">
      <c r="A457" s="0" t="s">
        <v>599</v>
      </c>
      <c r="B457" s="0" t="s">
        <v>49</v>
      </c>
      <c r="C457" s="0" t="s">
        <v>600</v>
      </c>
      <c r="D457" s="0" t="s">
        <v>50</v>
      </c>
      <c r="E457" s="38" t="n">
        <v>782271</v>
      </c>
      <c r="F457" s="39" t="n">
        <v>18900</v>
      </c>
    </row>
    <row r="458" customFormat="false" ht="15" hidden="false" customHeight="false" outlineLevel="0" collapsed="false">
      <c r="A458" s="0" t="s">
        <v>601</v>
      </c>
      <c r="B458" s="0" t="s">
        <v>46</v>
      </c>
      <c r="C458" s="0" t="s">
        <v>602</v>
      </c>
      <c r="D458" s="0" t="s">
        <v>48</v>
      </c>
      <c r="E458" s="38" t="n">
        <v>4312.54</v>
      </c>
      <c r="F458" s="39" t="n">
        <v>71</v>
      </c>
    </row>
    <row r="459" customFormat="false" ht="15" hidden="false" customHeight="false" outlineLevel="0" collapsed="false">
      <c r="A459" s="0" t="s">
        <v>601</v>
      </c>
      <c r="B459" s="0" t="s">
        <v>49</v>
      </c>
      <c r="C459" s="0" t="s">
        <v>602</v>
      </c>
      <c r="D459" s="0" t="s">
        <v>53</v>
      </c>
      <c r="E459" s="38" t="n">
        <v>121480</v>
      </c>
      <c r="F459" s="39" t="n">
        <v>2000</v>
      </c>
    </row>
    <row r="460" customFormat="false" ht="15" hidden="false" customHeight="false" outlineLevel="0" collapsed="false">
      <c r="A460" s="0" t="s">
        <v>601</v>
      </c>
      <c r="B460" s="0" t="s">
        <v>49</v>
      </c>
      <c r="C460" s="0" t="s">
        <v>602</v>
      </c>
      <c r="D460" s="0" t="s">
        <v>50</v>
      </c>
      <c r="E460" s="38" t="n">
        <v>121480</v>
      </c>
      <c r="F460" s="39" t="n">
        <v>2000</v>
      </c>
    </row>
    <row r="461" customFormat="false" ht="15" hidden="false" customHeight="false" outlineLevel="0" collapsed="false">
      <c r="A461" s="0" t="s">
        <v>603</v>
      </c>
      <c r="B461" s="0" t="s">
        <v>46</v>
      </c>
      <c r="C461" s="0" t="s">
        <v>604</v>
      </c>
      <c r="D461" s="0" t="s">
        <v>48</v>
      </c>
      <c r="E461" s="38" t="n">
        <v>127461.18</v>
      </c>
      <c r="F461" s="39" t="n">
        <v>1174</v>
      </c>
    </row>
    <row r="462" customFormat="false" ht="15" hidden="false" customHeight="false" outlineLevel="0" collapsed="false">
      <c r="A462" s="0" t="s">
        <v>603</v>
      </c>
      <c r="B462" s="0" t="s">
        <v>49</v>
      </c>
      <c r="C462" s="0" t="s">
        <v>604</v>
      </c>
      <c r="D462" s="0" t="s">
        <v>53</v>
      </c>
      <c r="E462" s="38" t="n">
        <v>901131</v>
      </c>
      <c r="F462" s="39" t="n">
        <v>8300</v>
      </c>
    </row>
    <row r="463" customFormat="false" ht="15" hidden="false" customHeight="false" outlineLevel="0" collapsed="false">
      <c r="A463" s="0" t="s">
        <v>603</v>
      </c>
      <c r="B463" s="0" t="s">
        <v>49</v>
      </c>
      <c r="C463" s="0" t="s">
        <v>604</v>
      </c>
      <c r="D463" s="0" t="s">
        <v>50</v>
      </c>
      <c r="E463" s="38" t="n">
        <v>901131</v>
      </c>
      <c r="F463" s="39" t="n">
        <v>8300</v>
      </c>
    </row>
    <row r="464" customFormat="false" ht="15" hidden="false" customHeight="false" outlineLevel="0" collapsed="false">
      <c r="A464" s="0" t="s">
        <v>605</v>
      </c>
      <c r="B464" s="0" t="s">
        <v>46</v>
      </c>
      <c r="C464" s="0" t="s">
        <v>606</v>
      </c>
      <c r="D464" s="0" t="s">
        <v>48</v>
      </c>
      <c r="E464" s="38" t="n">
        <v>205177.84</v>
      </c>
      <c r="F464" s="39" t="n">
        <v>868</v>
      </c>
    </row>
    <row r="465" customFormat="false" ht="15" hidden="false" customHeight="false" outlineLevel="0" collapsed="false">
      <c r="A465" s="0" t="s">
        <v>605</v>
      </c>
      <c r="B465" s="0" t="s">
        <v>49</v>
      </c>
      <c r="C465" s="0" t="s">
        <v>606</v>
      </c>
      <c r="D465" s="0" t="s">
        <v>53</v>
      </c>
      <c r="E465" s="38" t="n">
        <v>732778</v>
      </c>
      <c r="F465" s="39" t="n">
        <v>3100</v>
      </c>
    </row>
    <row r="466" customFormat="false" ht="15" hidden="false" customHeight="false" outlineLevel="0" collapsed="false">
      <c r="A466" s="0" t="s">
        <v>605</v>
      </c>
      <c r="B466" s="0" t="s">
        <v>49</v>
      </c>
      <c r="C466" s="0" t="s">
        <v>606</v>
      </c>
      <c r="D466" s="0" t="s">
        <v>50</v>
      </c>
      <c r="E466" s="38" t="n">
        <v>1796488</v>
      </c>
      <c r="F466" s="39" t="n">
        <v>7600</v>
      </c>
    </row>
    <row r="467" customFormat="false" ht="15" hidden="false" customHeight="false" outlineLevel="0" collapsed="false">
      <c r="A467" s="0" t="s">
        <v>607</v>
      </c>
      <c r="B467" s="0" t="s">
        <v>67</v>
      </c>
      <c r="C467" s="0" t="s">
        <v>608</v>
      </c>
      <c r="D467" s="0" t="s">
        <v>48</v>
      </c>
      <c r="E467" s="38" t="n">
        <v>2598750</v>
      </c>
      <c r="F467" s="39" t="n">
        <v>4500000</v>
      </c>
    </row>
    <row r="468" customFormat="false" ht="15" hidden="false" customHeight="false" outlineLevel="0" collapsed="false">
      <c r="A468" s="0" t="s">
        <v>609</v>
      </c>
      <c r="B468" s="0" t="s">
        <v>49</v>
      </c>
      <c r="C468" s="0" t="s">
        <v>610</v>
      </c>
      <c r="D468" s="0" t="s">
        <v>53</v>
      </c>
      <c r="E468" s="38" t="n">
        <v>6487382</v>
      </c>
      <c r="F468" s="39" t="n">
        <v>13100</v>
      </c>
    </row>
    <row r="469" customFormat="false" ht="15" hidden="false" customHeight="false" outlineLevel="0" collapsed="false">
      <c r="A469" s="0" t="s">
        <v>609</v>
      </c>
      <c r="B469" s="0" t="s">
        <v>49</v>
      </c>
      <c r="C469" s="0" t="s">
        <v>610</v>
      </c>
      <c r="D469" s="0" t="s">
        <v>50</v>
      </c>
      <c r="E469" s="38" t="n">
        <v>6487382</v>
      </c>
      <c r="F469" s="39" t="n">
        <v>13100</v>
      </c>
    </row>
    <row r="470" customFormat="false" ht="15" hidden="false" customHeight="false" outlineLevel="0" collapsed="false">
      <c r="A470" s="0" t="s">
        <v>611</v>
      </c>
      <c r="B470" s="0" t="s">
        <v>46</v>
      </c>
      <c r="C470" s="0" t="s">
        <v>612</v>
      </c>
      <c r="D470" s="0" t="s">
        <v>48</v>
      </c>
      <c r="E470" s="38" t="n">
        <v>43868.88</v>
      </c>
      <c r="F470" s="39" t="n">
        <v>191</v>
      </c>
    </row>
    <row r="471" customFormat="false" ht="15" hidden="false" customHeight="false" outlineLevel="0" collapsed="false">
      <c r="A471" s="0" t="s">
        <v>611</v>
      </c>
      <c r="B471" s="0" t="s">
        <v>49</v>
      </c>
      <c r="C471" s="0" t="s">
        <v>612</v>
      </c>
      <c r="D471" s="0" t="s">
        <v>53</v>
      </c>
      <c r="E471" s="38" t="n">
        <v>2342736</v>
      </c>
      <c r="F471" s="39" t="n">
        <v>10200</v>
      </c>
    </row>
    <row r="472" customFormat="false" ht="15" hidden="false" customHeight="false" outlineLevel="0" collapsed="false">
      <c r="A472" s="0" t="s">
        <v>611</v>
      </c>
      <c r="B472" s="0" t="s">
        <v>49</v>
      </c>
      <c r="C472" s="0" t="s">
        <v>612</v>
      </c>
      <c r="D472" s="0" t="s">
        <v>50</v>
      </c>
      <c r="E472" s="38" t="n">
        <v>2342736</v>
      </c>
      <c r="F472" s="39" t="n">
        <v>10200</v>
      </c>
    </row>
    <row r="473" customFormat="false" ht="15" hidden="false" customHeight="false" outlineLevel="0" collapsed="false">
      <c r="A473" s="0" t="s">
        <v>613</v>
      </c>
      <c r="B473" s="0" t="s">
        <v>67</v>
      </c>
      <c r="C473" s="0" t="s">
        <v>614</v>
      </c>
      <c r="D473" s="0" t="s">
        <v>48</v>
      </c>
      <c r="E473" s="38" t="n">
        <v>12641400</v>
      </c>
      <c r="F473" s="39" t="n">
        <v>12000000</v>
      </c>
    </row>
    <row r="474" customFormat="false" ht="15" hidden="false" customHeight="false" outlineLevel="0" collapsed="false">
      <c r="A474" s="0" t="s">
        <v>615</v>
      </c>
      <c r="B474" s="0" t="s">
        <v>49</v>
      </c>
      <c r="C474" s="0" t="s">
        <v>616</v>
      </c>
      <c r="D474" s="0" t="s">
        <v>50</v>
      </c>
      <c r="E474" s="38" t="n">
        <v>1120000</v>
      </c>
      <c r="F474" s="39" t="n">
        <v>250000</v>
      </c>
    </row>
    <row r="475" customFormat="false" ht="15" hidden="false" customHeight="false" outlineLevel="0" collapsed="false">
      <c r="A475" s="0" t="s">
        <v>617</v>
      </c>
      <c r="B475" s="0" t="s">
        <v>46</v>
      </c>
      <c r="C475" s="0" t="s">
        <v>618</v>
      </c>
      <c r="D475" s="0" t="s">
        <v>48</v>
      </c>
      <c r="E475" s="38" t="n">
        <v>187665.4</v>
      </c>
      <c r="F475" s="39" t="n">
        <v>1780</v>
      </c>
    </row>
    <row r="476" customFormat="false" ht="15" hidden="false" customHeight="false" outlineLevel="0" collapsed="false">
      <c r="A476" s="0" t="s">
        <v>617</v>
      </c>
      <c r="B476" s="0" t="s">
        <v>49</v>
      </c>
      <c r="C476" s="0" t="s">
        <v>618</v>
      </c>
      <c r="D476" s="0" t="s">
        <v>53</v>
      </c>
      <c r="E476" s="38" t="n">
        <v>6378515</v>
      </c>
      <c r="F476" s="39" t="n">
        <v>60500</v>
      </c>
    </row>
    <row r="477" customFormat="false" ht="15" hidden="false" customHeight="false" outlineLevel="0" collapsed="false">
      <c r="A477" s="0" t="s">
        <v>617</v>
      </c>
      <c r="B477" s="0" t="s">
        <v>49</v>
      </c>
      <c r="C477" s="0" t="s">
        <v>618</v>
      </c>
      <c r="D477" s="0" t="s">
        <v>50</v>
      </c>
      <c r="E477" s="38" t="n">
        <v>6378515</v>
      </c>
      <c r="F477" s="39" t="n">
        <v>60500</v>
      </c>
    </row>
    <row r="478" customFormat="false" ht="15" hidden="false" customHeight="false" outlineLevel="0" collapsed="false">
      <c r="A478" s="0" t="s">
        <v>619</v>
      </c>
      <c r="B478" s="0" t="s">
        <v>46</v>
      </c>
      <c r="C478" s="0" t="s">
        <v>620</v>
      </c>
      <c r="D478" s="0" t="s">
        <v>48</v>
      </c>
      <c r="E478" s="38" t="n">
        <v>68405.76</v>
      </c>
      <c r="F478" s="39" t="n">
        <v>72</v>
      </c>
    </row>
    <row r="479" customFormat="false" ht="15" hidden="false" customHeight="false" outlineLevel="0" collapsed="false">
      <c r="A479" s="0" t="s">
        <v>619</v>
      </c>
      <c r="B479" s="0" t="s">
        <v>49</v>
      </c>
      <c r="C479" s="0" t="s">
        <v>620</v>
      </c>
      <c r="D479" s="0" t="s">
        <v>53</v>
      </c>
      <c r="E479" s="38" t="n">
        <v>2945248</v>
      </c>
      <c r="F479" s="39" t="n">
        <v>3100</v>
      </c>
    </row>
    <row r="480" customFormat="false" ht="15" hidden="false" customHeight="false" outlineLevel="0" collapsed="false">
      <c r="A480" s="0" t="s">
        <v>619</v>
      </c>
      <c r="B480" s="0" t="s">
        <v>49</v>
      </c>
      <c r="C480" s="0" t="s">
        <v>620</v>
      </c>
      <c r="D480" s="0" t="s">
        <v>50</v>
      </c>
      <c r="E480" s="38" t="n">
        <v>2945248</v>
      </c>
      <c r="F480" s="39" t="n">
        <v>3100</v>
      </c>
    </row>
    <row r="481" customFormat="false" ht="15" hidden="false" customHeight="false" outlineLevel="0" collapsed="false">
      <c r="A481" s="0" t="s">
        <v>621</v>
      </c>
      <c r="B481" s="0" t="s">
        <v>46</v>
      </c>
      <c r="C481" s="0" t="s">
        <v>622</v>
      </c>
      <c r="D481" s="0" t="s">
        <v>48</v>
      </c>
      <c r="E481" s="38" t="n">
        <v>5686325.12</v>
      </c>
      <c r="F481" s="39" t="n">
        <v>394336</v>
      </c>
    </row>
    <row r="482" customFormat="false" ht="15" hidden="false" customHeight="false" outlineLevel="0" collapsed="false">
      <c r="A482" s="0" t="s">
        <v>623</v>
      </c>
      <c r="B482" s="0" t="s">
        <v>67</v>
      </c>
      <c r="C482" s="0" t="s">
        <v>624</v>
      </c>
      <c r="D482" s="0" t="s">
        <v>48</v>
      </c>
      <c r="E482" s="38" t="n">
        <v>11341000</v>
      </c>
      <c r="F482" s="39" t="n">
        <v>11000000</v>
      </c>
    </row>
    <row r="483" customFormat="false" ht="15" hidden="false" customHeight="false" outlineLevel="0" collapsed="false">
      <c r="A483" s="0" t="s">
        <v>625</v>
      </c>
      <c r="B483" s="0" t="s">
        <v>67</v>
      </c>
      <c r="C483" s="0" t="s">
        <v>626</v>
      </c>
      <c r="D483" s="0" t="s">
        <v>48</v>
      </c>
      <c r="E483" s="38" t="n">
        <v>30486400</v>
      </c>
      <c r="F483" s="39" t="n">
        <v>28000000</v>
      </c>
    </row>
    <row r="484" customFormat="false" ht="15" hidden="false" customHeight="false" outlineLevel="0" collapsed="false">
      <c r="A484" s="0" t="s">
        <v>625</v>
      </c>
      <c r="B484" s="0" t="s">
        <v>46</v>
      </c>
      <c r="C484" s="0" t="s">
        <v>627</v>
      </c>
      <c r="D484" s="0" t="s">
        <v>48</v>
      </c>
      <c r="E484" s="38" t="n">
        <v>1018160.15</v>
      </c>
      <c r="F484" s="39" t="n">
        <v>43981</v>
      </c>
    </row>
    <row r="485" customFormat="false" ht="15" hidden="false" customHeight="false" outlineLevel="0" collapsed="false">
      <c r="A485" s="0" t="s">
        <v>628</v>
      </c>
      <c r="B485" s="0" t="s">
        <v>49</v>
      </c>
      <c r="C485" s="0" t="s">
        <v>629</v>
      </c>
      <c r="D485" s="0" t="s">
        <v>53</v>
      </c>
      <c r="E485" s="38" t="n">
        <v>294880</v>
      </c>
      <c r="F485" s="39" t="n">
        <v>1000</v>
      </c>
    </row>
    <row r="486" customFormat="false" ht="15" hidden="false" customHeight="false" outlineLevel="0" collapsed="false">
      <c r="A486" s="0" t="s">
        <v>628</v>
      </c>
      <c r="B486" s="0" t="s">
        <v>49</v>
      </c>
      <c r="C486" s="0" t="s">
        <v>629</v>
      </c>
      <c r="D486" s="0" t="s">
        <v>50</v>
      </c>
      <c r="E486" s="38" t="n">
        <v>294880</v>
      </c>
      <c r="F486" s="39" t="n">
        <v>1000</v>
      </c>
    </row>
    <row r="487" customFormat="false" ht="15" hidden="false" customHeight="false" outlineLevel="0" collapsed="false">
      <c r="A487" s="0" t="s">
        <v>630</v>
      </c>
      <c r="B487" s="0" t="s">
        <v>67</v>
      </c>
      <c r="C487" s="0" t="s">
        <v>631</v>
      </c>
      <c r="D487" s="0" t="s">
        <v>48</v>
      </c>
      <c r="E487" s="38" t="n">
        <v>21312000</v>
      </c>
      <c r="F487" s="39" t="n">
        <v>24000000</v>
      </c>
    </row>
    <row r="488" customFormat="false" ht="15" hidden="false" customHeight="false" outlineLevel="0" collapsed="false">
      <c r="A488" s="0" t="s">
        <v>632</v>
      </c>
      <c r="B488" s="0" t="s">
        <v>46</v>
      </c>
      <c r="C488" s="0" t="s">
        <v>633</v>
      </c>
      <c r="D488" s="0" t="s">
        <v>48</v>
      </c>
      <c r="E488" s="38" t="n">
        <v>3578884.2</v>
      </c>
      <c r="F488" s="39" t="n">
        <v>241980</v>
      </c>
    </row>
    <row r="489" customFormat="false" ht="15" hidden="false" customHeight="false" outlineLevel="0" collapsed="false">
      <c r="A489" s="0" t="s">
        <v>634</v>
      </c>
      <c r="B489" s="0" t="s">
        <v>46</v>
      </c>
      <c r="C489" s="0" t="s">
        <v>635</v>
      </c>
      <c r="D489" s="0" t="s">
        <v>48</v>
      </c>
      <c r="E489" s="38" t="n">
        <v>37777.4</v>
      </c>
      <c r="F489" s="39" t="n">
        <v>82</v>
      </c>
    </row>
    <row r="490" customFormat="false" ht="15" hidden="false" customHeight="false" outlineLevel="0" collapsed="false">
      <c r="A490" s="0" t="s">
        <v>634</v>
      </c>
      <c r="B490" s="0" t="s">
        <v>49</v>
      </c>
      <c r="C490" s="0" t="s">
        <v>635</v>
      </c>
      <c r="D490" s="0" t="s">
        <v>53</v>
      </c>
      <c r="E490" s="38" t="n">
        <v>1520310</v>
      </c>
      <c r="F490" s="39" t="n">
        <v>3300</v>
      </c>
    </row>
    <row r="491" customFormat="false" ht="15" hidden="false" customHeight="false" outlineLevel="0" collapsed="false">
      <c r="A491" s="0" t="s">
        <v>634</v>
      </c>
      <c r="B491" s="0" t="s">
        <v>49</v>
      </c>
      <c r="C491" s="0" t="s">
        <v>635</v>
      </c>
      <c r="D491" s="0" t="s">
        <v>50</v>
      </c>
      <c r="E491" s="38" t="n">
        <v>1842800</v>
      </c>
      <c r="F491" s="39" t="n">
        <v>4000</v>
      </c>
    </row>
    <row r="492" customFormat="false" ht="15" hidden="false" customHeight="false" outlineLevel="0" collapsed="false">
      <c r="A492" s="0" t="s">
        <v>636</v>
      </c>
      <c r="B492" s="0" t="s">
        <v>46</v>
      </c>
      <c r="C492" s="0" t="s">
        <v>637</v>
      </c>
      <c r="D492" s="0" t="s">
        <v>48</v>
      </c>
      <c r="E492" s="38" t="n">
        <v>1127376.15</v>
      </c>
      <c r="F492" s="39" t="n">
        <v>9465</v>
      </c>
    </row>
    <row r="493" customFormat="false" ht="15" hidden="false" customHeight="false" outlineLevel="0" collapsed="false">
      <c r="A493" s="0" t="s">
        <v>636</v>
      </c>
      <c r="B493" s="0" t="s">
        <v>49</v>
      </c>
      <c r="C493" s="0" t="s">
        <v>637</v>
      </c>
      <c r="D493" s="0" t="s">
        <v>53</v>
      </c>
      <c r="E493" s="38" t="n">
        <v>2286912</v>
      </c>
      <c r="F493" s="39" t="n">
        <v>19200</v>
      </c>
    </row>
    <row r="494" customFormat="false" ht="15" hidden="false" customHeight="false" outlineLevel="0" collapsed="false">
      <c r="A494" s="0" t="s">
        <v>636</v>
      </c>
      <c r="B494" s="0" t="s">
        <v>49</v>
      </c>
      <c r="C494" s="0" t="s">
        <v>637</v>
      </c>
      <c r="D494" s="0" t="s">
        <v>50</v>
      </c>
      <c r="E494" s="38" t="n">
        <v>2286912</v>
      </c>
      <c r="F494" s="39" t="n">
        <v>19200</v>
      </c>
    </row>
    <row r="495" customFormat="false" ht="15" hidden="false" customHeight="false" outlineLevel="0" collapsed="false">
      <c r="A495" s="0" t="s">
        <v>638</v>
      </c>
      <c r="B495" s="0" t="s">
        <v>46</v>
      </c>
      <c r="C495" s="0" t="s">
        <v>639</v>
      </c>
      <c r="D495" s="0" t="s">
        <v>48</v>
      </c>
      <c r="E495" s="38" t="n">
        <v>62638.2</v>
      </c>
      <c r="F495" s="39" t="n">
        <v>1020</v>
      </c>
    </row>
    <row r="496" customFormat="false" ht="15" hidden="false" customHeight="false" outlineLevel="0" collapsed="false">
      <c r="A496" s="0" t="s">
        <v>638</v>
      </c>
      <c r="B496" s="0" t="s">
        <v>49</v>
      </c>
      <c r="C496" s="0" t="s">
        <v>639</v>
      </c>
      <c r="D496" s="0" t="s">
        <v>53</v>
      </c>
      <c r="E496" s="38" t="n">
        <v>184230</v>
      </c>
      <c r="F496" s="39" t="n">
        <v>3000</v>
      </c>
    </row>
    <row r="497" customFormat="false" ht="15" hidden="false" customHeight="false" outlineLevel="0" collapsed="false">
      <c r="A497" s="0" t="s">
        <v>638</v>
      </c>
      <c r="B497" s="0" t="s">
        <v>49</v>
      </c>
      <c r="C497" s="0" t="s">
        <v>639</v>
      </c>
      <c r="D497" s="0" t="s">
        <v>50</v>
      </c>
      <c r="E497" s="38" t="n">
        <v>184230</v>
      </c>
      <c r="F497" s="39" t="n">
        <v>3000</v>
      </c>
    </row>
    <row r="498" customFormat="false" ht="15" hidden="false" customHeight="false" outlineLevel="0" collapsed="false">
      <c r="A498" s="0" t="s">
        <v>640</v>
      </c>
      <c r="B498" s="0" t="s">
        <v>49</v>
      </c>
      <c r="C498" s="0" t="s">
        <v>641</v>
      </c>
      <c r="D498" s="0" t="s">
        <v>53</v>
      </c>
      <c r="E498" s="38" t="n">
        <v>482823</v>
      </c>
      <c r="F498" s="39" t="n">
        <v>3300</v>
      </c>
    </row>
    <row r="499" customFormat="false" ht="15" hidden="false" customHeight="false" outlineLevel="0" collapsed="false">
      <c r="A499" s="0" t="s">
        <v>640</v>
      </c>
      <c r="B499" s="0" t="s">
        <v>49</v>
      </c>
      <c r="C499" s="0" t="s">
        <v>641</v>
      </c>
      <c r="D499" s="0" t="s">
        <v>50</v>
      </c>
      <c r="E499" s="38" t="n">
        <v>482823</v>
      </c>
      <c r="F499" s="39" t="n">
        <v>3300</v>
      </c>
    </row>
    <row r="500" customFormat="false" ht="15" hidden="false" customHeight="false" outlineLevel="0" collapsed="false">
      <c r="A500" s="0" t="s">
        <v>642</v>
      </c>
      <c r="B500" s="0" t="s">
        <v>67</v>
      </c>
      <c r="C500" s="0" t="s">
        <v>643</v>
      </c>
      <c r="D500" s="0" t="s">
        <v>48</v>
      </c>
      <c r="E500" s="38" t="n">
        <v>35588000</v>
      </c>
      <c r="F500" s="39" t="n">
        <v>24800000</v>
      </c>
    </row>
    <row r="501" customFormat="false" ht="15" hidden="false" customHeight="false" outlineLevel="0" collapsed="false">
      <c r="A501" s="0" t="s">
        <v>644</v>
      </c>
      <c r="B501" s="0" t="s">
        <v>46</v>
      </c>
      <c r="C501" s="0" t="s">
        <v>645</v>
      </c>
      <c r="D501" s="0" t="s">
        <v>48</v>
      </c>
      <c r="E501" s="38" t="n">
        <v>621222.63</v>
      </c>
      <c r="F501" s="39" t="n">
        <v>102007</v>
      </c>
    </row>
    <row r="502" customFormat="false" ht="15" hidden="false" customHeight="false" outlineLevel="0" collapsed="false">
      <c r="A502" s="0" t="s">
        <v>646</v>
      </c>
      <c r="B502" s="0" t="s">
        <v>46</v>
      </c>
      <c r="C502" s="0" t="s">
        <v>647</v>
      </c>
      <c r="D502" s="0" t="s">
        <v>48</v>
      </c>
      <c r="E502" s="38" t="n">
        <v>3952255.86</v>
      </c>
      <c r="F502" s="39" t="n">
        <v>151893</v>
      </c>
    </row>
    <row r="503" customFormat="false" ht="15" hidden="false" customHeight="false" outlineLevel="0" collapsed="false">
      <c r="A503" s="0" t="s">
        <v>648</v>
      </c>
      <c r="B503" s="0" t="s">
        <v>46</v>
      </c>
      <c r="C503" s="0" t="s">
        <v>649</v>
      </c>
      <c r="D503" s="0" t="s">
        <v>48</v>
      </c>
      <c r="E503" s="38" t="n">
        <v>17833.2</v>
      </c>
      <c r="F503" s="39" t="n">
        <v>105</v>
      </c>
    </row>
    <row r="504" customFormat="false" ht="15" hidden="false" customHeight="false" outlineLevel="0" collapsed="false">
      <c r="A504" s="0" t="s">
        <v>648</v>
      </c>
      <c r="B504" s="0" t="s">
        <v>49</v>
      </c>
      <c r="C504" s="0" t="s">
        <v>649</v>
      </c>
      <c r="D504" s="0" t="s">
        <v>53</v>
      </c>
      <c r="E504" s="38" t="n">
        <v>866184</v>
      </c>
      <c r="F504" s="39" t="n">
        <v>5100</v>
      </c>
    </row>
    <row r="505" customFormat="false" ht="15" hidden="false" customHeight="false" outlineLevel="0" collapsed="false">
      <c r="A505" s="0" t="s">
        <v>648</v>
      </c>
      <c r="B505" s="0" t="s">
        <v>49</v>
      </c>
      <c r="C505" s="0" t="s">
        <v>649</v>
      </c>
      <c r="D505" s="0" t="s">
        <v>50</v>
      </c>
      <c r="E505" s="38" t="n">
        <v>254760</v>
      </c>
      <c r="F505" s="39" t="n">
        <v>1500</v>
      </c>
    </row>
    <row r="506" customFormat="false" ht="15" hidden="false" customHeight="false" outlineLevel="0" collapsed="false">
      <c r="A506" s="0" t="s">
        <v>650</v>
      </c>
      <c r="B506" s="0" t="s">
        <v>67</v>
      </c>
      <c r="C506" s="0" t="s">
        <v>651</v>
      </c>
      <c r="D506" s="0" t="s">
        <v>48</v>
      </c>
      <c r="E506" s="38" t="n">
        <v>12079950</v>
      </c>
      <c r="F506" s="39" t="n">
        <v>14500000</v>
      </c>
    </row>
    <row r="507" customFormat="false" ht="15" hidden="false" customHeight="false" outlineLevel="0" collapsed="false">
      <c r="A507" s="0" t="s">
        <v>652</v>
      </c>
      <c r="B507" s="0" t="s">
        <v>49</v>
      </c>
      <c r="C507" s="0" t="s">
        <v>653</v>
      </c>
      <c r="D507" s="0" t="s">
        <v>53</v>
      </c>
      <c r="E507" s="38" t="n">
        <v>112750277</v>
      </c>
      <c r="F507" s="39" t="n">
        <v>3916300</v>
      </c>
    </row>
    <row r="508" customFormat="false" ht="15" hidden="false" customHeight="false" outlineLevel="0" collapsed="false">
      <c r="A508" s="0" t="s">
        <v>652</v>
      </c>
      <c r="B508" s="0" t="s">
        <v>49</v>
      </c>
      <c r="C508" s="0" t="s">
        <v>653</v>
      </c>
      <c r="D508" s="0" t="s">
        <v>50</v>
      </c>
      <c r="E508" s="38" t="n">
        <v>181377</v>
      </c>
      <c r="F508" s="39" t="n">
        <v>6300</v>
      </c>
    </row>
    <row r="509" customFormat="false" ht="15" hidden="false" customHeight="false" outlineLevel="0" collapsed="false">
      <c r="A509" s="0" t="s">
        <v>654</v>
      </c>
      <c r="B509" s="0" t="s">
        <v>67</v>
      </c>
      <c r="C509" s="0" t="s">
        <v>655</v>
      </c>
      <c r="D509" s="0" t="s">
        <v>48</v>
      </c>
      <c r="E509" s="38" t="n">
        <v>26325000</v>
      </c>
      <c r="F509" s="39" t="n">
        <v>25000000</v>
      </c>
    </row>
    <row r="510" customFormat="false" ht="15" hidden="false" customHeight="false" outlineLevel="0" collapsed="false">
      <c r="A510" s="0" t="s">
        <v>656</v>
      </c>
      <c r="B510" s="0" t="s">
        <v>49</v>
      </c>
      <c r="C510" s="0" t="s">
        <v>657</v>
      </c>
      <c r="D510" s="0" t="s">
        <v>53</v>
      </c>
      <c r="E510" s="38" t="n">
        <v>1928640</v>
      </c>
      <c r="F510" s="39" t="n">
        <v>20500</v>
      </c>
    </row>
    <row r="511" customFormat="false" ht="15" hidden="false" customHeight="false" outlineLevel="0" collapsed="false">
      <c r="A511" s="0" t="s">
        <v>656</v>
      </c>
      <c r="B511" s="0" t="s">
        <v>49</v>
      </c>
      <c r="C511" s="0" t="s">
        <v>657</v>
      </c>
      <c r="D511" s="0" t="s">
        <v>50</v>
      </c>
      <c r="E511" s="38" t="n">
        <v>1928640</v>
      </c>
      <c r="F511" s="39" t="n">
        <v>20500</v>
      </c>
    </row>
    <row r="512" customFormat="false" ht="15" hidden="false" customHeight="false" outlineLevel="0" collapsed="false">
      <c r="A512" s="0" t="s">
        <v>658</v>
      </c>
      <c r="B512" s="0" t="s">
        <v>46</v>
      </c>
      <c r="C512" s="0" t="s">
        <v>659</v>
      </c>
      <c r="D512" s="0" t="s">
        <v>48</v>
      </c>
      <c r="E512" s="38" t="n">
        <v>31836261.6</v>
      </c>
      <c r="F512" s="39" t="n">
        <v>141570</v>
      </c>
    </row>
    <row r="513" customFormat="false" ht="15" hidden="false" customHeight="false" outlineLevel="0" collapsed="false">
      <c r="A513" s="0" t="s">
        <v>660</v>
      </c>
      <c r="B513" s="0" t="s">
        <v>46</v>
      </c>
      <c r="C513" s="0" t="s">
        <v>661</v>
      </c>
      <c r="D513" s="0" t="s">
        <v>48</v>
      </c>
      <c r="E513" s="38" t="n">
        <v>1492042.75</v>
      </c>
      <c r="F513" s="39" t="n">
        <v>93545</v>
      </c>
    </row>
    <row r="514" customFormat="false" ht="15" hidden="false" customHeight="false" outlineLevel="0" collapsed="false">
      <c r="A514" s="0" t="s">
        <v>662</v>
      </c>
      <c r="B514" s="0" t="s">
        <v>49</v>
      </c>
      <c r="C514" s="0" t="s">
        <v>663</v>
      </c>
      <c r="D514" s="0" t="s">
        <v>53</v>
      </c>
      <c r="E514" s="38" t="n">
        <v>2384690</v>
      </c>
      <c r="F514" s="39" t="n">
        <v>15400</v>
      </c>
    </row>
    <row r="515" customFormat="false" ht="15" hidden="false" customHeight="false" outlineLevel="0" collapsed="false">
      <c r="A515" s="0" t="s">
        <v>662</v>
      </c>
      <c r="B515" s="0" t="s">
        <v>49</v>
      </c>
      <c r="C515" s="0" t="s">
        <v>663</v>
      </c>
      <c r="D515" s="0" t="s">
        <v>50</v>
      </c>
      <c r="E515" s="38" t="n">
        <v>2384690</v>
      </c>
      <c r="F515" s="39" t="n">
        <v>15400</v>
      </c>
    </row>
    <row r="516" customFormat="false" ht="15" hidden="false" customHeight="false" outlineLevel="0" collapsed="false">
      <c r="A516" s="0" t="s">
        <v>664</v>
      </c>
      <c r="B516" s="0" t="s">
        <v>46</v>
      </c>
      <c r="C516" s="0" t="s">
        <v>665</v>
      </c>
      <c r="D516" s="0" t="s">
        <v>48</v>
      </c>
      <c r="E516" s="38" t="n">
        <v>398.71</v>
      </c>
      <c r="F516" s="39" t="n">
        <v>1</v>
      </c>
    </row>
    <row r="517" customFormat="false" ht="15" hidden="false" customHeight="false" outlineLevel="0" collapsed="false">
      <c r="A517" s="0" t="s">
        <v>664</v>
      </c>
      <c r="B517" s="0" t="s">
        <v>49</v>
      </c>
      <c r="C517" s="0" t="s">
        <v>665</v>
      </c>
      <c r="D517" s="0" t="s">
        <v>53</v>
      </c>
      <c r="E517" s="38" t="n">
        <v>438581</v>
      </c>
      <c r="F517" s="39" t="n">
        <v>1100</v>
      </c>
    </row>
    <row r="518" customFormat="false" ht="15" hidden="false" customHeight="false" outlineLevel="0" collapsed="false">
      <c r="A518" s="0" t="s">
        <v>664</v>
      </c>
      <c r="B518" s="0" t="s">
        <v>49</v>
      </c>
      <c r="C518" s="0" t="s">
        <v>665</v>
      </c>
      <c r="D518" s="0" t="s">
        <v>50</v>
      </c>
      <c r="E518" s="38" t="n">
        <v>438581</v>
      </c>
      <c r="F518" s="39" t="n">
        <v>1100</v>
      </c>
    </row>
    <row r="519" customFormat="false" ht="15" hidden="false" customHeight="false" outlineLevel="0" collapsed="false">
      <c r="A519" s="0" t="s">
        <v>666</v>
      </c>
      <c r="B519" s="0" t="s">
        <v>46</v>
      </c>
      <c r="C519" s="0" t="s">
        <v>667</v>
      </c>
      <c r="D519" s="0" t="s">
        <v>48</v>
      </c>
      <c r="E519" s="38" t="n">
        <v>377249.04</v>
      </c>
      <c r="F519" s="39" t="n">
        <v>4284</v>
      </c>
    </row>
    <row r="520" customFormat="false" ht="15" hidden="false" customHeight="false" outlineLevel="0" collapsed="false">
      <c r="A520" s="0" t="s">
        <v>668</v>
      </c>
      <c r="B520" s="0" t="s">
        <v>49</v>
      </c>
      <c r="C520" s="0" t="s">
        <v>669</v>
      </c>
      <c r="D520" s="0" t="s">
        <v>53</v>
      </c>
      <c r="E520" s="38" t="n">
        <v>3634192</v>
      </c>
      <c r="F520" s="39" t="n">
        <v>24800</v>
      </c>
    </row>
    <row r="521" customFormat="false" ht="15" hidden="false" customHeight="false" outlineLevel="0" collapsed="false">
      <c r="A521" s="0" t="s">
        <v>668</v>
      </c>
      <c r="B521" s="0" t="s">
        <v>49</v>
      </c>
      <c r="C521" s="0" t="s">
        <v>669</v>
      </c>
      <c r="D521" s="0" t="s">
        <v>50</v>
      </c>
      <c r="E521" s="38" t="n">
        <v>3634192</v>
      </c>
      <c r="F521" s="39" t="n">
        <v>24800</v>
      </c>
    </row>
    <row r="522" customFormat="false" ht="15" hidden="false" customHeight="false" outlineLevel="0" collapsed="false">
      <c r="A522" s="0" t="s">
        <v>670</v>
      </c>
      <c r="B522" s="0" t="s">
        <v>46</v>
      </c>
      <c r="C522" s="0" t="s">
        <v>671</v>
      </c>
      <c r="D522" s="0" t="s">
        <v>48</v>
      </c>
      <c r="E522" s="38" t="n">
        <v>2867.04</v>
      </c>
      <c r="F522" s="39" t="n">
        <v>18</v>
      </c>
    </row>
    <row r="523" customFormat="false" ht="15" hidden="false" customHeight="false" outlineLevel="0" collapsed="false">
      <c r="A523" s="0" t="s">
        <v>670</v>
      </c>
      <c r="B523" s="0" t="s">
        <v>49</v>
      </c>
      <c r="C523" s="0" t="s">
        <v>671</v>
      </c>
      <c r="D523" s="0" t="s">
        <v>53</v>
      </c>
      <c r="E523" s="38" t="n">
        <v>1799864</v>
      </c>
      <c r="F523" s="39" t="n">
        <v>11300</v>
      </c>
    </row>
    <row r="524" customFormat="false" ht="15" hidden="false" customHeight="false" outlineLevel="0" collapsed="false">
      <c r="A524" s="0" t="s">
        <v>670</v>
      </c>
      <c r="B524" s="0" t="s">
        <v>49</v>
      </c>
      <c r="C524" s="0" t="s">
        <v>671</v>
      </c>
      <c r="D524" s="0" t="s">
        <v>50</v>
      </c>
      <c r="E524" s="38" t="n">
        <v>1799864</v>
      </c>
      <c r="F524" s="39" t="n">
        <v>11300</v>
      </c>
    </row>
    <row r="525" customFormat="false" ht="15" hidden="false" customHeight="false" outlineLevel="0" collapsed="false">
      <c r="A525" s="0" t="s">
        <v>672</v>
      </c>
      <c r="B525" s="0" t="s">
        <v>49</v>
      </c>
      <c r="C525" s="0" t="s">
        <v>673</v>
      </c>
      <c r="D525" s="0" t="s">
        <v>53</v>
      </c>
      <c r="E525" s="38" t="n">
        <v>93310</v>
      </c>
      <c r="F525" s="39" t="n">
        <v>700</v>
      </c>
    </row>
    <row r="526" customFormat="false" ht="15" hidden="false" customHeight="false" outlineLevel="0" collapsed="false">
      <c r="A526" s="0" t="s">
        <v>672</v>
      </c>
      <c r="B526" s="0" t="s">
        <v>49</v>
      </c>
      <c r="C526" s="0" t="s">
        <v>673</v>
      </c>
      <c r="D526" s="0" t="s">
        <v>50</v>
      </c>
      <c r="E526" s="38" t="n">
        <v>93310</v>
      </c>
      <c r="F526" s="39" t="n">
        <v>700</v>
      </c>
    </row>
    <row r="527" customFormat="false" ht="15" hidden="false" customHeight="false" outlineLevel="0" collapsed="false">
      <c r="A527" s="0" t="s">
        <v>674</v>
      </c>
      <c r="B527" s="0" t="s">
        <v>67</v>
      </c>
      <c r="C527" s="0" t="s">
        <v>675</v>
      </c>
      <c r="D527" s="0" t="s">
        <v>48</v>
      </c>
      <c r="E527" s="38" t="n">
        <v>28866000</v>
      </c>
      <c r="F527" s="39" t="n">
        <v>25500000</v>
      </c>
    </row>
    <row r="528" customFormat="false" ht="15" hidden="false" customHeight="false" outlineLevel="0" collapsed="false">
      <c r="A528" s="0" t="s">
        <v>676</v>
      </c>
      <c r="B528" s="0" t="s">
        <v>46</v>
      </c>
      <c r="C528" s="0" t="s">
        <v>677</v>
      </c>
      <c r="D528" s="0" t="s">
        <v>48</v>
      </c>
      <c r="E528" s="38" t="n">
        <v>1311733.58</v>
      </c>
      <c r="F528" s="39" t="n">
        <v>57206</v>
      </c>
    </row>
    <row r="529" customFormat="false" ht="15" hidden="false" customHeight="false" outlineLevel="0" collapsed="false">
      <c r="A529" s="0" t="s">
        <v>678</v>
      </c>
      <c r="B529" s="0" t="s">
        <v>67</v>
      </c>
      <c r="C529" s="0" t="s">
        <v>679</v>
      </c>
      <c r="D529" s="0" t="s">
        <v>48</v>
      </c>
      <c r="E529" s="38" t="n">
        <v>7558967.6</v>
      </c>
      <c r="F529" s="39" t="n">
        <v>8227000</v>
      </c>
    </row>
    <row r="530" customFormat="false" ht="15" hidden="false" customHeight="false" outlineLevel="0" collapsed="false">
      <c r="A530" s="0" t="s">
        <v>680</v>
      </c>
      <c r="B530" s="0" t="s">
        <v>49</v>
      </c>
      <c r="C530" s="0" t="s">
        <v>681</v>
      </c>
      <c r="D530" s="0" t="s">
        <v>53</v>
      </c>
      <c r="E530" s="38" t="n">
        <v>2043500</v>
      </c>
      <c r="F530" s="39" t="n">
        <v>6700</v>
      </c>
    </row>
    <row r="531" customFormat="false" ht="15" hidden="false" customHeight="false" outlineLevel="0" collapsed="false">
      <c r="A531" s="0" t="s">
        <v>680</v>
      </c>
      <c r="B531" s="0" t="s">
        <v>49</v>
      </c>
      <c r="C531" s="0" t="s">
        <v>681</v>
      </c>
      <c r="D531" s="0" t="s">
        <v>50</v>
      </c>
      <c r="E531" s="38" t="n">
        <v>2043500</v>
      </c>
      <c r="F531" s="39" t="n">
        <v>6700</v>
      </c>
    </row>
    <row r="532" customFormat="false" ht="15" hidden="false" customHeight="false" outlineLevel="0" collapsed="false">
      <c r="A532" s="0" t="s">
        <v>682</v>
      </c>
      <c r="B532" s="0" t="s">
        <v>49</v>
      </c>
      <c r="C532" s="0" t="s">
        <v>683</v>
      </c>
      <c r="D532" s="0" t="s">
        <v>53</v>
      </c>
      <c r="E532" s="38" t="n">
        <v>495456</v>
      </c>
      <c r="F532" s="39" t="n">
        <v>4800</v>
      </c>
    </row>
    <row r="533" customFormat="false" ht="15" hidden="false" customHeight="false" outlineLevel="0" collapsed="false">
      <c r="A533" s="0" t="s">
        <v>682</v>
      </c>
      <c r="B533" s="0" t="s">
        <v>49</v>
      </c>
      <c r="C533" s="0" t="s">
        <v>683</v>
      </c>
      <c r="D533" s="0" t="s">
        <v>50</v>
      </c>
      <c r="E533" s="38" t="n">
        <v>495456</v>
      </c>
      <c r="F533" s="39" t="n">
        <v>4800</v>
      </c>
    </row>
    <row r="534" customFormat="false" ht="15" hidden="false" customHeight="false" outlineLevel="0" collapsed="false">
      <c r="A534" s="0" t="s">
        <v>684</v>
      </c>
      <c r="B534" s="0" t="s">
        <v>49</v>
      </c>
      <c r="C534" s="0" t="s">
        <v>685</v>
      </c>
      <c r="D534" s="0" t="s">
        <v>53</v>
      </c>
      <c r="E534" s="38" t="n">
        <v>5018661</v>
      </c>
      <c r="F534" s="39" t="n">
        <v>34700</v>
      </c>
    </row>
    <row r="535" customFormat="false" ht="15" hidden="false" customHeight="false" outlineLevel="0" collapsed="false">
      <c r="A535" s="0" t="s">
        <v>684</v>
      </c>
      <c r="B535" s="0" t="s">
        <v>49</v>
      </c>
      <c r="C535" s="0" t="s">
        <v>685</v>
      </c>
      <c r="D535" s="0" t="s">
        <v>50</v>
      </c>
      <c r="E535" s="38" t="n">
        <v>5018661</v>
      </c>
      <c r="F535" s="39" t="n">
        <v>34700</v>
      </c>
    </row>
    <row r="536" customFormat="false" ht="15" hidden="false" customHeight="false" outlineLevel="0" collapsed="false">
      <c r="A536" s="0" t="s">
        <v>686</v>
      </c>
      <c r="B536" s="0" t="s">
        <v>46</v>
      </c>
      <c r="C536" s="0" t="s">
        <v>687</v>
      </c>
      <c r="D536" s="0" t="s">
        <v>48</v>
      </c>
      <c r="E536" s="38" t="n">
        <v>725233</v>
      </c>
      <c r="F536" s="39" t="n">
        <v>23825</v>
      </c>
    </row>
    <row r="537" customFormat="false" ht="15" hidden="false" customHeight="false" outlineLevel="0" collapsed="false">
      <c r="A537" s="0" t="s">
        <v>686</v>
      </c>
      <c r="B537" s="0" t="s">
        <v>49</v>
      </c>
      <c r="C537" s="0" t="s">
        <v>687</v>
      </c>
      <c r="D537" s="0" t="s">
        <v>53</v>
      </c>
      <c r="E537" s="38" t="n">
        <v>1506780</v>
      </c>
      <c r="F537" s="39" t="n">
        <v>49500</v>
      </c>
    </row>
    <row r="538" customFormat="false" ht="15" hidden="false" customHeight="false" outlineLevel="0" collapsed="false">
      <c r="A538" s="0" t="s">
        <v>686</v>
      </c>
      <c r="B538" s="0" t="s">
        <v>49</v>
      </c>
      <c r="C538" s="0" t="s">
        <v>687</v>
      </c>
      <c r="D538" s="0" t="s">
        <v>50</v>
      </c>
      <c r="E538" s="38" t="n">
        <v>1506780</v>
      </c>
      <c r="F538" s="39" t="n">
        <v>49500</v>
      </c>
    </row>
    <row r="539" customFormat="false" ht="15" hidden="false" customHeight="false" outlineLevel="0" collapsed="false">
      <c r="A539" s="0" t="s">
        <v>688</v>
      </c>
      <c r="B539" s="0" t="s">
        <v>67</v>
      </c>
      <c r="C539" s="0" t="s">
        <v>689</v>
      </c>
      <c r="D539" s="0" t="s">
        <v>48</v>
      </c>
      <c r="E539" s="38" t="n">
        <v>43535700</v>
      </c>
      <c r="F539" s="39" t="n">
        <v>39000000</v>
      </c>
    </row>
    <row r="540" customFormat="false" ht="15" hidden="false" customHeight="false" outlineLevel="0" collapsed="false">
      <c r="A540" s="0" t="s">
        <v>690</v>
      </c>
      <c r="B540" s="0" t="s">
        <v>49</v>
      </c>
      <c r="C540" s="0" t="s">
        <v>691</v>
      </c>
      <c r="D540" s="0" t="s">
        <v>53</v>
      </c>
      <c r="E540" s="38" t="n">
        <v>351316</v>
      </c>
      <c r="F540" s="39" t="n">
        <v>400</v>
      </c>
    </row>
    <row r="541" customFormat="false" ht="15" hidden="false" customHeight="false" outlineLevel="0" collapsed="false">
      <c r="A541" s="0" t="s">
        <v>690</v>
      </c>
      <c r="B541" s="0" t="s">
        <v>49</v>
      </c>
      <c r="C541" s="0" t="s">
        <v>691</v>
      </c>
      <c r="D541" s="0" t="s">
        <v>50</v>
      </c>
      <c r="E541" s="38" t="n">
        <v>351316</v>
      </c>
      <c r="F541" s="39" t="n">
        <v>400</v>
      </c>
    </row>
    <row r="542" customFormat="false" ht="15" hidden="false" customHeight="false" outlineLevel="0" collapsed="false">
      <c r="A542" s="0" t="s">
        <v>692</v>
      </c>
      <c r="B542" s="0" t="s">
        <v>67</v>
      </c>
      <c r="C542" s="0" t="s">
        <v>693</v>
      </c>
      <c r="D542" s="0" t="s">
        <v>48</v>
      </c>
      <c r="E542" s="38" t="n">
        <v>18496500</v>
      </c>
      <c r="F542" s="39" t="n">
        <v>16500000</v>
      </c>
    </row>
    <row r="543" customFormat="false" ht="15" hidden="false" customHeight="false" outlineLevel="0" collapsed="false">
      <c r="A543" s="0" t="s">
        <v>694</v>
      </c>
      <c r="B543" s="0" t="s">
        <v>46</v>
      </c>
      <c r="C543" s="0" t="s">
        <v>695</v>
      </c>
      <c r="D543" s="0" t="s">
        <v>48</v>
      </c>
      <c r="E543" s="38" t="n">
        <v>7768099.5</v>
      </c>
      <c r="F543" s="39" t="n">
        <v>228810</v>
      </c>
    </row>
    <row r="544" customFormat="false" ht="15" hidden="false" customHeight="false" outlineLevel="0" collapsed="false">
      <c r="A544" s="0" t="s">
        <v>696</v>
      </c>
      <c r="B544" s="0" t="s">
        <v>67</v>
      </c>
      <c r="C544" s="0" t="s">
        <v>697</v>
      </c>
      <c r="D544" s="0" t="s">
        <v>48</v>
      </c>
      <c r="E544" s="38" t="n">
        <v>38043000</v>
      </c>
      <c r="F544" s="39" t="n">
        <v>27000000</v>
      </c>
    </row>
    <row r="545" customFormat="false" ht="15" hidden="false" customHeight="false" outlineLevel="0" collapsed="false">
      <c r="A545" s="0" t="s">
        <v>696</v>
      </c>
      <c r="B545" s="0" t="s">
        <v>67</v>
      </c>
      <c r="C545" s="0" t="s">
        <v>698</v>
      </c>
      <c r="D545" s="0" t="s">
        <v>48</v>
      </c>
      <c r="E545" s="38" t="n">
        <v>35143350</v>
      </c>
      <c r="F545" s="39" t="n">
        <v>28500000</v>
      </c>
    </row>
    <row r="546" customFormat="false" ht="15" hidden="false" customHeight="false" outlineLevel="0" collapsed="false">
      <c r="A546" s="0" t="s">
        <v>699</v>
      </c>
      <c r="B546" s="0" t="s">
        <v>46</v>
      </c>
      <c r="C546" s="0" t="s">
        <v>700</v>
      </c>
      <c r="D546" s="0" t="s">
        <v>48</v>
      </c>
      <c r="E546" s="38" t="n">
        <v>1503256.16</v>
      </c>
      <c r="F546" s="39" t="n">
        <v>17098</v>
      </c>
    </row>
    <row r="547" customFormat="false" ht="15" hidden="false" customHeight="false" outlineLevel="0" collapsed="false">
      <c r="A547" s="0" t="s">
        <v>701</v>
      </c>
      <c r="B547" s="0" t="s">
        <v>46</v>
      </c>
      <c r="C547" s="0" t="s">
        <v>702</v>
      </c>
      <c r="D547" s="0" t="s">
        <v>48</v>
      </c>
      <c r="E547" s="38" t="n">
        <v>16156533.6</v>
      </c>
      <c r="F547" s="39" t="n">
        <v>353380</v>
      </c>
    </row>
    <row r="548" customFormat="false" ht="15" hidden="false" customHeight="false" outlineLevel="0" collapsed="false">
      <c r="A548" s="0" t="s">
        <v>703</v>
      </c>
      <c r="B548" s="0" t="s">
        <v>49</v>
      </c>
      <c r="C548" s="0" t="s">
        <v>704</v>
      </c>
      <c r="D548" s="0" t="s">
        <v>53</v>
      </c>
      <c r="E548" s="38" t="n">
        <v>539721</v>
      </c>
      <c r="F548" s="39" t="n">
        <v>3900</v>
      </c>
    </row>
    <row r="549" customFormat="false" ht="15" hidden="false" customHeight="false" outlineLevel="0" collapsed="false">
      <c r="A549" s="0" t="s">
        <v>703</v>
      </c>
      <c r="B549" s="0" t="s">
        <v>49</v>
      </c>
      <c r="C549" s="0" t="s">
        <v>704</v>
      </c>
      <c r="D549" s="0" t="s">
        <v>50</v>
      </c>
      <c r="E549" s="38" t="n">
        <v>539721</v>
      </c>
      <c r="F549" s="39" t="n">
        <v>3900</v>
      </c>
    </row>
    <row r="550" customFormat="false" ht="15" hidden="false" customHeight="false" outlineLevel="0" collapsed="false">
      <c r="A550" s="0" t="s">
        <v>705</v>
      </c>
      <c r="B550" s="0" t="s">
        <v>49</v>
      </c>
      <c r="C550" s="0" t="s">
        <v>706</v>
      </c>
      <c r="D550" s="0" t="s">
        <v>53</v>
      </c>
      <c r="E550" s="38" t="n">
        <v>543858</v>
      </c>
      <c r="F550" s="39" t="n">
        <v>4200</v>
      </c>
    </row>
    <row r="551" customFormat="false" ht="15" hidden="false" customHeight="false" outlineLevel="0" collapsed="false">
      <c r="A551" s="0" t="s">
        <v>705</v>
      </c>
      <c r="B551" s="0" t="s">
        <v>49</v>
      </c>
      <c r="C551" s="0" t="s">
        <v>706</v>
      </c>
      <c r="D551" s="0" t="s">
        <v>50</v>
      </c>
      <c r="E551" s="38" t="n">
        <v>543858</v>
      </c>
      <c r="F551" s="39" t="n">
        <v>4200</v>
      </c>
    </row>
    <row r="552" customFormat="false" ht="15" hidden="false" customHeight="false" outlineLevel="0" collapsed="false">
      <c r="A552" s="0" t="s">
        <v>707</v>
      </c>
      <c r="B552" s="0" t="s">
        <v>49</v>
      </c>
      <c r="C552" s="0" t="s">
        <v>708</v>
      </c>
      <c r="D552" s="0" t="s">
        <v>53</v>
      </c>
      <c r="E552" s="38" t="n">
        <v>109382</v>
      </c>
      <c r="F552" s="39" t="n">
        <v>1300</v>
      </c>
    </row>
    <row r="553" customFormat="false" ht="15" hidden="false" customHeight="false" outlineLevel="0" collapsed="false">
      <c r="A553" s="0" t="s">
        <v>707</v>
      </c>
      <c r="B553" s="0" t="s">
        <v>49</v>
      </c>
      <c r="C553" s="0" t="s">
        <v>708</v>
      </c>
      <c r="D553" s="0" t="s">
        <v>50</v>
      </c>
      <c r="E553" s="38" t="n">
        <v>109382</v>
      </c>
      <c r="F553" s="39" t="n">
        <v>1300</v>
      </c>
    </row>
    <row r="554" customFormat="false" ht="15" hidden="false" customHeight="false" outlineLevel="0" collapsed="false">
      <c r="A554" s="0" t="s">
        <v>709</v>
      </c>
      <c r="B554" s="0" t="s">
        <v>46</v>
      </c>
      <c r="C554" s="0" t="s">
        <v>710</v>
      </c>
      <c r="D554" s="0" t="s">
        <v>48</v>
      </c>
      <c r="E554" s="38" t="n">
        <v>728179.2</v>
      </c>
      <c r="F554" s="39" t="n">
        <v>18060</v>
      </c>
    </row>
    <row r="555" customFormat="false" ht="15" hidden="false" customHeight="false" outlineLevel="0" collapsed="false">
      <c r="A555" s="0" t="s">
        <v>711</v>
      </c>
      <c r="B555" s="0" t="s">
        <v>49</v>
      </c>
      <c r="C555" s="0" t="s">
        <v>712</v>
      </c>
      <c r="D555" s="0" t="s">
        <v>53</v>
      </c>
      <c r="E555" s="38" t="n">
        <v>1850184</v>
      </c>
      <c r="F555" s="39" t="n">
        <v>4200</v>
      </c>
    </row>
    <row r="556" customFormat="false" ht="15" hidden="false" customHeight="false" outlineLevel="0" collapsed="false">
      <c r="A556" s="0" t="s">
        <v>711</v>
      </c>
      <c r="B556" s="0" t="s">
        <v>49</v>
      </c>
      <c r="C556" s="0" t="s">
        <v>712</v>
      </c>
      <c r="D556" s="0" t="s">
        <v>50</v>
      </c>
      <c r="E556" s="38" t="n">
        <v>1850184</v>
      </c>
      <c r="F556" s="39" t="n">
        <v>4200</v>
      </c>
    </row>
    <row r="557" customFormat="false" ht="15" hidden="false" customHeight="false" outlineLevel="0" collapsed="false">
      <c r="A557" s="0" t="s">
        <v>713</v>
      </c>
      <c r="B557" s="0" t="s">
        <v>49</v>
      </c>
      <c r="C557" s="0" t="s">
        <v>714</v>
      </c>
      <c r="D557" s="0" t="s">
        <v>53</v>
      </c>
      <c r="E557" s="38" t="n">
        <v>3973414</v>
      </c>
      <c r="F557" s="39" t="n">
        <v>15100</v>
      </c>
    </row>
    <row r="558" customFormat="false" ht="15" hidden="false" customHeight="false" outlineLevel="0" collapsed="false">
      <c r="A558" s="0" t="s">
        <v>713</v>
      </c>
      <c r="B558" s="0" t="s">
        <v>49</v>
      </c>
      <c r="C558" s="0" t="s">
        <v>714</v>
      </c>
      <c r="D558" s="0" t="s">
        <v>50</v>
      </c>
      <c r="E558" s="38" t="n">
        <v>3973414</v>
      </c>
      <c r="F558" s="39" t="n">
        <v>15100</v>
      </c>
    </row>
    <row r="559" customFormat="false" ht="15" hidden="false" customHeight="false" outlineLevel="0" collapsed="false">
      <c r="A559" s="0" t="s">
        <v>715</v>
      </c>
      <c r="B559" s="0" t="s">
        <v>46</v>
      </c>
      <c r="C559" s="0" t="s">
        <v>716</v>
      </c>
      <c r="D559" s="0" t="s">
        <v>48</v>
      </c>
      <c r="E559" s="38" t="n">
        <v>998395.8</v>
      </c>
      <c r="F559" s="39" t="n">
        <v>29910</v>
      </c>
    </row>
    <row r="560" customFormat="false" ht="15" hidden="false" customHeight="false" outlineLevel="0" collapsed="false">
      <c r="A560" s="0" t="s">
        <v>717</v>
      </c>
      <c r="B560" s="0" t="s">
        <v>67</v>
      </c>
      <c r="C560" s="0" t="s">
        <v>718</v>
      </c>
      <c r="D560" s="0" t="s">
        <v>48</v>
      </c>
      <c r="E560" s="38" t="n">
        <v>43726700</v>
      </c>
      <c r="F560" s="39" t="n">
        <v>43000000</v>
      </c>
    </row>
    <row r="561" customFormat="false" ht="15" hidden="false" customHeight="false" outlineLevel="0" collapsed="false">
      <c r="A561" s="0" t="s">
        <v>719</v>
      </c>
      <c r="B561" s="0" t="s">
        <v>46</v>
      </c>
      <c r="C561" s="0" t="s">
        <v>720</v>
      </c>
      <c r="D561" s="0" t="s">
        <v>48</v>
      </c>
      <c r="E561" s="38" t="n">
        <v>82639.52</v>
      </c>
      <c r="F561" s="39" t="n">
        <v>1588</v>
      </c>
    </row>
    <row r="562" customFormat="false" ht="15" hidden="false" customHeight="false" outlineLevel="0" collapsed="false">
      <c r="A562" s="0" t="s">
        <v>719</v>
      </c>
      <c r="B562" s="0" t="s">
        <v>49</v>
      </c>
      <c r="C562" s="0" t="s">
        <v>720</v>
      </c>
      <c r="D562" s="0" t="s">
        <v>53</v>
      </c>
      <c r="E562" s="38" t="n">
        <v>8878024</v>
      </c>
      <c r="F562" s="39" t="n">
        <v>170600</v>
      </c>
    </row>
    <row r="563" customFormat="false" ht="15" hidden="false" customHeight="false" outlineLevel="0" collapsed="false">
      <c r="A563" s="0" t="s">
        <v>719</v>
      </c>
      <c r="B563" s="0" t="s">
        <v>49</v>
      </c>
      <c r="C563" s="0" t="s">
        <v>720</v>
      </c>
      <c r="D563" s="0" t="s">
        <v>50</v>
      </c>
      <c r="E563" s="38" t="n">
        <v>3726064</v>
      </c>
      <c r="F563" s="39" t="n">
        <v>71600</v>
      </c>
    </row>
    <row r="564" customFormat="false" ht="15" hidden="false" customHeight="false" outlineLevel="0" collapsed="false">
      <c r="A564" s="0" t="s">
        <v>721</v>
      </c>
      <c r="B564" s="0" t="s">
        <v>67</v>
      </c>
      <c r="C564" s="0" t="s">
        <v>722</v>
      </c>
      <c r="D564" s="0" t="s">
        <v>48</v>
      </c>
      <c r="E564" s="38" t="n">
        <v>23103000</v>
      </c>
      <c r="F564" s="39" t="n">
        <v>18000000</v>
      </c>
    </row>
    <row r="565" customFormat="false" ht="15" hidden="false" customHeight="false" outlineLevel="0" collapsed="false">
      <c r="A565" s="0" t="s">
        <v>723</v>
      </c>
      <c r="B565" s="0" t="s">
        <v>46</v>
      </c>
      <c r="C565" s="0" t="s">
        <v>724</v>
      </c>
      <c r="D565" s="0" t="s">
        <v>48</v>
      </c>
      <c r="E565" s="38" t="n">
        <v>5238296</v>
      </c>
      <c r="F565" s="39" t="n">
        <v>190900</v>
      </c>
    </row>
    <row r="566" customFormat="false" ht="15" hidden="false" customHeight="false" outlineLevel="0" collapsed="false">
      <c r="A566" s="0" t="s">
        <v>725</v>
      </c>
      <c r="B566" s="0" t="s">
        <v>49</v>
      </c>
      <c r="C566" s="0" t="s">
        <v>726</v>
      </c>
      <c r="D566" s="0" t="s">
        <v>53</v>
      </c>
      <c r="E566" s="38" t="n">
        <v>8831125</v>
      </c>
      <c r="F566" s="39" t="n">
        <v>12500</v>
      </c>
    </row>
    <row r="567" customFormat="false" ht="15" hidden="false" customHeight="false" outlineLevel="0" collapsed="false">
      <c r="A567" s="0" t="s">
        <v>725</v>
      </c>
      <c r="B567" s="0" t="s">
        <v>49</v>
      </c>
      <c r="C567" s="0" t="s">
        <v>726</v>
      </c>
      <c r="D567" s="0" t="s">
        <v>50</v>
      </c>
      <c r="E567" s="38" t="n">
        <v>8831125</v>
      </c>
      <c r="F567" s="39" t="n">
        <v>12500</v>
      </c>
    </row>
    <row r="568" customFormat="false" ht="15" hidden="false" customHeight="false" outlineLevel="0" collapsed="false">
      <c r="A568" s="0" t="s">
        <v>727</v>
      </c>
      <c r="B568" s="0" t="s">
        <v>67</v>
      </c>
      <c r="C568" s="0" t="s">
        <v>728</v>
      </c>
      <c r="D568" s="0" t="s">
        <v>48</v>
      </c>
      <c r="E568" s="38" t="n">
        <v>12240000</v>
      </c>
      <c r="F568" s="39" t="n">
        <v>15000000</v>
      </c>
    </row>
    <row r="569" customFormat="false" ht="15" hidden="false" customHeight="false" outlineLevel="0" collapsed="false">
      <c r="A569" s="0" t="s">
        <v>729</v>
      </c>
      <c r="B569" s="0" t="s">
        <v>67</v>
      </c>
      <c r="C569" s="0" t="s">
        <v>730</v>
      </c>
      <c r="D569" s="0" t="s">
        <v>48</v>
      </c>
      <c r="E569" s="38" t="n">
        <v>39140000</v>
      </c>
      <c r="F569" s="39" t="n">
        <v>40000000</v>
      </c>
    </row>
    <row r="570" customFormat="false" ht="15" hidden="false" customHeight="false" outlineLevel="0" collapsed="false">
      <c r="A570" s="0" t="s">
        <v>731</v>
      </c>
      <c r="B570" s="0" t="s">
        <v>46</v>
      </c>
      <c r="C570" s="0" t="s">
        <v>732</v>
      </c>
      <c r="D570" s="0" t="s">
        <v>48</v>
      </c>
      <c r="E570" s="38" t="n">
        <v>4135035.56</v>
      </c>
      <c r="F570" s="39" t="n">
        <v>755948</v>
      </c>
    </row>
    <row r="571" customFormat="false" ht="15" hidden="false" customHeight="false" outlineLevel="0" collapsed="false">
      <c r="A571" s="0" t="s">
        <v>733</v>
      </c>
      <c r="B571" s="0" t="s">
        <v>46</v>
      </c>
      <c r="C571" s="0" t="s">
        <v>734</v>
      </c>
      <c r="D571" s="0" t="s">
        <v>48</v>
      </c>
      <c r="E571" s="38" t="n">
        <v>230500.16</v>
      </c>
      <c r="F571" s="39" t="n">
        <v>5953</v>
      </c>
    </row>
    <row r="572" customFormat="false" ht="15" hidden="false" customHeight="false" outlineLevel="0" collapsed="false">
      <c r="A572" s="0" t="s">
        <v>735</v>
      </c>
      <c r="B572" s="0" t="s">
        <v>67</v>
      </c>
      <c r="C572" s="0" t="s">
        <v>736</v>
      </c>
      <c r="D572" s="0" t="s">
        <v>48</v>
      </c>
      <c r="E572" s="38" t="n">
        <v>14166000</v>
      </c>
      <c r="F572" s="39" t="n">
        <v>18000000</v>
      </c>
    </row>
    <row r="573" customFormat="false" ht="15" hidden="false" customHeight="false" outlineLevel="0" collapsed="false">
      <c r="A573" s="0" t="s">
        <v>737</v>
      </c>
      <c r="B573" s="0" t="s">
        <v>49</v>
      </c>
      <c r="C573" s="0" t="s">
        <v>738</v>
      </c>
      <c r="D573" s="0" t="s">
        <v>53</v>
      </c>
      <c r="E573" s="38" t="n">
        <v>1532300</v>
      </c>
      <c r="F573" s="39" t="n">
        <v>7700</v>
      </c>
    </row>
    <row r="574" customFormat="false" ht="15" hidden="false" customHeight="false" outlineLevel="0" collapsed="false">
      <c r="A574" s="0" t="s">
        <v>737</v>
      </c>
      <c r="B574" s="0" t="s">
        <v>49</v>
      </c>
      <c r="C574" s="0" t="s">
        <v>738</v>
      </c>
      <c r="D574" s="0" t="s">
        <v>50</v>
      </c>
      <c r="E574" s="38" t="n">
        <v>1532300</v>
      </c>
      <c r="F574" s="39" t="n">
        <v>7700</v>
      </c>
    </row>
    <row r="575" customFormat="false" ht="15" hidden="false" customHeight="false" outlineLevel="0" collapsed="false">
      <c r="A575" s="0" t="s">
        <v>739</v>
      </c>
      <c r="B575" s="0" t="s">
        <v>67</v>
      </c>
      <c r="C575" s="0" t="s">
        <v>740</v>
      </c>
      <c r="D575" s="0" t="s">
        <v>48</v>
      </c>
      <c r="E575" s="38" t="n">
        <v>10058400</v>
      </c>
      <c r="F575" s="39" t="n">
        <v>11000000</v>
      </c>
    </row>
    <row r="576" customFormat="false" ht="15" hidden="false" customHeight="false" outlineLevel="0" collapsed="false">
      <c r="A576" s="0" t="s">
        <v>739</v>
      </c>
      <c r="B576" s="0" t="s">
        <v>46</v>
      </c>
      <c r="C576" s="0" t="s">
        <v>741</v>
      </c>
      <c r="D576" s="0" t="s">
        <v>48</v>
      </c>
      <c r="E576" s="38" t="n">
        <v>5335.2</v>
      </c>
      <c r="F576" s="39" t="n">
        <v>57</v>
      </c>
    </row>
    <row r="577" customFormat="false" ht="15" hidden="false" customHeight="false" outlineLevel="0" collapsed="false">
      <c r="A577" s="0" t="s">
        <v>739</v>
      </c>
      <c r="B577" s="0" t="s">
        <v>49</v>
      </c>
      <c r="C577" s="0" t="s">
        <v>741</v>
      </c>
      <c r="D577" s="0" t="s">
        <v>53</v>
      </c>
      <c r="E577" s="38" t="n">
        <v>505440</v>
      </c>
      <c r="F577" s="39" t="n">
        <v>5400</v>
      </c>
    </row>
    <row r="578" customFormat="false" ht="15" hidden="false" customHeight="false" outlineLevel="0" collapsed="false">
      <c r="A578" s="0" t="s">
        <v>742</v>
      </c>
      <c r="B578" s="0" t="s">
        <v>46</v>
      </c>
      <c r="C578" s="0" t="s">
        <v>743</v>
      </c>
      <c r="D578" s="0" t="s">
        <v>48</v>
      </c>
      <c r="E578" s="38" t="n">
        <v>605729.12</v>
      </c>
      <c r="F578" s="39" t="n">
        <v>20974</v>
      </c>
    </row>
    <row r="579" customFormat="false" ht="15" hidden="false" customHeight="false" outlineLevel="0" collapsed="false">
      <c r="A579" s="0" t="s">
        <v>744</v>
      </c>
      <c r="B579" s="0" t="s">
        <v>46</v>
      </c>
      <c r="C579" s="0" t="s">
        <v>745</v>
      </c>
      <c r="D579" s="0" t="s">
        <v>48</v>
      </c>
      <c r="E579" s="38" t="n">
        <v>825771.6</v>
      </c>
      <c r="F579" s="39" t="n">
        <v>126072</v>
      </c>
    </row>
    <row r="580" customFormat="false" ht="15" hidden="false" customHeight="false" outlineLevel="0" collapsed="false">
      <c r="A580" s="0" t="s">
        <v>746</v>
      </c>
      <c r="B580" s="0" t="s">
        <v>46</v>
      </c>
      <c r="C580" s="0" t="s">
        <v>747</v>
      </c>
      <c r="D580" s="0" t="s">
        <v>48</v>
      </c>
      <c r="E580" s="38" t="n">
        <v>38856592.5</v>
      </c>
      <c r="F580" s="39" t="n">
        <v>81750</v>
      </c>
    </row>
    <row r="581" customFormat="false" ht="15" hidden="false" customHeight="false" outlineLevel="0" collapsed="false">
      <c r="A581" s="0" t="s">
        <v>746</v>
      </c>
      <c r="B581" s="0" t="s">
        <v>49</v>
      </c>
      <c r="C581" s="0" t="s">
        <v>747</v>
      </c>
      <c r="D581" s="0" t="s">
        <v>50</v>
      </c>
      <c r="E581" s="38" t="n">
        <v>1901240</v>
      </c>
      <c r="F581" s="39" t="n">
        <v>4000</v>
      </c>
    </row>
    <row r="582" customFormat="false" ht="15" hidden="false" customHeight="false" outlineLevel="0" collapsed="false">
      <c r="A582" s="0" t="s">
        <v>748</v>
      </c>
      <c r="B582" s="0" t="s">
        <v>67</v>
      </c>
      <c r="C582" s="0" t="s">
        <v>749</v>
      </c>
      <c r="D582" s="0" t="s">
        <v>48</v>
      </c>
      <c r="E582" s="38" t="n">
        <v>23138000</v>
      </c>
      <c r="F582" s="39" t="n">
        <v>20000000</v>
      </c>
    </row>
    <row r="583" customFormat="false" ht="15" hidden="false" customHeight="false" outlineLevel="0" collapsed="false">
      <c r="A583" s="0" t="s">
        <v>750</v>
      </c>
      <c r="B583" s="0" t="s">
        <v>46</v>
      </c>
      <c r="C583" s="0" t="s">
        <v>751</v>
      </c>
      <c r="D583" s="0" t="s">
        <v>48</v>
      </c>
      <c r="E583" s="38" t="n">
        <v>1093518.02</v>
      </c>
      <c r="F583" s="39" t="n">
        <v>34409</v>
      </c>
    </row>
    <row r="584" customFormat="false" ht="15" hidden="false" customHeight="false" outlineLevel="0" collapsed="false">
      <c r="A584" s="0" t="s">
        <v>752</v>
      </c>
      <c r="B584" s="0" t="s">
        <v>46</v>
      </c>
      <c r="C584" s="0" t="s">
        <v>753</v>
      </c>
      <c r="D584" s="0" t="s">
        <v>48</v>
      </c>
      <c r="E584" s="38" t="n">
        <v>3071813.8</v>
      </c>
      <c r="F584" s="39" t="n">
        <v>187420</v>
      </c>
    </row>
    <row r="585" customFormat="false" ht="15" hidden="false" customHeight="false" outlineLevel="0" collapsed="false">
      <c r="A585" s="0" t="s">
        <v>754</v>
      </c>
      <c r="B585" s="0" t="s">
        <v>46</v>
      </c>
      <c r="C585" s="0" t="s">
        <v>755</v>
      </c>
      <c r="D585" s="0" t="s">
        <v>48</v>
      </c>
      <c r="E585" s="38" t="n">
        <v>8006906.6</v>
      </c>
      <c r="F585" s="39" t="n">
        <v>52556</v>
      </c>
    </row>
    <row r="586" customFormat="false" ht="15" hidden="false" customHeight="false" outlineLevel="0" collapsed="false">
      <c r="A586" s="0" t="s">
        <v>756</v>
      </c>
      <c r="B586" s="0" t="s">
        <v>67</v>
      </c>
      <c r="C586" s="0" t="s">
        <v>757</v>
      </c>
      <c r="D586" s="0" t="s">
        <v>48</v>
      </c>
      <c r="E586" s="38" t="n">
        <v>7060000</v>
      </c>
      <c r="F586" s="39" t="n">
        <v>8000000</v>
      </c>
    </row>
    <row r="587" customFormat="false" ht="15" hidden="false" customHeight="false" outlineLevel="0" collapsed="false">
      <c r="A587" s="0" t="s">
        <v>758</v>
      </c>
      <c r="B587" s="0" t="s">
        <v>46</v>
      </c>
      <c r="C587" s="0" t="s">
        <v>759</v>
      </c>
      <c r="D587" s="0" t="s">
        <v>48</v>
      </c>
      <c r="E587" s="38" t="n">
        <v>226007.54</v>
      </c>
      <c r="F587" s="39" t="n">
        <v>2354</v>
      </c>
    </row>
    <row r="588" customFormat="false" ht="15" hidden="false" customHeight="false" outlineLevel="0" collapsed="false">
      <c r="A588" s="0" t="s">
        <v>758</v>
      </c>
      <c r="B588" s="0" t="s">
        <v>49</v>
      </c>
      <c r="C588" s="0" t="s">
        <v>759</v>
      </c>
      <c r="D588" s="0" t="s">
        <v>53</v>
      </c>
      <c r="E588" s="38" t="n">
        <v>969701</v>
      </c>
      <c r="F588" s="39" t="n">
        <v>10100</v>
      </c>
    </row>
    <row r="589" customFormat="false" ht="15" hidden="false" customHeight="false" outlineLevel="0" collapsed="false">
      <c r="A589" s="0" t="s">
        <v>758</v>
      </c>
      <c r="B589" s="0" t="s">
        <v>49</v>
      </c>
      <c r="C589" s="0" t="s">
        <v>759</v>
      </c>
      <c r="D589" s="0" t="s">
        <v>50</v>
      </c>
      <c r="E589" s="38" t="n">
        <v>969701</v>
      </c>
      <c r="F589" s="39" t="n">
        <v>10100</v>
      </c>
    </row>
    <row r="590" customFormat="false" ht="15" hidden="false" customHeight="false" outlineLevel="0" collapsed="false">
      <c r="A590" s="0" t="s">
        <v>760</v>
      </c>
      <c r="B590" s="0" t="s">
        <v>67</v>
      </c>
      <c r="C590" s="0" t="s">
        <v>761</v>
      </c>
      <c r="D590" s="0" t="s">
        <v>48</v>
      </c>
      <c r="E590" s="38" t="n">
        <v>4386000</v>
      </c>
      <c r="F590" s="39" t="n">
        <v>6000000</v>
      </c>
    </row>
    <row r="591" customFormat="false" ht="15" hidden="false" customHeight="false" outlineLevel="0" collapsed="false">
      <c r="A591" s="0" t="s">
        <v>762</v>
      </c>
      <c r="B591" s="0" t="s">
        <v>46</v>
      </c>
      <c r="C591" s="0" t="s">
        <v>763</v>
      </c>
      <c r="D591" s="0" t="s">
        <v>48</v>
      </c>
      <c r="E591" s="38" t="n">
        <v>6887.58</v>
      </c>
      <c r="F591" s="39" t="n">
        <v>23</v>
      </c>
    </row>
    <row r="592" customFormat="false" ht="15" hidden="false" customHeight="false" outlineLevel="0" collapsed="false">
      <c r="A592" s="0" t="s">
        <v>762</v>
      </c>
      <c r="B592" s="0" t="s">
        <v>49</v>
      </c>
      <c r="C592" s="0" t="s">
        <v>763</v>
      </c>
      <c r="D592" s="0" t="s">
        <v>53</v>
      </c>
      <c r="E592" s="38" t="n">
        <v>119784</v>
      </c>
      <c r="F592" s="39" t="n">
        <v>400</v>
      </c>
    </row>
    <row r="593" customFormat="false" ht="15" hidden="false" customHeight="false" outlineLevel="0" collapsed="false">
      <c r="A593" s="0" t="s">
        <v>762</v>
      </c>
      <c r="B593" s="0" t="s">
        <v>49</v>
      </c>
      <c r="C593" s="0" t="s">
        <v>763</v>
      </c>
      <c r="D593" s="0" t="s">
        <v>50</v>
      </c>
      <c r="E593" s="38" t="n">
        <v>119784</v>
      </c>
      <c r="F593" s="39" t="n">
        <v>400</v>
      </c>
    </row>
    <row r="594" customFormat="false" ht="15" hidden="false" customHeight="false" outlineLevel="0" collapsed="false">
      <c r="A594" s="0" t="s">
        <v>764</v>
      </c>
      <c r="B594" s="0" t="s">
        <v>49</v>
      </c>
      <c r="C594" s="0" t="s">
        <v>765</v>
      </c>
      <c r="D594" s="0" t="s">
        <v>53</v>
      </c>
      <c r="E594" s="38" t="n">
        <v>1980072</v>
      </c>
      <c r="F594" s="39" t="n">
        <v>61800</v>
      </c>
    </row>
    <row r="595" customFormat="false" ht="15" hidden="false" customHeight="false" outlineLevel="0" collapsed="false">
      <c r="A595" s="0" t="s">
        <v>764</v>
      </c>
      <c r="B595" s="0" t="s">
        <v>49</v>
      </c>
      <c r="C595" s="0" t="s">
        <v>765</v>
      </c>
      <c r="D595" s="0" t="s">
        <v>50</v>
      </c>
      <c r="E595" s="38" t="n">
        <v>1980072</v>
      </c>
      <c r="F595" s="39" t="n">
        <v>61800</v>
      </c>
    </row>
    <row r="596" customFormat="false" ht="15" hidden="false" customHeight="false" outlineLevel="0" collapsed="false">
      <c r="A596" s="0" t="s">
        <v>766</v>
      </c>
      <c r="B596" s="0" t="s">
        <v>49</v>
      </c>
      <c r="C596" s="0" t="s">
        <v>767</v>
      </c>
      <c r="D596" s="0" t="s">
        <v>53</v>
      </c>
      <c r="E596" s="38" t="n">
        <v>926838</v>
      </c>
      <c r="F596" s="39" t="n">
        <v>1800</v>
      </c>
    </row>
    <row r="597" customFormat="false" ht="15" hidden="false" customHeight="false" outlineLevel="0" collapsed="false">
      <c r="A597" s="0" t="s">
        <v>766</v>
      </c>
      <c r="B597" s="0" t="s">
        <v>49</v>
      </c>
      <c r="C597" s="0" t="s">
        <v>767</v>
      </c>
      <c r="D597" s="0" t="s">
        <v>50</v>
      </c>
      <c r="E597" s="38" t="n">
        <v>926838</v>
      </c>
      <c r="F597" s="39" t="n">
        <v>1800</v>
      </c>
    </row>
    <row r="598" customFormat="false" ht="15" hidden="false" customHeight="false" outlineLevel="0" collapsed="false">
      <c r="A598" s="0" t="s">
        <v>768</v>
      </c>
      <c r="B598" s="0" t="s">
        <v>49</v>
      </c>
      <c r="C598" s="0" t="s">
        <v>769</v>
      </c>
      <c r="D598" s="0" t="s">
        <v>53</v>
      </c>
      <c r="E598" s="38" t="n">
        <v>1311737</v>
      </c>
      <c r="F598" s="39" t="n">
        <v>15100</v>
      </c>
    </row>
    <row r="599" customFormat="false" ht="15" hidden="false" customHeight="false" outlineLevel="0" collapsed="false">
      <c r="A599" s="0" t="s">
        <v>770</v>
      </c>
      <c r="B599" s="0" t="s">
        <v>49</v>
      </c>
      <c r="C599" s="0" t="s">
        <v>771</v>
      </c>
      <c r="D599" s="0" t="s">
        <v>53</v>
      </c>
      <c r="E599" s="38" t="n">
        <v>4372294</v>
      </c>
      <c r="F599" s="39" t="n">
        <v>30700</v>
      </c>
    </row>
    <row r="600" customFormat="false" ht="15" hidden="false" customHeight="false" outlineLevel="0" collapsed="false">
      <c r="A600" s="0" t="s">
        <v>770</v>
      </c>
      <c r="B600" s="0" t="s">
        <v>49</v>
      </c>
      <c r="C600" s="0" t="s">
        <v>771</v>
      </c>
      <c r="D600" s="0" t="s">
        <v>50</v>
      </c>
      <c r="E600" s="38" t="n">
        <v>4372294</v>
      </c>
      <c r="F600" s="39" t="n">
        <v>30700</v>
      </c>
    </row>
    <row r="601" customFormat="false" ht="15" hidden="false" customHeight="false" outlineLevel="0" collapsed="false">
      <c r="A601" s="0" t="s">
        <v>772</v>
      </c>
      <c r="B601" s="0" t="s">
        <v>46</v>
      </c>
      <c r="C601" s="0" t="s">
        <v>773</v>
      </c>
      <c r="D601" s="0" t="s">
        <v>48</v>
      </c>
      <c r="E601" s="38" t="n">
        <v>32198657.54</v>
      </c>
      <c r="F601" s="39" t="n">
        <v>699059</v>
      </c>
    </row>
    <row r="602" customFormat="false" ht="15" hidden="false" customHeight="false" outlineLevel="0" collapsed="false">
      <c r="A602" s="0" t="s">
        <v>774</v>
      </c>
      <c r="B602" s="0" t="s">
        <v>46</v>
      </c>
      <c r="C602" s="0" t="s">
        <v>775</v>
      </c>
      <c r="D602" s="0" t="s">
        <v>48</v>
      </c>
      <c r="E602" s="38" t="n">
        <v>6751423.8</v>
      </c>
      <c r="F602" s="39" t="n">
        <v>89340</v>
      </c>
    </row>
    <row r="603" customFormat="false" ht="15" hidden="false" customHeight="false" outlineLevel="0" collapsed="false">
      <c r="A603" s="0" t="s">
        <v>776</v>
      </c>
      <c r="B603" s="0" t="s">
        <v>49</v>
      </c>
      <c r="C603" s="0" t="s">
        <v>777</v>
      </c>
      <c r="D603" s="0" t="s">
        <v>53</v>
      </c>
      <c r="E603" s="38" t="n">
        <v>4646576</v>
      </c>
      <c r="F603" s="39" t="n">
        <v>18700</v>
      </c>
    </row>
    <row r="604" customFormat="false" ht="15" hidden="false" customHeight="false" outlineLevel="0" collapsed="false">
      <c r="A604" s="0" t="s">
        <v>776</v>
      </c>
      <c r="B604" s="0" t="s">
        <v>49</v>
      </c>
      <c r="C604" s="0" t="s">
        <v>777</v>
      </c>
      <c r="D604" s="0" t="s">
        <v>50</v>
      </c>
      <c r="E604" s="38" t="n">
        <v>4646576</v>
      </c>
      <c r="F604" s="39" t="n">
        <v>18700</v>
      </c>
    </row>
    <row r="605" customFormat="false" ht="15" hidden="false" customHeight="false" outlineLevel="0" collapsed="false">
      <c r="A605" s="0" t="s">
        <v>778</v>
      </c>
      <c r="B605" s="0" t="s">
        <v>46</v>
      </c>
      <c r="C605" s="0" t="s">
        <v>779</v>
      </c>
      <c r="D605" s="0" t="s">
        <v>48</v>
      </c>
      <c r="E605" s="38" t="n">
        <v>1519063</v>
      </c>
      <c r="F605" s="39" t="n">
        <v>9100</v>
      </c>
    </row>
    <row r="606" customFormat="false" ht="15" hidden="false" customHeight="false" outlineLevel="0" collapsed="false">
      <c r="A606" s="0" t="s">
        <v>780</v>
      </c>
      <c r="B606" s="0" t="s">
        <v>49</v>
      </c>
      <c r="C606" s="0" t="s">
        <v>781</v>
      </c>
      <c r="D606" s="0" t="s">
        <v>53</v>
      </c>
      <c r="E606" s="38" t="n">
        <v>1363680</v>
      </c>
      <c r="F606" s="39" t="n">
        <v>8000</v>
      </c>
    </row>
    <row r="607" customFormat="false" ht="15" hidden="false" customHeight="false" outlineLevel="0" collapsed="false">
      <c r="A607" s="0" t="s">
        <v>780</v>
      </c>
      <c r="B607" s="0" t="s">
        <v>49</v>
      </c>
      <c r="C607" s="0" t="s">
        <v>781</v>
      </c>
      <c r="D607" s="0" t="s">
        <v>50</v>
      </c>
      <c r="E607" s="38" t="n">
        <v>1363680</v>
      </c>
      <c r="F607" s="39" t="n">
        <v>8000</v>
      </c>
    </row>
    <row r="608" customFormat="false" ht="15" hidden="false" customHeight="false" outlineLevel="0" collapsed="false">
      <c r="A608" s="0" t="s">
        <v>782</v>
      </c>
      <c r="B608" s="0" t="s">
        <v>46</v>
      </c>
      <c r="C608" s="0" t="s">
        <v>783</v>
      </c>
      <c r="D608" s="0" t="s">
        <v>48</v>
      </c>
      <c r="E608" s="38" t="n">
        <v>930170.3</v>
      </c>
      <c r="F608" s="39" t="n">
        <v>7610</v>
      </c>
    </row>
    <row r="609" customFormat="false" ht="15" hidden="false" customHeight="false" outlineLevel="0" collapsed="false">
      <c r="A609" s="0" t="s">
        <v>784</v>
      </c>
      <c r="B609" s="0" t="s">
        <v>49</v>
      </c>
      <c r="C609" s="0" t="s">
        <v>785</v>
      </c>
      <c r="D609" s="0" t="s">
        <v>53</v>
      </c>
      <c r="E609" s="38" t="n">
        <v>212316</v>
      </c>
      <c r="F609" s="39" t="n">
        <v>400</v>
      </c>
    </row>
    <row r="610" customFormat="false" ht="15" hidden="false" customHeight="false" outlineLevel="0" collapsed="false">
      <c r="A610" s="0" t="s">
        <v>784</v>
      </c>
      <c r="B610" s="0" t="s">
        <v>49</v>
      </c>
      <c r="C610" s="0" t="s">
        <v>785</v>
      </c>
      <c r="D610" s="0" t="s">
        <v>50</v>
      </c>
      <c r="E610" s="38" t="n">
        <v>212316</v>
      </c>
      <c r="F610" s="39" t="n">
        <v>400</v>
      </c>
    </row>
    <row r="611" customFormat="false" ht="15" hidden="false" customHeight="false" outlineLevel="0" collapsed="false">
      <c r="A611" s="0" t="s">
        <v>786</v>
      </c>
      <c r="B611" s="0" t="s">
        <v>49</v>
      </c>
      <c r="C611" s="0" t="s">
        <v>787</v>
      </c>
      <c r="D611" s="0" t="s">
        <v>53</v>
      </c>
      <c r="E611" s="38" t="n">
        <v>2842443</v>
      </c>
      <c r="F611" s="39" t="n">
        <v>30300</v>
      </c>
    </row>
    <row r="612" customFormat="false" ht="15" hidden="false" customHeight="false" outlineLevel="0" collapsed="false">
      <c r="A612" s="0" t="s">
        <v>786</v>
      </c>
      <c r="B612" s="0" t="s">
        <v>49</v>
      </c>
      <c r="C612" s="0" t="s">
        <v>787</v>
      </c>
      <c r="D612" s="0" t="s">
        <v>50</v>
      </c>
      <c r="E612" s="38" t="n">
        <v>2842443</v>
      </c>
      <c r="F612" s="39" t="n">
        <v>30300</v>
      </c>
    </row>
    <row r="613" customFormat="false" ht="15" hidden="false" customHeight="false" outlineLevel="0" collapsed="false">
      <c r="A613" s="0" t="s">
        <v>788</v>
      </c>
      <c r="B613" s="0" t="s">
        <v>49</v>
      </c>
      <c r="C613" s="0" t="s">
        <v>789</v>
      </c>
      <c r="D613" s="0" t="s">
        <v>53</v>
      </c>
      <c r="E613" s="38" t="n">
        <v>625287</v>
      </c>
      <c r="F613" s="39" t="n">
        <v>3900</v>
      </c>
    </row>
    <row r="614" customFormat="false" ht="15" hidden="false" customHeight="false" outlineLevel="0" collapsed="false">
      <c r="A614" s="0" t="s">
        <v>788</v>
      </c>
      <c r="B614" s="0" t="s">
        <v>49</v>
      </c>
      <c r="C614" s="0" t="s">
        <v>789</v>
      </c>
      <c r="D614" s="0" t="s">
        <v>50</v>
      </c>
      <c r="E614" s="38" t="n">
        <v>625287</v>
      </c>
      <c r="F614" s="39" t="n">
        <v>3900</v>
      </c>
    </row>
    <row r="615" customFormat="false" ht="15" hidden="false" customHeight="false" outlineLevel="0" collapsed="false">
      <c r="A615" s="0" t="s">
        <v>790</v>
      </c>
      <c r="B615" s="0" t="s">
        <v>67</v>
      </c>
      <c r="C615" s="0" t="s">
        <v>791</v>
      </c>
      <c r="D615" s="0" t="s">
        <v>48</v>
      </c>
      <c r="E615" s="38" t="n">
        <v>5855740</v>
      </c>
      <c r="F615" s="39" t="n">
        <v>11000000</v>
      </c>
    </row>
    <row r="616" customFormat="false" ht="15" hidden="false" customHeight="false" outlineLevel="0" collapsed="false">
      <c r="A616" s="0" t="s">
        <v>792</v>
      </c>
      <c r="B616" s="0" t="s">
        <v>46</v>
      </c>
      <c r="C616" s="0" t="s">
        <v>793</v>
      </c>
      <c r="D616" s="0" t="s">
        <v>48</v>
      </c>
      <c r="E616" s="38" t="n">
        <v>76120.62</v>
      </c>
      <c r="F616" s="39" t="n">
        <v>354</v>
      </c>
    </row>
    <row r="617" customFormat="false" ht="15" hidden="false" customHeight="false" outlineLevel="0" collapsed="false">
      <c r="A617" s="0" t="s">
        <v>792</v>
      </c>
      <c r="B617" s="0" t="s">
        <v>49</v>
      </c>
      <c r="C617" s="0" t="s">
        <v>793</v>
      </c>
      <c r="D617" s="0" t="s">
        <v>53</v>
      </c>
      <c r="E617" s="38" t="n">
        <v>473066</v>
      </c>
      <c r="F617" s="39" t="n">
        <v>2200</v>
      </c>
    </row>
    <row r="618" customFormat="false" ht="15" hidden="false" customHeight="false" outlineLevel="0" collapsed="false">
      <c r="A618" s="0" t="s">
        <v>792</v>
      </c>
      <c r="B618" s="0" t="s">
        <v>49</v>
      </c>
      <c r="C618" s="0" t="s">
        <v>793</v>
      </c>
      <c r="D618" s="0" t="s">
        <v>50</v>
      </c>
      <c r="E618" s="38" t="n">
        <v>473066</v>
      </c>
      <c r="F618" s="39" t="n">
        <v>2200</v>
      </c>
    </row>
    <row r="619" customFormat="false" ht="15" hidden="false" customHeight="false" outlineLevel="0" collapsed="false">
      <c r="A619" s="0" t="s">
        <v>794</v>
      </c>
      <c r="B619" s="0" t="s">
        <v>67</v>
      </c>
      <c r="C619" s="0" t="s">
        <v>795</v>
      </c>
      <c r="D619" s="0" t="s">
        <v>48</v>
      </c>
      <c r="E619" s="38" t="n">
        <v>52721700</v>
      </c>
      <c r="F619" s="39" t="n">
        <v>46500000</v>
      </c>
    </row>
    <row r="620" customFormat="false" ht="15" hidden="false" customHeight="false" outlineLevel="0" collapsed="false">
      <c r="A620" s="0" t="s">
        <v>796</v>
      </c>
      <c r="B620" s="0" t="s">
        <v>46</v>
      </c>
      <c r="C620" s="0" t="s">
        <v>797</v>
      </c>
      <c r="D620" s="0" t="s">
        <v>48</v>
      </c>
      <c r="E620" s="38" t="n">
        <v>995739.57</v>
      </c>
      <c r="F620" s="39" t="n">
        <v>25473</v>
      </c>
    </row>
    <row r="621" customFormat="false" ht="15" hidden="false" customHeight="false" outlineLevel="0" collapsed="false">
      <c r="A621" s="0" t="s">
        <v>798</v>
      </c>
      <c r="B621" s="0" t="s">
        <v>67</v>
      </c>
      <c r="C621" s="0" t="s">
        <v>799</v>
      </c>
      <c r="D621" s="0" t="s">
        <v>48</v>
      </c>
      <c r="E621" s="38" t="n">
        <v>1980000</v>
      </c>
      <c r="F621" s="39" t="n">
        <v>3000000</v>
      </c>
    </row>
    <row r="622" customFormat="false" ht="15" hidden="false" customHeight="false" outlineLevel="0" collapsed="false">
      <c r="A622" s="0" t="s">
        <v>800</v>
      </c>
      <c r="B622" s="0" t="s">
        <v>49</v>
      </c>
      <c r="C622" s="0" t="s">
        <v>801</v>
      </c>
      <c r="D622" s="0" t="s">
        <v>53</v>
      </c>
      <c r="E622" s="38" t="n">
        <v>764244</v>
      </c>
      <c r="F622" s="39" t="n">
        <v>20700</v>
      </c>
    </row>
    <row r="623" customFormat="false" ht="15" hidden="false" customHeight="false" outlineLevel="0" collapsed="false">
      <c r="A623" s="0" t="s">
        <v>800</v>
      </c>
      <c r="B623" s="0" t="s">
        <v>49</v>
      </c>
      <c r="C623" s="0" t="s">
        <v>801</v>
      </c>
      <c r="D623" s="0" t="s">
        <v>50</v>
      </c>
      <c r="E623" s="38" t="n">
        <v>764244</v>
      </c>
      <c r="F623" s="39" t="n">
        <v>20700</v>
      </c>
    </row>
    <row r="624" customFormat="false" ht="15" hidden="false" customHeight="false" outlineLevel="0" collapsed="false">
      <c r="A624" s="0" t="s">
        <v>802</v>
      </c>
      <c r="B624" s="0" t="s">
        <v>46</v>
      </c>
      <c r="C624" s="0" t="s">
        <v>803</v>
      </c>
      <c r="D624" s="0" t="s">
        <v>48</v>
      </c>
      <c r="E624" s="38" t="n">
        <v>1550633.75</v>
      </c>
      <c r="F624" s="39" t="n">
        <v>28849</v>
      </c>
    </row>
    <row r="625" customFormat="false" ht="15" hidden="false" customHeight="false" outlineLevel="0" collapsed="false">
      <c r="A625" s="0" t="s">
        <v>804</v>
      </c>
      <c r="B625" s="0" t="s">
        <v>49</v>
      </c>
      <c r="C625" s="0" t="s">
        <v>805</v>
      </c>
      <c r="D625" s="0" t="s">
        <v>53</v>
      </c>
      <c r="E625" s="38" t="n">
        <v>123140</v>
      </c>
      <c r="F625" s="39" t="n">
        <v>2000</v>
      </c>
    </row>
    <row r="626" customFormat="false" ht="15" hidden="false" customHeight="false" outlineLevel="0" collapsed="false">
      <c r="A626" s="0" t="s">
        <v>804</v>
      </c>
      <c r="B626" s="0" t="s">
        <v>49</v>
      </c>
      <c r="C626" s="0" t="s">
        <v>805</v>
      </c>
      <c r="D626" s="0" t="s">
        <v>50</v>
      </c>
      <c r="E626" s="38" t="n">
        <v>123140</v>
      </c>
      <c r="F626" s="39" t="n">
        <v>2000</v>
      </c>
    </row>
    <row r="627" customFormat="false" ht="15" hidden="false" customHeight="false" outlineLevel="0" collapsed="false">
      <c r="A627" s="0" t="s">
        <v>806</v>
      </c>
      <c r="B627" s="0" t="s">
        <v>49</v>
      </c>
      <c r="C627" s="0" t="s">
        <v>807</v>
      </c>
      <c r="D627" s="0" t="s">
        <v>53</v>
      </c>
      <c r="E627" s="38" t="n">
        <v>489990</v>
      </c>
      <c r="F627" s="39" t="n">
        <v>1000</v>
      </c>
    </row>
    <row r="628" customFormat="false" ht="15" hidden="false" customHeight="false" outlineLevel="0" collapsed="false">
      <c r="A628" s="0" t="s">
        <v>806</v>
      </c>
      <c r="B628" s="0" t="s">
        <v>49</v>
      </c>
      <c r="C628" s="0" t="s">
        <v>807</v>
      </c>
      <c r="D628" s="0" t="s">
        <v>50</v>
      </c>
      <c r="E628" s="38" t="n">
        <v>489990</v>
      </c>
      <c r="F628" s="39" t="n">
        <v>1000</v>
      </c>
    </row>
    <row r="629" customFormat="false" ht="15" hidden="false" customHeight="false" outlineLevel="0" collapsed="false">
      <c r="A629" s="0" t="s">
        <v>808</v>
      </c>
      <c r="B629" s="0" t="s">
        <v>49</v>
      </c>
      <c r="C629" s="0" t="s">
        <v>809</v>
      </c>
      <c r="D629" s="0" t="s">
        <v>53</v>
      </c>
      <c r="E629" s="38" t="n">
        <v>982480</v>
      </c>
      <c r="F629" s="39" t="n">
        <v>4000</v>
      </c>
    </row>
    <row r="630" customFormat="false" ht="15" hidden="false" customHeight="false" outlineLevel="0" collapsed="false">
      <c r="A630" s="0" t="s">
        <v>808</v>
      </c>
      <c r="B630" s="0" t="s">
        <v>49</v>
      </c>
      <c r="C630" s="0" t="s">
        <v>809</v>
      </c>
      <c r="D630" s="0" t="s">
        <v>50</v>
      </c>
      <c r="E630" s="38" t="n">
        <v>982480</v>
      </c>
      <c r="F630" s="39" t="n">
        <v>4000</v>
      </c>
    </row>
    <row r="631" customFormat="false" ht="15" hidden="false" customHeight="false" outlineLevel="0" collapsed="false">
      <c r="A631" s="0" t="s">
        <v>810</v>
      </c>
      <c r="B631" s="0" t="s">
        <v>49</v>
      </c>
      <c r="C631" s="0" t="s">
        <v>811</v>
      </c>
      <c r="D631" s="0" t="s">
        <v>53</v>
      </c>
      <c r="E631" s="38" t="n">
        <v>125784</v>
      </c>
      <c r="F631" s="39" t="n">
        <v>800</v>
      </c>
    </row>
    <row r="632" customFormat="false" ht="15" hidden="false" customHeight="false" outlineLevel="0" collapsed="false">
      <c r="A632" s="0" t="s">
        <v>810</v>
      </c>
      <c r="B632" s="0" t="s">
        <v>49</v>
      </c>
      <c r="C632" s="0" t="s">
        <v>811</v>
      </c>
      <c r="D632" s="0" t="s">
        <v>50</v>
      </c>
      <c r="E632" s="38" t="n">
        <v>125784</v>
      </c>
      <c r="F632" s="39" t="n">
        <v>800</v>
      </c>
    </row>
    <row r="633" customFormat="false" ht="15" hidden="false" customHeight="false" outlineLevel="0" collapsed="false">
      <c r="A633" s="0" t="s">
        <v>812</v>
      </c>
      <c r="B633" s="0" t="s">
        <v>49</v>
      </c>
      <c r="C633" s="0" t="s">
        <v>813</v>
      </c>
      <c r="D633" s="0" t="s">
        <v>53</v>
      </c>
      <c r="E633" s="38" t="n">
        <v>1892286</v>
      </c>
      <c r="F633" s="39" t="n">
        <v>3300</v>
      </c>
    </row>
    <row r="634" customFormat="false" ht="15" hidden="false" customHeight="false" outlineLevel="0" collapsed="false">
      <c r="A634" s="0" t="s">
        <v>812</v>
      </c>
      <c r="B634" s="0" t="s">
        <v>49</v>
      </c>
      <c r="C634" s="0" t="s">
        <v>813</v>
      </c>
      <c r="D634" s="0" t="s">
        <v>50</v>
      </c>
      <c r="E634" s="38" t="n">
        <v>1892286</v>
      </c>
      <c r="F634" s="39" t="n">
        <v>3300</v>
      </c>
    </row>
    <row r="635" customFormat="false" ht="15" hidden="false" customHeight="false" outlineLevel="0" collapsed="false">
      <c r="A635" s="0" t="s">
        <v>814</v>
      </c>
      <c r="B635" s="0" t="s">
        <v>46</v>
      </c>
      <c r="C635" s="0" t="s">
        <v>815</v>
      </c>
      <c r="D635" s="0" t="s">
        <v>48</v>
      </c>
      <c r="E635" s="38" t="n">
        <v>23599433.9</v>
      </c>
      <c r="F635" s="39" t="n">
        <v>485086</v>
      </c>
    </row>
    <row r="636" customFormat="false" ht="15" hidden="false" customHeight="false" outlineLevel="0" collapsed="false">
      <c r="A636" s="0" t="s">
        <v>816</v>
      </c>
      <c r="B636" s="0" t="s">
        <v>49</v>
      </c>
      <c r="C636" s="0" t="s">
        <v>817</v>
      </c>
      <c r="D636" s="0" t="s">
        <v>53</v>
      </c>
      <c r="E636" s="38" t="n">
        <v>526470</v>
      </c>
      <c r="F636" s="39" t="n">
        <v>1000</v>
      </c>
    </row>
    <row r="637" customFormat="false" ht="15" hidden="false" customHeight="false" outlineLevel="0" collapsed="false">
      <c r="A637" s="0" t="s">
        <v>816</v>
      </c>
      <c r="B637" s="0" t="s">
        <v>49</v>
      </c>
      <c r="C637" s="0" t="s">
        <v>817</v>
      </c>
      <c r="D637" s="0" t="s">
        <v>50</v>
      </c>
      <c r="E637" s="38" t="n">
        <v>526470</v>
      </c>
      <c r="F637" s="39" t="n">
        <v>1000</v>
      </c>
    </row>
    <row r="638" customFormat="false" ht="15" hidden="false" customHeight="false" outlineLevel="0" collapsed="false">
      <c r="A638" s="0" t="s">
        <v>818</v>
      </c>
      <c r="B638" s="0" t="s">
        <v>46</v>
      </c>
      <c r="C638" s="0" t="s">
        <v>819</v>
      </c>
      <c r="D638" s="0" t="s">
        <v>48</v>
      </c>
      <c r="E638" s="38" t="n">
        <v>0.0001</v>
      </c>
      <c r="F638" s="39" t="n">
        <v>100</v>
      </c>
    </row>
    <row r="639" customFormat="false" ht="15" hidden="false" customHeight="false" outlineLevel="0" collapsed="false">
      <c r="A639" s="0" t="s">
        <v>820</v>
      </c>
      <c r="B639" s="0" t="s">
        <v>49</v>
      </c>
      <c r="C639" s="0" t="s">
        <v>821</v>
      </c>
      <c r="D639" s="0" t="s">
        <v>53</v>
      </c>
      <c r="E639" s="38" t="n">
        <v>718448</v>
      </c>
      <c r="F639" s="39" t="n">
        <v>16600</v>
      </c>
    </row>
    <row r="640" customFormat="false" ht="15" hidden="false" customHeight="false" outlineLevel="0" collapsed="false">
      <c r="A640" s="0" t="s">
        <v>820</v>
      </c>
      <c r="B640" s="0" t="s">
        <v>49</v>
      </c>
      <c r="C640" s="0" t="s">
        <v>821</v>
      </c>
      <c r="D640" s="0" t="s">
        <v>50</v>
      </c>
      <c r="E640" s="38" t="n">
        <v>718448</v>
      </c>
      <c r="F640" s="39" t="n">
        <v>16600</v>
      </c>
    </row>
    <row r="641" customFormat="false" ht="15" hidden="false" customHeight="false" outlineLevel="0" collapsed="false">
      <c r="A641" s="0" t="s">
        <v>822</v>
      </c>
      <c r="B641" s="0" t="s">
        <v>46</v>
      </c>
      <c r="C641" s="0" t="s">
        <v>823</v>
      </c>
      <c r="D641" s="0" t="s">
        <v>48</v>
      </c>
      <c r="E641" s="38" t="n">
        <v>7301504</v>
      </c>
      <c r="F641" s="39" t="n">
        <v>449600</v>
      </c>
    </row>
    <row r="642" customFormat="false" ht="15" hidden="false" customHeight="false" outlineLevel="0" collapsed="false">
      <c r="A642" s="0" t="s">
        <v>824</v>
      </c>
      <c r="B642" s="0" t="s">
        <v>46</v>
      </c>
      <c r="C642" s="0" t="s">
        <v>825</v>
      </c>
      <c r="D642" s="0" t="s">
        <v>48</v>
      </c>
      <c r="E642" s="38" t="n">
        <v>111930</v>
      </c>
      <c r="F642" s="39" t="n">
        <v>861</v>
      </c>
    </row>
    <row r="643" customFormat="false" ht="15" hidden="false" customHeight="false" outlineLevel="0" collapsed="false">
      <c r="A643" s="0" t="s">
        <v>824</v>
      </c>
      <c r="B643" s="0" t="s">
        <v>49</v>
      </c>
      <c r="C643" s="0" t="s">
        <v>825</v>
      </c>
      <c r="D643" s="0" t="s">
        <v>53</v>
      </c>
      <c r="E643" s="38" t="n">
        <v>702000</v>
      </c>
      <c r="F643" s="39" t="n">
        <v>5400</v>
      </c>
    </row>
    <row r="644" customFormat="false" ht="15" hidden="false" customHeight="false" outlineLevel="0" collapsed="false">
      <c r="A644" s="0" t="s">
        <v>824</v>
      </c>
      <c r="B644" s="0" t="s">
        <v>49</v>
      </c>
      <c r="C644" s="0" t="s">
        <v>825</v>
      </c>
      <c r="D644" s="0" t="s">
        <v>50</v>
      </c>
      <c r="E644" s="38" t="n">
        <v>702000</v>
      </c>
      <c r="F644" s="39" t="n">
        <v>5400</v>
      </c>
    </row>
    <row r="645" customFormat="false" ht="15" hidden="false" customHeight="false" outlineLevel="0" collapsed="false">
      <c r="A645" s="0" t="s">
        <v>826</v>
      </c>
      <c r="B645" s="0" t="s">
        <v>67</v>
      </c>
      <c r="C645" s="0" t="s">
        <v>827</v>
      </c>
      <c r="D645" s="0" t="s">
        <v>48</v>
      </c>
      <c r="E645" s="38" t="n">
        <v>38619490</v>
      </c>
      <c r="F645" s="39" t="n">
        <v>38332000</v>
      </c>
    </row>
    <row r="646" customFormat="false" ht="15" hidden="false" customHeight="false" outlineLevel="0" collapsed="false">
      <c r="A646" s="0" t="s">
        <v>828</v>
      </c>
      <c r="B646" s="0" t="s">
        <v>46</v>
      </c>
      <c r="C646" s="0" t="s">
        <v>829</v>
      </c>
      <c r="D646" s="0" t="s">
        <v>48</v>
      </c>
      <c r="E646" s="38" t="n">
        <v>2827.5</v>
      </c>
      <c r="F646" s="39" t="n">
        <v>75</v>
      </c>
    </row>
    <row r="647" customFormat="false" ht="15" hidden="false" customHeight="false" outlineLevel="0" collapsed="false">
      <c r="A647" s="0" t="s">
        <v>828</v>
      </c>
      <c r="B647" s="0" t="s">
        <v>49</v>
      </c>
      <c r="C647" s="0" t="s">
        <v>829</v>
      </c>
      <c r="D647" s="0" t="s">
        <v>53</v>
      </c>
      <c r="E647" s="38" t="n">
        <v>150800</v>
      </c>
      <c r="F647" s="39" t="n">
        <v>4000</v>
      </c>
    </row>
    <row r="648" customFormat="false" ht="15" hidden="false" customHeight="false" outlineLevel="0" collapsed="false">
      <c r="A648" s="0" t="s">
        <v>828</v>
      </c>
      <c r="B648" s="0" t="s">
        <v>49</v>
      </c>
      <c r="C648" s="0" t="s">
        <v>829</v>
      </c>
      <c r="D648" s="0" t="s">
        <v>50</v>
      </c>
      <c r="E648" s="38" t="n">
        <v>150800</v>
      </c>
      <c r="F648" s="39" t="n">
        <v>4000</v>
      </c>
    </row>
    <row r="649" customFormat="false" ht="15" hidden="false" customHeight="false" outlineLevel="0" collapsed="false">
      <c r="A649" s="0" t="s">
        <v>830</v>
      </c>
      <c r="B649" s="0" t="s">
        <v>46</v>
      </c>
      <c r="C649" s="0" t="s">
        <v>831</v>
      </c>
      <c r="D649" s="0" t="s">
        <v>48</v>
      </c>
      <c r="E649" s="38" t="n">
        <v>5696.46</v>
      </c>
      <c r="F649" s="39" t="n">
        <v>14</v>
      </c>
    </row>
    <row r="650" customFormat="false" ht="15" hidden="false" customHeight="false" outlineLevel="0" collapsed="false">
      <c r="A650" s="0" t="s">
        <v>830</v>
      </c>
      <c r="B650" s="0" t="s">
        <v>49</v>
      </c>
      <c r="C650" s="0" t="s">
        <v>831</v>
      </c>
      <c r="D650" s="0" t="s">
        <v>53</v>
      </c>
      <c r="E650" s="38" t="n">
        <v>3865455</v>
      </c>
      <c r="F650" s="39" t="n">
        <v>9500</v>
      </c>
    </row>
    <row r="651" customFormat="false" ht="15" hidden="false" customHeight="false" outlineLevel="0" collapsed="false">
      <c r="A651" s="0" t="s">
        <v>830</v>
      </c>
      <c r="B651" s="0" t="s">
        <v>49</v>
      </c>
      <c r="C651" s="0" t="s">
        <v>831</v>
      </c>
      <c r="D651" s="0" t="s">
        <v>50</v>
      </c>
      <c r="E651" s="38" t="n">
        <v>3865455</v>
      </c>
      <c r="F651" s="39" t="n">
        <v>9500</v>
      </c>
    </row>
    <row r="652" customFormat="false" ht="15" hidden="false" customHeight="false" outlineLevel="0" collapsed="false">
      <c r="A652" s="0" t="s">
        <v>832</v>
      </c>
      <c r="B652" s="0" t="s">
        <v>49</v>
      </c>
      <c r="C652" s="0" t="s">
        <v>833</v>
      </c>
      <c r="D652" s="0" t="s">
        <v>50</v>
      </c>
      <c r="E652" s="38" t="n">
        <v>2641650</v>
      </c>
      <c r="F652" s="39" t="n">
        <v>55000</v>
      </c>
    </row>
    <row r="653" customFormat="false" ht="15" hidden="false" customHeight="false" outlineLevel="0" collapsed="false">
      <c r="A653" s="0" t="s">
        <v>834</v>
      </c>
      <c r="B653" s="0" t="s">
        <v>46</v>
      </c>
      <c r="C653" s="0" t="s">
        <v>835</v>
      </c>
      <c r="D653" s="0" t="s">
        <v>48</v>
      </c>
      <c r="E653" s="38" t="n">
        <v>2752888.04</v>
      </c>
      <c r="F653" s="39" t="n">
        <v>103726</v>
      </c>
    </row>
    <row r="654" customFormat="false" ht="15" hidden="false" customHeight="false" outlineLevel="0" collapsed="false">
      <c r="A654" s="0" t="s">
        <v>836</v>
      </c>
      <c r="B654" s="0" t="s">
        <v>49</v>
      </c>
      <c r="C654" s="0" t="s">
        <v>837</v>
      </c>
      <c r="D654" s="0" t="s">
        <v>53</v>
      </c>
      <c r="E654" s="38" t="n">
        <v>2369185</v>
      </c>
      <c r="F654" s="39" t="n">
        <v>9100</v>
      </c>
    </row>
    <row r="655" customFormat="false" ht="15" hidden="false" customHeight="false" outlineLevel="0" collapsed="false">
      <c r="A655" s="0" t="s">
        <v>836</v>
      </c>
      <c r="B655" s="0" t="s">
        <v>49</v>
      </c>
      <c r="C655" s="0" t="s">
        <v>837</v>
      </c>
      <c r="D655" s="0" t="s">
        <v>50</v>
      </c>
      <c r="E655" s="38" t="n">
        <v>2369185</v>
      </c>
      <c r="F655" s="39" t="n">
        <v>9100</v>
      </c>
    </row>
    <row r="656" customFormat="false" ht="15" hidden="false" customHeight="false" outlineLevel="0" collapsed="false">
      <c r="A656" s="0" t="s">
        <v>838</v>
      </c>
      <c r="B656" s="0" t="s">
        <v>46</v>
      </c>
      <c r="C656" s="0" t="s">
        <v>839</v>
      </c>
      <c r="D656" s="0" t="s">
        <v>48</v>
      </c>
      <c r="E656" s="38" t="n">
        <v>1325916.9</v>
      </c>
      <c r="F656" s="39" t="n">
        <v>172197</v>
      </c>
    </row>
    <row r="657" customFormat="false" ht="15" hidden="false" customHeight="false" outlineLevel="0" collapsed="false">
      <c r="A657" s="0" t="s">
        <v>840</v>
      </c>
      <c r="B657" s="0" t="s">
        <v>49</v>
      </c>
      <c r="C657" s="0" t="s">
        <v>841</v>
      </c>
      <c r="D657" s="0" t="s">
        <v>53</v>
      </c>
      <c r="E657" s="38" t="n">
        <v>394125</v>
      </c>
      <c r="F657" s="39" t="n">
        <v>2500</v>
      </c>
    </row>
    <row r="658" customFormat="false" ht="15" hidden="false" customHeight="false" outlineLevel="0" collapsed="false">
      <c r="A658" s="0" t="s">
        <v>840</v>
      </c>
      <c r="B658" s="0" t="s">
        <v>49</v>
      </c>
      <c r="C658" s="0" t="s">
        <v>841</v>
      </c>
      <c r="D658" s="0" t="s">
        <v>50</v>
      </c>
      <c r="E658" s="38" t="n">
        <v>394125</v>
      </c>
      <c r="F658" s="39" t="n">
        <v>2500</v>
      </c>
    </row>
    <row r="659" customFormat="false" ht="15" hidden="false" customHeight="false" outlineLevel="0" collapsed="false">
      <c r="A659" s="0" t="s">
        <v>842</v>
      </c>
      <c r="B659" s="0" t="s">
        <v>46</v>
      </c>
      <c r="C659" s="0" t="s">
        <v>843</v>
      </c>
      <c r="D659" s="0" t="s">
        <v>48</v>
      </c>
      <c r="E659" s="38" t="n">
        <v>16109812.67</v>
      </c>
      <c r="F659" s="39" t="n">
        <v>178423</v>
      </c>
    </row>
    <row r="660" customFormat="false" ht="15" hidden="false" customHeight="false" outlineLevel="0" collapsed="false">
      <c r="A660" s="0" t="s">
        <v>842</v>
      </c>
      <c r="B660" s="0" t="s">
        <v>49</v>
      </c>
      <c r="C660" s="0" t="s">
        <v>843</v>
      </c>
      <c r="D660" s="0" t="s">
        <v>53</v>
      </c>
      <c r="E660" s="38" t="n">
        <v>189609</v>
      </c>
      <c r="F660" s="39" t="n">
        <v>2100</v>
      </c>
    </row>
    <row r="661" customFormat="false" ht="15" hidden="false" customHeight="false" outlineLevel="0" collapsed="false">
      <c r="A661" s="0" t="s">
        <v>842</v>
      </c>
      <c r="B661" s="0" t="s">
        <v>49</v>
      </c>
      <c r="C661" s="0" t="s">
        <v>843</v>
      </c>
      <c r="D661" s="0" t="s">
        <v>50</v>
      </c>
      <c r="E661" s="38" t="n">
        <v>189609</v>
      </c>
      <c r="F661" s="39" t="n">
        <v>2100</v>
      </c>
    </row>
    <row r="662" customFormat="false" ht="15" hidden="false" customHeight="false" outlineLevel="0" collapsed="false">
      <c r="A662" s="0" t="s">
        <v>844</v>
      </c>
      <c r="B662" s="0" t="s">
        <v>46</v>
      </c>
      <c r="C662" s="0" t="s">
        <v>845</v>
      </c>
      <c r="D662" s="0" t="s">
        <v>48</v>
      </c>
      <c r="E662" s="38" t="n">
        <v>9523842.34</v>
      </c>
      <c r="F662" s="39" t="n">
        <v>836893</v>
      </c>
    </row>
    <row r="663" customFormat="false" ht="15" hidden="false" customHeight="false" outlineLevel="0" collapsed="false">
      <c r="A663" s="0" t="s">
        <v>846</v>
      </c>
      <c r="B663" s="0" t="s">
        <v>49</v>
      </c>
      <c r="C663" s="0" t="s">
        <v>847</v>
      </c>
      <c r="D663" s="0" t="s">
        <v>53</v>
      </c>
      <c r="E663" s="38" t="n">
        <v>4951532</v>
      </c>
      <c r="F663" s="39" t="n">
        <v>100600</v>
      </c>
    </row>
    <row r="664" customFormat="false" ht="15" hidden="false" customHeight="false" outlineLevel="0" collapsed="false">
      <c r="A664" s="0" t="s">
        <v>846</v>
      </c>
      <c r="B664" s="0" t="s">
        <v>49</v>
      </c>
      <c r="C664" s="0" t="s">
        <v>847</v>
      </c>
      <c r="D664" s="0" t="s">
        <v>50</v>
      </c>
      <c r="E664" s="38" t="n">
        <v>4951532</v>
      </c>
      <c r="F664" s="39" t="n">
        <v>100600</v>
      </c>
    </row>
    <row r="665" customFormat="false" ht="15" hidden="false" customHeight="false" outlineLevel="0" collapsed="false">
      <c r="A665" s="0" t="s">
        <v>848</v>
      </c>
      <c r="B665" s="0" t="s">
        <v>46</v>
      </c>
      <c r="C665" s="0" t="s">
        <v>849</v>
      </c>
      <c r="D665" s="0" t="s">
        <v>48</v>
      </c>
      <c r="E665" s="38" t="n">
        <v>7905408</v>
      </c>
      <c r="F665" s="39" t="n">
        <v>190400</v>
      </c>
    </row>
    <row r="666" customFormat="false" ht="15" hidden="false" customHeight="false" outlineLevel="0" collapsed="false">
      <c r="A666" s="0" t="s">
        <v>850</v>
      </c>
      <c r="B666" s="0" t="s">
        <v>46</v>
      </c>
      <c r="C666" s="0" t="s">
        <v>851</v>
      </c>
      <c r="D666" s="0" t="s">
        <v>48</v>
      </c>
      <c r="E666" s="38" t="n">
        <v>647207.55</v>
      </c>
      <c r="F666" s="39" t="n">
        <v>5315</v>
      </c>
    </row>
    <row r="667" customFormat="false" ht="15" hidden="false" customHeight="false" outlineLevel="0" collapsed="false">
      <c r="A667" s="0" t="s">
        <v>852</v>
      </c>
      <c r="B667" s="0" t="s">
        <v>46</v>
      </c>
      <c r="C667" s="0" t="s">
        <v>853</v>
      </c>
      <c r="D667" s="0" t="s">
        <v>48</v>
      </c>
      <c r="E667" s="38" t="n">
        <v>1718066.7</v>
      </c>
      <c r="F667" s="39" t="n">
        <v>424214</v>
      </c>
    </row>
    <row r="668" customFormat="false" ht="15" hidden="false" customHeight="false" outlineLevel="0" collapsed="false">
      <c r="A668" s="0" t="s">
        <v>854</v>
      </c>
      <c r="B668" s="0" t="s">
        <v>49</v>
      </c>
      <c r="C668" s="0" t="s">
        <v>855</v>
      </c>
      <c r="D668" s="0" t="s">
        <v>53</v>
      </c>
      <c r="E668" s="38" t="n">
        <v>1835541</v>
      </c>
      <c r="F668" s="39" t="n">
        <v>52700</v>
      </c>
    </row>
    <row r="669" customFormat="false" ht="15" hidden="false" customHeight="false" outlineLevel="0" collapsed="false">
      <c r="A669" s="0" t="s">
        <v>856</v>
      </c>
      <c r="B669" s="0" t="s">
        <v>67</v>
      </c>
      <c r="C669" s="0" t="s">
        <v>857</v>
      </c>
      <c r="D669" s="0" t="s">
        <v>48</v>
      </c>
      <c r="E669" s="38" t="n">
        <v>23828000</v>
      </c>
      <c r="F669" s="39" t="n">
        <v>23000000</v>
      </c>
    </row>
    <row r="670" customFormat="false" ht="15" hidden="false" customHeight="false" outlineLevel="0" collapsed="false">
      <c r="A670" s="0" t="s">
        <v>858</v>
      </c>
      <c r="B670" s="0" t="s">
        <v>67</v>
      </c>
      <c r="C670" s="0" t="s">
        <v>859</v>
      </c>
      <c r="D670" s="0" t="s">
        <v>48</v>
      </c>
      <c r="E670" s="38" t="n">
        <v>55331960</v>
      </c>
      <c r="F670" s="39" t="n">
        <v>82000000</v>
      </c>
    </row>
    <row r="671" customFormat="false" ht="15" hidden="false" customHeight="false" outlineLevel="0" collapsed="false">
      <c r="A671" s="0" t="s">
        <v>860</v>
      </c>
      <c r="B671" s="0" t="s">
        <v>46</v>
      </c>
      <c r="C671" s="0" t="s">
        <v>861</v>
      </c>
      <c r="D671" s="0" t="s">
        <v>48</v>
      </c>
      <c r="E671" s="38" t="n">
        <v>2771964.23</v>
      </c>
      <c r="F671" s="39" t="n">
        <v>311807</v>
      </c>
    </row>
    <row r="672" customFormat="false" ht="15" hidden="false" customHeight="false" outlineLevel="0" collapsed="false">
      <c r="A672" s="0" t="s">
        <v>862</v>
      </c>
      <c r="B672" s="0" t="s">
        <v>67</v>
      </c>
      <c r="C672" s="0" t="s">
        <v>863</v>
      </c>
      <c r="D672" s="0" t="s">
        <v>48</v>
      </c>
      <c r="E672" s="38" t="n">
        <v>41553500</v>
      </c>
      <c r="F672" s="39" t="n">
        <v>41000000</v>
      </c>
    </row>
    <row r="673" customFormat="false" ht="15" hidden="false" customHeight="false" outlineLevel="0" collapsed="false">
      <c r="A673" s="0" t="s">
        <v>864</v>
      </c>
      <c r="B673" s="0" t="s">
        <v>46</v>
      </c>
      <c r="C673" s="0" t="s">
        <v>865</v>
      </c>
      <c r="D673" s="0" t="s">
        <v>48</v>
      </c>
      <c r="E673" s="38" t="n">
        <v>160444.71</v>
      </c>
      <c r="F673" s="39" t="n">
        <v>1761</v>
      </c>
    </row>
    <row r="674" customFormat="false" ht="15" hidden="false" customHeight="false" outlineLevel="0" collapsed="false">
      <c r="A674" s="0" t="s">
        <v>864</v>
      </c>
      <c r="B674" s="0" t="s">
        <v>49</v>
      </c>
      <c r="C674" s="0" t="s">
        <v>865</v>
      </c>
      <c r="D674" s="0" t="s">
        <v>53</v>
      </c>
      <c r="E674" s="38" t="n">
        <v>364440</v>
      </c>
      <c r="F674" s="39" t="n">
        <v>4000</v>
      </c>
    </row>
    <row r="675" customFormat="false" ht="15" hidden="false" customHeight="false" outlineLevel="0" collapsed="false">
      <c r="A675" s="0" t="s">
        <v>864</v>
      </c>
      <c r="B675" s="0" t="s">
        <v>49</v>
      </c>
      <c r="C675" s="0" t="s">
        <v>865</v>
      </c>
      <c r="D675" s="0" t="s">
        <v>50</v>
      </c>
      <c r="E675" s="38" t="n">
        <v>364440</v>
      </c>
      <c r="F675" s="39" t="n">
        <v>4000</v>
      </c>
    </row>
    <row r="676" customFormat="false" ht="15" hidden="false" customHeight="false" outlineLevel="0" collapsed="false">
      <c r="A676" s="0" t="s">
        <v>866</v>
      </c>
      <c r="B676" s="0" t="s">
        <v>67</v>
      </c>
      <c r="C676" s="0" t="s">
        <v>867</v>
      </c>
      <c r="D676" s="0" t="s">
        <v>48</v>
      </c>
      <c r="E676" s="38" t="n">
        <v>10389489</v>
      </c>
      <c r="F676" s="39" t="n">
        <v>11000000</v>
      </c>
    </row>
    <row r="677" customFormat="false" ht="15" hidden="false" customHeight="false" outlineLevel="0" collapsed="false">
      <c r="A677" s="0" t="s">
        <v>868</v>
      </c>
      <c r="B677" s="0" t="s">
        <v>46</v>
      </c>
      <c r="C677" s="0" t="s">
        <v>869</v>
      </c>
      <c r="D677" s="0" t="s">
        <v>48</v>
      </c>
      <c r="E677" s="38" t="n">
        <v>75390.82</v>
      </c>
      <c r="F677" s="39" t="n">
        <v>577</v>
      </c>
    </row>
    <row r="678" customFormat="false" ht="15" hidden="false" customHeight="false" outlineLevel="0" collapsed="false">
      <c r="A678" s="0" t="s">
        <v>868</v>
      </c>
      <c r="B678" s="0" t="s">
        <v>49</v>
      </c>
      <c r="C678" s="0" t="s">
        <v>869</v>
      </c>
      <c r="D678" s="0" t="s">
        <v>53</v>
      </c>
      <c r="E678" s="38" t="n">
        <v>431178</v>
      </c>
      <c r="F678" s="39" t="n">
        <v>3300</v>
      </c>
    </row>
    <row r="679" customFormat="false" ht="15" hidden="false" customHeight="false" outlineLevel="0" collapsed="false">
      <c r="A679" s="0" t="s">
        <v>868</v>
      </c>
      <c r="B679" s="0" t="s">
        <v>49</v>
      </c>
      <c r="C679" s="0" t="s">
        <v>869</v>
      </c>
      <c r="D679" s="0" t="s">
        <v>50</v>
      </c>
      <c r="E679" s="38" t="n">
        <v>431178</v>
      </c>
      <c r="F679" s="39" t="n">
        <v>3300</v>
      </c>
    </row>
    <row r="680" customFormat="false" ht="15" hidden="false" customHeight="false" outlineLevel="0" collapsed="false">
      <c r="A680" s="0" t="s">
        <v>870</v>
      </c>
      <c r="B680" s="0" t="s">
        <v>46</v>
      </c>
      <c r="C680" s="0" t="s">
        <v>871</v>
      </c>
      <c r="D680" s="0" t="s">
        <v>48</v>
      </c>
      <c r="E680" s="38" t="n">
        <v>1175716</v>
      </c>
      <c r="F680" s="39" t="n">
        <v>26800</v>
      </c>
    </row>
    <row r="681" customFormat="false" ht="15" hidden="false" customHeight="false" outlineLevel="0" collapsed="false">
      <c r="A681" s="0" t="s">
        <v>872</v>
      </c>
      <c r="B681" s="0" t="s">
        <v>46</v>
      </c>
      <c r="C681" s="0" t="s">
        <v>873</v>
      </c>
      <c r="D681" s="0" t="s">
        <v>48</v>
      </c>
      <c r="E681" s="38" t="n">
        <v>11180311.32</v>
      </c>
      <c r="F681" s="39" t="n">
        <v>604668</v>
      </c>
    </row>
    <row r="682" customFormat="false" ht="15" hidden="false" customHeight="false" outlineLevel="0" collapsed="false">
      <c r="A682" s="0" t="s">
        <v>872</v>
      </c>
      <c r="B682" s="0" t="s">
        <v>49</v>
      </c>
      <c r="C682" s="0" t="s">
        <v>873</v>
      </c>
      <c r="D682" s="0" t="s">
        <v>53</v>
      </c>
      <c r="E682" s="38" t="n">
        <v>1148229</v>
      </c>
      <c r="F682" s="39" t="n">
        <v>62100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FF00"/>
    <pageSetUpPr fitToPage="false"/>
  </sheetPr>
  <dimension ref="A1:AE168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false" hidden="false" outlineLevel="0" max="1" min="1" style="27" width="9.14"/>
    <col collapsed="false" customWidth="true" hidden="false" outlineLevel="0" max="2" min="2" style="26" width="11.43"/>
    <col collapsed="false" customWidth="true" hidden="false" outlineLevel="0" max="3" min="3" style="42" width="11.43"/>
    <col collapsed="false" customWidth="true" hidden="false" outlineLevel="0" max="5" min="4" style="42" width="7.14"/>
    <col collapsed="false" customWidth="true" hidden="false" outlineLevel="0" max="6" min="6" style="42" width="28.57"/>
    <col collapsed="false" customWidth="true" hidden="false" outlineLevel="0" max="7" min="7" style="43" width="11.43"/>
    <col collapsed="false" customWidth="true" hidden="false" outlineLevel="0" max="8" min="8" style="43" width="7.14"/>
    <col collapsed="false" customWidth="true" hidden="false" outlineLevel="0" max="9" min="9" style="43" width="8.57"/>
    <col collapsed="false" customWidth="true" hidden="false" outlineLevel="0" max="11" min="10" style="42" width="12.85"/>
    <col collapsed="false" customWidth="true" hidden="false" outlineLevel="0" max="12" min="12" style="42" width="23"/>
    <col collapsed="false" customWidth="true" hidden="false" outlineLevel="0" max="13" min="13" style="42" width="17.85"/>
    <col collapsed="false" customWidth="true" hidden="false" outlineLevel="0" max="14" min="14" style="42" width="10"/>
    <col collapsed="false" customWidth="true" hidden="false" outlineLevel="0" max="15" min="15" style="42" width="11.43"/>
    <col collapsed="false" customWidth="true" hidden="false" outlineLevel="0" max="16" min="16" style="42" width="9.43"/>
    <col collapsed="false" customWidth="true" hidden="false" outlineLevel="0" max="18" min="17" style="42" width="8.57"/>
    <col collapsed="false" customWidth="true" hidden="false" outlineLevel="0" max="19" min="19" style="42" width="14.28"/>
    <col collapsed="false" customWidth="false" hidden="true" outlineLevel="0" max="21" min="20" style="42" width="9.14"/>
    <col collapsed="false" customWidth="true" hidden="true" outlineLevel="0" max="22" min="22" style="44" width="13.57"/>
    <col collapsed="false" customWidth="true" hidden="true" outlineLevel="0" max="23" min="23" style="44" width="21.71"/>
    <col collapsed="false" customWidth="false" hidden="true" outlineLevel="0" max="24" min="24" style="42" width="9.14"/>
    <col collapsed="false" customWidth="false" hidden="false" outlineLevel="0" max="25" min="25" style="44" width="9.14"/>
    <col collapsed="false" customWidth="true" hidden="false" outlineLevel="0" max="26" min="26" style="45" width="2.86"/>
    <col collapsed="false" customWidth="false" hidden="false" outlineLevel="0" max="27" min="27" style="1" width="9.14"/>
    <col collapsed="false" customWidth="true" hidden="false" outlineLevel="0" max="28" min="28" style="1" width="11.71"/>
    <col collapsed="false" customWidth="true" hidden="false" outlineLevel="0" max="30" min="29" style="1" width="8.85"/>
    <col collapsed="false" customWidth="false" hidden="false" outlineLevel="0" max="31" min="31" style="1" width="9.14"/>
  </cols>
  <sheetData>
    <row r="1" customFormat="false" ht="15" hidden="false" customHeight="false" outlineLevel="0" collapsed="false">
      <c r="A1" s="46" t="s">
        <v>874</v>
      </c>
      <c r="B1" s="47" t="s">
        <v>875</v>
      </c>
      <c r="C1" s="47"/>
      <c r="D1" s="47"/>
      <c r="E1" s="48" t="s">
        <v>876</v>
      </c>
      <c r="F1" s="49" t="s">
        <v>877</v>
      </c>
      <c r="G1" s="50" t="s">
        <v>878</v>
      </c>
      <c r="H1" s="50"/>
      <c r="I1" s="50"/>
      <c r="J1" s="51" t="s">
        <v>879</v>
      </c>
      <c r="K1" s="51"/>
      <c r="L1" s="51"/>
      <c r="M1" s="51"/>
      <c r="N1" s="52" t="s">
        <v>880</v>
      </c>
      <c r="O1" s="52"/>
      <c r="P1" s="53" t="s">
        <v>881</v>
      </c>
      <c r="Q1" s="53"/>
      <c r="R1" s="53"/>
      <c r="S1" s="54" t="s">
        <v>882</v>
      </c>
      <c r="AA1" s="55"/>
      <c r="AB1" s="55"/>
      <c r="AC1" s="55"/>
    </row>
    <row r="2" s="69" customFormat="true" ht="30" hidden="false" customHeight="false" outlineLevel="0" collapsed="false">
      <c r="A2" s="56" t="s">
        <v>883</v>
      </c>
      <c r="B2" s="57" t="s">
        <v>884</v>
      </c>
      <c r="C2" s="58" t="s">
        <v>885</v>
      </c>
      <c r="D2" s="59" t="s">
        <v>886</v>
      </c>
      <c r="E2" s="59" t="s">
        <v>887</v>
      </c>
      <c r="F2" s="60" t="s">
        <v>888</v>
      </c>
      <c r="G2" s="61" t="s">
        <v>889</v>
      </c>
      <c r="H2" s="61" t="s">
        <v>890</v>
      </c>
      <c r="I2" s="61" t="s">
        <v>891</v>
      </c>
      <c r="J2" s="62" t="s">
        <v>892</v>
      </c>
      <c r="K2" s="62" t="s">
        <v>893</v>
      </c>
      <c r="L2" s="63" t="s">
        <v>894</v>
      </c>
      <c r="M2" s="63" t="s">
        <v>895</v>
      </c>
      <c r="N2" s="60" t="s">
        <v>896</v>
      </c>
      <c r="O2" s="60" t="s">
        <v>897</v>
      </c>
      <c r="P2" s="64" t="s">
        <v>898</v>
      </c>
      <c r="Q2" s="64" t="s">
        <v>899</v>
      </c>
      <c r="R2" s="64" t="s">
        <v>900</v>
      </c>
      <c r="S2" s="65" t="s">
        <v>901</v>
      </c>
      <c r="T2" s="43"/>
      <c r="U2" s="43"/>
      <c r="V2" s="66"/>
      <c r="W2" s="66"/>
      <c r="X2" s="43"/>
      <c r="Y2" s="66"/>
      <c r="Z2" s="67"/>
      <c r="AA2" s="68"/>
      <c r="AB2" s="68"/>
      <c r="AC2" s="68"/>
      <c r="AD2" s="68"/>
      <c r="AE2" s="68"/>
    </row>
    <row r="3" customFormat="false" ht="15" hidden="false" customHeight="false" outlineLevel="0" collapsed="false">
      <c r="B3" s="70" t="s">
        <v>47</v>
      </c>
      <c r="C3" s="71" t="str">
        <f aca="false">IFERROR(INDEX('13F Data'!A:A,MATCH($B3,'13F Data'!A:A,0)),"No CUSIP Match")</f>
        <v>No CUSIP Match</v>
      </c>
      <c r="D3" s="71" t="str">
        <f aca="false">IFERROR(IF($B3=$C3,"Yes","No"),"No CUSIP Match")</f>
        <v>No</v>
      </c>
      <c r="E3" s="71"/>
      <c r="F3" s="71" t="str">
        <f aca="false">IFERROR(INDEX('13F Data'!C:C, MATCH($B3,'13F Data'!A:A,0)),"No CUSIP Match")</f>
        <v>No CUSIP Match</v>
      </c>
      <c r="G3" s="72" t="str">
        <f aca="false">IFERROR(INDEX('13F Data'!D:D,MATCH($B3,'13F Data'!A:A,0)),"No CUSIP Match")</f>
        <v>No CUSIP Match</v>
      </c>
      <c r="H3" s="42"/>
      <c r="J3" s="73" t="n">
        <f aca="false">$V3</f>
        <v>5000</v>
      </c>
      <c r="K3" s="71" t="str">
        <f aca="false">IFERROR(INDEX('EOD Data'!G:G, MATCH($A3, 'EOD Data'!B:B,0)), "No TKR Match")</f>
        <v>No TKR Match</v>
      </c>
      <c r="L3" s="74" t="str">
        <f aca="false">IFERROR(ROUND($J3*$K3,0),"Error")</f>
        <v>Error</v>
      </c>
      <c r="M3" s="71" t="str">
        <f aca="false">IFERROR(IF(AND($J3&lt;10000,$L3&lt;200000),"Yes","No"),"Error")</f>
        <v>No</v>
      </c>
      <c r="P3" s="42" t="str">
        <f aca="false">IF($N3="SOLE",$J3,"")</f>
        <v/>
      </c>
      <c r="Q3" s="42" t="str">
        <f aca="false">IFERROR(IF($N3="Sole",0,IF(AND($N3="OTR",$R3=0),$J3-$P3,IF(AND($N3="OTR", $R3&gt;0), $J3-$P3-$Q3, ""))),"")</f>
        <v/>
      </c>
      <c r="R3" s="42" t="str">
        <f aca="false">IF($P3=$J3, "0","")</f>
        <v/>
      </c>
      <c r="S3" s="42" t="str">
        <f aca="false">IF(OR(ISBLANK($B3),ISBLANK($C3), ISBLANK($E3), ISBLANK($F3), AND(ISBLANK($G3),ISBLANK($H3)), ISBLANK($I3), ISBLANK($L3), AND(ISBLANK($N3), ISBLANK($O3)), AND(ISBLANK($P3), ISBLANK($Q3), ISBLANK($R3))), "No", "Yes")</f>
        <v>No</v>
      </c>
      <c r="T3" s="42" t="str">
        <f aca="false">SUBSTITUTE($U3," ","")</f>
        <v>88579Y101</v>
      </c>
      <c r="U3" s="42" t="s">
        <v>47</v>
      </c>
      <c r="V3" s="39" t="n">
        <v>5000</v>
      </c>
      <c r="AA3" s="75"/>
      <c r="AC3" s="76"/>
    </row>
    <row r="4" customFormat="false" ht="15" hidden="false" customHeight="false" outlineLevel="0" collapsed="false">
      <c r="B4" s="70" t="s">
        <v>47</v>
      </c>
      <c r="C4" s="71" t="str">
        <f aca="false">IFERROR(INDEX('13F Data'!A:A,MATCH($B4,'13F Data'!A:A,0)),"No CUSIP Match")</f>
        <v>No CUSIP Match</v>
      </c>
      <c r="D4" s="71" t="str">
        <f aca="false">IFERROR(IF($B4=$C4,"Yes","No"),"No CUSIP Match")</f>
        <v>No</v>
      </c>
      <c r="E4" s="71"/>
      <c r="F4" s="71" t="str">
        <f aca="false">IFERROR(INDEX('13F Data'!C:C, MATCH($B4,'13F Data'!A:A,0)),"No CUSIP Match")</f>
        <v>No CUSIP Match</v>
      </c>
      <c r="G4" s="72" t="str">
        <f aca="false">IFERROR(INDEX('13F Data'!D:D,MATCH($B4,'13F Data'!A:A,0)),"No CUSIP Match")</f>
        <v>No CUSIP Match</v>
      </c>
      <c r="H4" s="42"/>
      <c r="J4" s="73" t="n">
        <f aca="false">$V4</f>
        <v>50000</v>
      </c>
      <c r="K4" s="71" t="str">
        <f aca="false">IFERROR(INDEX('EOD Data'!G:G, MATCH($A4, 'EOD Data'!B:B,0)), "No TKR Match")</f>
        <v>No TKR Match</v>
      </c>
      <c r="L4" s="74" t="str">
        <f aca="false">IFERROR(ROUND($J4*$K4,0),"Error")</f>
        <v>Error</v>
      </c>
      <c r="M4" s="71" t="str">
        <f aca="false">IFERROR(IF(AND($J4&lt;10000,$L4&lt;200000),"Yes","No"),"Error")</f>
        <v>No</v>
      </c>
      <c r="P4" s="42" t="str">
        <f aca="false">IF($N4="SOLE",$J4,"")</f>
        <v/>
      </c>
      <c r="Q4" s="42" t="str">
        <f aca="false">IFERROR(IF($N4="Sole",0,IF(AND($N4="OTR",$R4=0),$J4-$P4,IF(AND($N4="OTR", $R4&gt;0), $J4-$P4-$Q4, ""))),"")</f>
        <v/>
      </c>
      <c r="R4" s="42" t="str">
        <f aca="false">IF($P4=$J4, "0","")</f>
        <v/>
      </c>
      <c r="S4" s="42" t="str">
        <f aca="false">IF(OR(ISBLANK($B4),ISBLANK($C4), ISBLANK($E4), ISBLANK($F4), AND(ISBLANK($G4),ISBLANK($H4)), ISBLANK($I4), ISBLANK($L4), AND(ISBLANK($N4), ISBLANK($O4)), AND(ISBLANK($P4), ISBLANK($Q4), ISBLANK($R4))), "No", "Yes")</f>
        <v>No</v>
      </c>
      <c r="T4" s="42" t="str">
        <f aca="false">SUBSTITUTE($U4," ","")</f>
        <v>88579Y101</v>
      </c>
      <c r="U4" s="42" t="s">
        <v>47</v>
      </c>
      <c r="V4" s="39" t="n">
        <v>50000</v>
      </c>
      <c r="AB4" s="77"/>
      <c r="AC4" s="77"/>
    </row>
    <row r="5" customFormat="false" ht="15" hidden="false" customHeight="false" outlineLevel="0" collapsed="false">
      <c r="B5" s="70" t="s">
        <v>52</v>
      </c>
      <c r="C5" s="71" t="str">
        <f aca="false">IFERROR(INDEX('13F Data'!A:A,MATCH($B5,'13F Data'!A:A,0)),"No CUSIP Match")</f>
        <v>No CUSIP Match</v>
      </c>
      <c r="D5" s="71" t="str">
        <f aca="false">IFERROR(IF($B5=$C5,"Yes","No"),"No CUSIP Match")</f>
        <v>No</v>
      </c>
      <c r="E5" s="71"/>
      <c r="F5" s="71" t="str">
        <f aca="false">IFERROR(INDEX('13F Data'!C:C, MATCH($B5,'13F Data'!A:A,0)),"No CUSIP Match")</f>
        <v>No CUSIP Match</v>
      </c>
      <c r="G5" s="72" t="str">
        <f aca="false">IFERROR(INDEX('13F Data'!D:D,MATCH($B5,'13F Data'!A:A,0)),"No CUSIP Match")</f>
        <v>No CUSIP Match</v>
      </c>
      <c r="H5" s="42"/>
      <c r="J5" s="73" t="n">
        <f aca="false">$V5</f>
        <v>19200</v>
      </c>
      <c r="K5" s="71" t="str">
        <f aca="false">IFERROR(INDEX('EOD Data'!G:G, MATCH($A5, 'EOD Data'!B:B,0)), "No TKR Match")</f>
        <v>No TKR Match</v>
      </c>
      <c r="L5" s="74" t="str">
        <f aca="false">IFERROR(ROUND($J5*$K5,0),"Error")</f>
        <v>Error</v>
      </c>
      <c r="M5" s="71" t="str">
        <f aca="false">IFERROR(IF(AND($J5&lt;10000,$L5&lt;200000),"Yes","No"),"Error")</f>
        <v>No</v>
      </c>
      <c r="P5" s="42" t="str">
        <f aca="false">IF($N5="SOLE",$J5,"")</f>
        <v/>
      </c>
      <c r="Q5" s="42" t="str">
        <f aca="false">IFERROR(IF($N5="Sole",0,IF(AND($N5="OTR",$R5=0),$J5-$P5,IF(AND($N5="OTR", $R5&gt;0), $J5-$P5-$Q5, ""))),"")</f>
        <v/>
      </c>
      <c r="R5" s="42" t="str">
        <f aca="false">IF($P5=$J5, "0","")</f>
        <v/>
      </c>
      <c r="S5" s="42" t="str">
        <f aca="false">IF(OR(ISBLANK($B5),ISBLANK($C5), ISBLANK($E5), ISBLANK($F5), AND(ISBLANK($G5),ISBLANK($H5)), ISBLANK($I5), ISBLANK($L5), AND(ISBLANK($N5), ISBLANK($O5)), AND(ISBLANK($P5), ISBLANK($Q5), ISBLANK($R5))), "No", "Yes")</f>
        <v>No</v>
      </c>
      <c r="T5" s="42" t="str">
        <f aca="false">SUBSTITUTE($U5," ","")</f>
        <v>002824100</v>
      </c>
      <c r="U5" s="42" t="s">
        <v>52</v>
      </c>
      <c r="V5" s="39" t="n">
        <v>19200</v>
      </c>
    </row>
    <row r="6" customFormat="false" ht="15" hidden="false" customHeight="false" outlineLevel="0" collapsed="false">
      <c r="B6" s="70" t="s">
        <v>52</v>
      </c>
      <c r="C6" s="71" t="str">
        <f aca="false">IFERROR(INDEX('13F Data'!A:A,MATCH($B6,'13F Data'!A:A,0)),"No CUSIP Match")</f>
        <v>No CUSIP Match</v>
      </c>
      <c r="D6" s="71" t="str">
        <f aca="false">IFERROR(IF($B6=$C6,"Yes","No"),"No CUSIP Match")</f>
        <v>No</v>
      </c>
      <c r="E6" s="71"/>
      <c r="F6" s="71" t="str">
        <f aca="false">IFERROR(INDEX('13F Data'!C:C, MATCH($B6,'13F Data'!A:A,0)),"No CUSIP Match")</f>
        <v>No CUSIP Match</v>
      </c>
      <c r="G6" s="72" t="str">
        <f aca="false">IFERROR(INDEX('13F Data'!D:D,MATCH($B6,'13F Data'!A:A,0)),"No CUSIP Match")</f>
        <v>No CUSIP Match</v>
      </c>
      <c r="H6" s="78"/>
      <c r="J6" s="73" t="n">
        <f aca="false">$V6</f>
        <v>19200</v>
      </c>
      <c r="K6" s="71" t="str">
        <f aca="false">IFERROR(INDEX('EOD Data'!G:G, MATCH($A6, 'EOD Data'!B:B,0)), "No TKR Match")</f>
        <v>No TKR Match</v>
      </c>
      <c r="L6" s="74" t="str">
        <f aca="false">IFERROR(ROUND($J6*$K6,0),"Error")</f>
        <v>Error</v>
      </c>
      <c r="M6" s="71" t="str">
        <f aca="false">IFERROR(IF(AND($J6&lt;10000,$L6&lt;200000),"Yes","No"),"Error")</f>
        <v>No</v>
      </c>
      <c r="P6" s="42" t="str">
        <f aca="false">IF($N6="SOLE",$J6,"")</f>
        <v/>
      </c>
      <c r="Q6" s="42" t="str">
        <f aca="false">IFERROR(IF($N6="Sole",0,IF(AND($N6="OTR",$R6=0),$J6-$P6,IF(AND($N6="OTR", $R6&gt;0), $J6-$P6-$Q6, ""))),"")</f>
        <v/>
      </c>
      <c r="R6" s="42" t="str">
        <f aca="false">IF($P6=$J6, "0","")</f>
        <v/>
      </c>
      <c r="S6" s="42" t="str">
        <f aca="false">IF(OR(ISBLANK($B6),ISBLANK($C6), ISBLANK($E6), ISBLANK($F6), AND(ISBLANK($G6),ISBLANK($H6)), ISBLANK($I6), ISBLANK($L6), AND(ISBLANK($N6), ISBLANK($O6)), AND(ISBLANK($P6), ISBLANK($Q6), ISBLANK($R6))), "No", "Yes")</f>
        <v>No</v>
      </c>
      <c r="T6" s="42" t="str">
        <f aca="false">SUBSTITUTE($U6," ","")</f>
        <v>002824100</v>
      </c>
      <c r="U6" s="42" t="s">
        <v>52</v>
      </c>
      <c r="V6" s="39" t="n">
        <v>19200</v>
      </c>
      <c r="W6" s="79"/>
      <c r="AB6" s="77"/>
      <c r="AC6" s="77"/>
    </row>
    <row r="7" customFormat="false" ht="15" hidden="false" customHeight="false" outlineLevel="0" collapsed="false">
      <c r="B7" s="70" t="s">
        <v>55</v>
      </c>
      <c r="C7" s="71" t="str">
        <f aca="false">IFERROR(INDEX('13F Data'!A:A,MATCH($B7,'13F Data'!A:A,0)),"No CUSIP Match")</f>
        <v>No CUSIP Match</v>
      </c>
      <c r="D7" s="71" t="str">
        <f aca="false">IFERROR(IF($B7=$C7,"Yes","No"),"No CUSIP Match")</f>
        <v>No</v>
      </c>
      <c r="E7" s="71"/>
      <c r="F7" s="71" t="str">
        <f aca="false">IFERROR(INDEX('13F Data'!C:C, MATCH($B7,'13F Data'!A:A,0)),"No CUSIP Match")</f>
        <v>No CUSIP Match</v>
      </c>
      <c r="G7" s="72" t="str">
        <f aca="false">IFERROR(INDEX('13F Data'!D:D,MATCH($B7,'13F Data'!A:A,0)),"No CUSIP Match")</f>
        <v>No CUSIP Match</v>
      </c>
      <c r="H7" s="42"/>
      <c r="J7" s="73" t="n">
        <f aca="false">$V7</f>
        <v>6800</v>
      </c>
      <c r="K7" s="71" t="str">
        <f aca="false">IFERROR(INDEX('EOD Data'!G:G, MATCH($A7, 'EOD Data'!B:B,0)), "No TKR Match")</f>
        <v>No TKR Match</v>
      </c>
      <c r="L7" s="74" t="str">
        <f aca="false">IFERROR(ROUND($J7*$K7,0),"Error")</f>
        <v>Error</v>
      </c>
      <c r="M7" s="71" t="str">
        <f aca="false">IFERROR(IF(AND($J7&lt;10000,$L7&lt;200000),"Yes","No"),"Error")</f>
        <v>No</v>
      </c>
      <c r="P7" s="42" t="str">
        <f aca="false">IF($N7="SOLE",$J7,"")</f>
        <v/>
      </c>
      <c r="Q7" s="42" t="str">
        <f aca="false">IFERROR(IF($N7="Sole",0,IF(AND($N7="OTR",$R7=0),$J7-$P7,IF(AND($N7="OTR", $R7&gt;0), $J7-$P7-$Q7, ""))),"")</f>
        <v/>
      </c>
      <c r="R7" s="42" t="str">
        <f aca="false">IF($P7=$J7, "0","")</f>
        <v/>
      </c>
      <c r="S7" s="42" t="str">
        <f aca="false">IF(OR(ISBLANK($B7),ISBLANK($C7), ISBLANK($E7), ISBLANK($F7), AND(ISBLANK($G7),ISBLANK($H7)), ISBLANK($I7), ISBLANK($L7), AND(ISBLANK($N7), ISBLANK($O7)), AND(ISBLANK($P7), ISBLANK($Q7), ISBLANK($R7))), "No", "Yes")</f>
        <v>No</v>
      </c>
      <c r="T7" s="42" t="str">
        <f aca="false">SUBSTITUTE($U7," ","")</f>
        <v>00287Y109</v>
      </c>
      <c r="U7" s="42" t="s">
        <v>55</v>
      </c>
      <c r="V7" s="39" t="n">
        <v>6800</v>
      </c>
      <c r="AC7" s="76"/>
    </row>
    <row r="8" customFormat="false" ht="15" hidden="false" customHeight="false" outlineLevel="0" collapsed="false">
      <c r="B8" s="80" t="s">
        <v>55</v>
      </c>
      <c r="C8" s="71" t="str">
        <f aca="false">IFERROR(INDEX('13F Data'!A:A,MATCH($B8,'13F Data'!A:A,0)),"No CUSIP Match")</f>
        <v>No CUSIP Match</v>
      </c>
      <c r="D8" s="71" t="str">
        <f aca="false">IFERROR(IF($B8=$C8,"Yes","No"),"No CUSIP Match")</f>
        <v>No</v>
      </c>
      <c r="E8" s="71"/>
      <c r="F8" s="71" t="str">
        <f aca="false">IFERROR(INDEX('13F Data'!C:C, MATCH($B8,'13F Data'!A:A,0)),"No CUSIP Match")</f>
        <v>No CUSIP Match</v>
      </c>
      <c r="G8" s="72" t="str">
        <f aca="false">IFERROR(INDEX('13F Data'!D:D,MATCH($B8,'13F Data'!A:A,0)),"No CUSIP Match")</f>
        <v>No CUSIP Match</v>
      </c>
      <c r="H8" s="42"/>
      <c r="J8" s="73" t="n">
        <f aca="false">$V8</f>
        <v>6800</v>
      </c>
      <c r="K8" s="71" t="str">
        <f aca="false">IFERROR(INDEX('EOD Data'!G:G, MATCH($A8, 'EOD Data'!B:B,0)), "No TKR Match")</f>
        <v>No TKR Match</v>
      </c>
      <c r="L8" s="74" t="str">
        <f aca="false">IFERROR(ROUND($J8*$K8,0),"Error")</f>
        <v>Error</v>
      </c>
      <c r="M8" s="71" t="str">
        <f aca="false">IFERROR(IF(AND($J8&lt;10000,$L8&lt;200000),"Yes","No"),"Error")</f>
        <v>No</v>
      </c>
      <c r="P8" s="42" t="str">
        <f aca="false">IF($N8="SOLE",$J8,"")</f>
        <v/>
      </c>
      <c r="Q8" s="42" t="str">
        <f aca="false">IFERROR(IF($N8="Sole",0,IF(AND($N8="OTR",$R8=0),$J8-$P8,IF(AND($N8="OTR", $R8&gt;0), $J8-$P8-$Q8, ""))),"")</f>
        <v/>
      </c>
      <c r="R8" s="42" t="str">
        <f aca="false">IF($P8=$J8, "0","")</f>
        <v/>
      </c>
      <c r="S8" s="42" t="str">
        <f aca="false">IF(OR(ISBLANK($B8),ISBLANK($C8), ISBLANK($E8), ISBLANK($F8), AND(ISBLANK($G8),ISBLANK($H8)), ISBLANK($I8), ISBLANK($L8), AND(ISBLANK($N8), ISBLANK($O8)), AND(ISBLANK($P8), ISBLANK($Q8), ISBLANK($R8))), "No", "Yes")</f>
        <v>No</v>
      </c>
      <c r="T8" s="42" t="str">
        <f aca="false">SUBSTITUTE($U8," ","")</f>
        <v>00287Y109</v>
      </c>
      <c r="U8" s="42" t="s">
        <v>55</v>
      </c>
      <c r="V8" s="39" t="n">
        <v>6800</v>
      </c>
    </row>
    <row r="9" customFormat="false" ht="15" hidden="false" customHeight="false" outlineLevel="0" collapsed="false">
      <c r="B9" s="70" t="s">
        <v>57</v>
      </c>
      <c r="C9" s="71" t="str">
        <f aca="false">IFERROR(INDEX('13F Data'!A:A,MATCH($B9,'13F Data'!A:A,0)),"No CUSIP Match")</f>
        <v>No CUSIP Match</v>
      </c>
      <c r="D9" s="71" t="str">
        <f aca="false">IFERROR(IF($B9=$C9,"Yes","No"),"No CUSIP Match")</f>
        <v>No</v>
      </c>
      <c r="E9" s="71"/>
      <c r="F9" s="71" t="str">
        <f aca="false">IFERROR(INDEX('13F Data'!C:C, MATCH($B9,'13F Data'!A:A,0)),"No CUSIP Match")</f>
        <v>No CUSIP Match</v>
      </c>
      <c r="G9" s="72" t="str">
        <f aca="false">IFERROR(INDEX('13F Data'!D:D,MATCH($B9,'13F Data'!A:A,0)),"No CUSIP Match")</f>
        <v>No CUSIP Match</v>
      </c>
      <c r="I9" s="41"/>
      <c r="J9" s="73" t="n">
        <f aca="false">$V9</f>
        <v>32300</v>
      </c>
      <c r="K9" s="71" t="str">
        <f aca="false">IFERROR(INDEX('EOD Data'!G:G, MATCH($A9, 'EOD Data'!B:B,0)), "No TKR Match")</f>
        <v>No TKR Match</v>
      </c>
      <c r="L9" s="74" t="str">
        <f aca="false">IFERROR(ROUND($J9*$K9,0),"Error")</f>
        <v>Error</v>
      </c>
      <c r="M9" s="71" t="str">
        <f aca="false">IFERROR(IF(AND($J9&lt;10000,$L9&lt;200000),"Yes","No"),"Error")</f>
        <v>No</v>
      </c>
      <c r="P9" s="42" t="str">
        <f aca="false">IF($N9="SOLE",$J9,"")</f>
        <v/>
      </c>
      <c r="Q9" s="42" t="str">
        <f aca="false">IFERROR(IF($N9="Sole",0,IF(AND($N9="OTR",$R9=0),$J9-$P9,IF(AND($N9="OTR", $R9&gt;0), $J9-$P9-$Q9, ""))),"")</f>
        <v/>
      </c>
      <c r="R9" s="42" t="str">
        <f aca="false">IF($P9=$J9, "0","")</f>
        <v/>
      </c>
      <c r="S9" s="42" t="str">
        <f aca="false">IF(OR(ISBLANK($B9),ISBLANK($C9), ISBLANK($E9), ISBLANK($F9), AND(ISBLANK($G9),ISBLANK($H9)), ISBLANK($I9), ISBLANK($L9), AND(ISBLANK($N9), ISBLANK($O9)), AND(ISBLANK($P9), ISBLANK($Q9), ISBLANK($R9))), "No", "Yes")</f>
        <v>No</v>
      </c>
      <c r="T9" s="42" t="str">
        <f aca="false">SUBSTITUTE($U9," ","")</f>
        <v>00402L107</v>
      </c>
      <c r="U9" s="42" t="s">
        <v>57</v>
      </c>
      <c r="V9" s="39" t="n">
        <v>32300</v>
      </c>
    </row>
    <row r="10" customFormat="false" ht="15" hidden="false" customHeight="false" outlineLevel="0" collapsed="false">
      <c r="B10" s="70" t="s">
        <v>57</v>
      </c>
      <c r="C10" s="71" t="str">
        <f aca="false">IFERROR(INDEX('13F Data'!A:A,MATCH($B10,'13F Data'!A:A,0)),"No CUSIP Match")</f>
        <v>No CUSIP Match</v>
      </c>
      <c r="D10" s="71" t="str">
        <f aca="false">IFERROR(IF($B10=$C10,"Yes","No"),"No CUSIP Match")</f>
        <v>No</v>
      </c>
      <c r="E10" s="71"/>
      <c r="F10" s="71" t="str">
        <f aca="false">IFERROR(INDEX('13F Data'!C:C, MATCH($B10,'13F Data'!A:A,0)),"No CUSIP Match")</f>
        <v>No CUSIP Match</v>
      </c>
      <c r="G10" s="72" t="str">
        <f aca="false">IFERROR(INDEX('13F Data'!D:D,MATCH($B10,'13F Data'!A:A,0)),"No CUSIP Match")</f>
        <v>No CUSIP Match</v>
      </c>
      <c r="H10" s="42"/>
      <c r="I10" s="41"/>
      <c r="J10" s="73" t="n">
        <f aca="false">$V10</f>
        <v>32300</v>
      </c>
      <c r="K10" s="71" t="str">
        <f aca="false">IFERROR(INDEX('EOD Data'!G:G, MATCH($A10, 'EOD Data'!B:B,0)), "No TKR Match")</f>
        <v>No TKR Match</v>
      </c>
      <c r="L10" s="74" t="str">
        <f aca="false">IFERROR(ROUND($J10*$K10,0),"Error")</f>
        <v>Error</v>
      </c>
      <c r="M10" s="71" t="str">
        <f aca="false">IFERROR(IF(AND($J10&lt;10000,$L10&lt;200000),"Yes","No"),"Error")</f>
        <v>No</v>
      </c>
      <c r="P10" s="42" t="str">
        <f aca="false">IF($N10="SOLE",$J10,"")</f>
        <v/>
      </c>
      <c r="Q10" s="42" t="str">
        <f aca="false">IFERROR(IF($N10="Sole",0,IF(AND($N10="OTR",$R10=0),$J10-$P10,IF(AND($N10="OTR", $R10&gt;0), $J10-$P10-$Q10, ""))),"")</f>
        <v/>
      </c>
      <c r="R10" s="42" t="str">
        <f aca="false">IF($P10=$J10, "0","")</f>
        <v/>
      </c>
      <c r="S10" s="42" t="str">
        <f aca="false">IF(OR(ISBLANK($B10),ISBLANK($C10), ISBLANK($E10), ISBLANK($F10), AND(ISBLANK($G10),ISBLANK($H10)), ISBLANK($I10), ISBLANK($L10), AND(ISBLANK($N10), ISBLANK($O10)), AND(ISBLANK($P10), ISBLANK($Q10), ISBLANK($R10))), "No", "Yes")</f>
        <v>No</v>
      </c>
      <c r="T10" s="42" t="str">
        <f aca="false">SUBSTITUTE($U10," ","")</f>
        <v>00402L107</v>
      </c>
      <c r="U10" s="42" t="s">
        <v>57</v>
      </c>
      <c r="V10" s="39" t="n">
        <v>32300</v>
      </c>
    </row>
    <row r="11" customFormat="false" ht="15" hidden="false" customHeight="false" outlineLevel="0" collapsed="false">
      <c r="B11" s="70" t="s">
        <v>59</v>
      </c>
      <c r="C11" s="71" t="str">
        <f aca="false">IFERROR(INDEX('13F Data'!A:A,MATCH($B11,'13F Data'!A:A,0)),"No CUSIP Match")</f>
        <v>No CUSIP Match</v>
      </c>
      <c r="D11" s="71" t="str">
        <f aca="false">IFERROR(IF($B11=$C11,"Yes","No"),"No CUSIP Match")</f>
        <v>No</v>
      </c>
      <c r="E11" s="71"/>
      <c r="F11" s="71" t="str">
        <f aca="false">IFERROR(INDEX('13F Data'!C:C, MATCH($B11,'13F Data'!A:A,0)),"No CUSIP Match")</f>
        <v>No CUSIP Match</v>
      </c>
      <c r="G11" s="72" t="str">
        <f aca="false">IFERROR(INDEX('13F Data'!D:D,MATCH($B11,'13F Data'!A:A,0)),"No CUSIP Match")</f>
        <v>No CUSIP Match</v>
      </c>
      <c r="H11" s="42"/>
      <c r="I11" s="41"/>
      <c r="J11" s="73" t="n">
        <f aca="false">$V11</f>
        <v>5000</v>
      </c>
      <c r="K11" s="71" t="str">
        <f aca="false">IFERROR(INDEX('EOD Data'!G:G, MATCH($A11, 'EOD Data'!B:B,0)), "No TKR Match")</f>
        <v>No TKR Match</v>
      </c>
      <c r="L11" s="74" t="str">
        <f aca="false">IFERROR(ROUND($J11*$K11,0),"Error")</f>
        <v>Error</v>
      </c>
      <c r="M11" s="81" t="str">
        <f aca="false">IFERROR(IF(AND($J11&lt;10000,$L11&lt;200000),"Yes","No"),"Error")</f>
        <v>No</v>
      </c>
      <c r="P11" s="42" t="str">
        <f aca="false">IF($N11="SOLE",$J11,"")</f>
        <v/>
      </c>
      <c r="Q11" s="42" t="str">
        <f aca="false">IFERROR(IF($N11="Sole",0,IF(AND($N11="OTR",$R11=0),$J11-$P11,IF(AND($N11="OTR", $R11&gt;0), $J11-$P11-$Q11, ""))),"")</f>
        <v/>
      </c>
      <c r="R11" s="42" t="str">
        <f aca="false">IF($P11=$J11, "0","")</f>
        <v/>
      </c>
      <c r="S11" s="42" t="str">
        <f aca="false">IF(OR(ISBLANK($B11),ISBLANK($C11), ISBLANK($E11), ISBLANK($F11), AND(ISBLANK($G11),ISBLANK($H11)), ISBLANK($I11), ISBLANK($L11), AND(ISBLANK($N11), ISBLANK($O11)), AND(ISBLANK($P11), ISBLANK($Q11), ISBLANK($R11))), "No", "Yes")</f>
        <v>No</v>
      </c>
      <c r="T11" s="42" t="str">
        <f aca="false">SUBSTITUTE($U11," ","")</f>
        <v>00B4BNMY3</v>
      </c>
      <c r="U11" s="42" t="s">
        <v>59</v>
      </c>
      <c r="V11" s="39" t="n">
        <v>5000</v>
      </c>
    </row>
    <row r="12" customFormat="false" ht="15" hidden="false" customHeight="false" outlineLevel="0" collapsed="false">
      <c r="B12" s="70" t="s">
        <v>59</v>
      </c>
      <c r="C12" s="71" t="str">
        <f aca="false">IFERROR(INDEX('13F Data'!A:A,MATCH($B12,'13F Data'!A:A,0)),"No CUSIP Match")</f>
        <v>No CUSIP Match</v>
      </c>
      <c r="D12" s="71" t="str">
        <f aca="false">IFERROR(IF($B12=$C12,"Yes","No"),"No CUSIP Match")</f>
        <v>No</v>
      </c>
      <c r="E12" s="71"/>
      <c r="F12" s="71" t="str">
        <f aca="false">IFERROR(INDEX('13F Data'!C:C, MATCH($B12,'13F Data'!A:A,0)),"No CUSIP Match")</f>
        <v>No CUSIP Match</v>
      </c>
      <c r="G12" s="72" t="str">
        <f aca="false">IFERROR(INDEX('13F Data'!D:D,MATCH($B12,'13F Data'!A:A,0)),"No CUSIP Match")</f>
        <v>No CUSIP Match</v>
      </c>
      <c r="I12" s="41"/>
      <c r="J12" s="73" t="n">
        <f aca="false">$V12</f>
        <v>5000</v>
      </c>
      <c r="K12" s="71" t="str">
        <f aca="false">IFERROR(INDEX('EOD Data'!G:G, MATCH($A12, 'EOD Data'!B:B,0)), "No TKR Match")</f>
        <v>No TKR Match</v>
      </c>
      <c r="L12" s="74" t="str">
        <f aca="false">IFERROR(ROUND($J12*$K12,0),"Error")</f>
        <v>Error</v>
      </c>
      <c r="M12" s="71" t="str">
        <f aca="false">IFERROR(IF(AND($J12&lt;10000,$L12&lt;200000),"Yes","No"),"Error")</f>
        <v>No</v>
      </c>
      <c r="P12" s="42" t="str">
        <f aca="false">IF($N12="SOLE",$J12,"")</f>
        <v/>
      </c>
      <c r="Q12" s="42" t="str">
        <f aca="false">IFERROR(IF($N12="Sole",0,IF(AND($N12="OTR",$R12=0),$J12-$P12,IF(AND($N12="OTR", $R12&gt;0), $J12-$P12-$Q12, ""))),"")</f>
        <v/>
      </c>
      <c r="R12" s="42" t="str">
        <f aca="false">IF($P12=$J12, "0","")</f>
        <v/>
      </c>
      <c r="S12" s="42" t="str">
        <f aca="false">IF(OR(ISBLANK($B12),ISBLANK($C12), ISBLANK($E12), ISBLANK($F12), AND(ISBLANK($G12),ISBLANK($H12)), ISBLANK($I12), ISBLANK($L12), AND(ISBLANK($N12), ISBLANK($O12)), AND(ISBLANK($P12), ISBLANK($Q12), ISBLANK($R12))), "No", "Yes")</f>
        <v>No</v>
      </c>
      <c r="T12" s="42" t="str">
        <f aca="false">SUBSTITUTE($U12," ","")</f>
        <v>00B4BNMY3</v>
      </c>
      <c r="U12" s="42" t="s">
        <v>59</v>
      </c>
      <c r="V12" s="39" t="n">
        <v>5000</v>
      </c>
    </row>
    <row r="13" customFormat="false" ht="15" hidden="false" customHeight="false" outlineLevel="0" collapsed="false">
      <c r="B13" s="70" t="s">
        <v>61</v>
      </c>
      <c r="C13" s="71" t="str">
        <f aca="false">IFERROR(INDEX('13F Data'!A:A,MATCH($B13,'13F Data'!A:A,0)),"No CUSIP Match")</f>
        <v>No CUSIP Match</v>
      </c>
      <c r="D13" s="71" t="str">
        <f aca="false">IFERROR(IF($B13=$C13,"Yes","No"),"No CUSIP Match")</f>
        <v>No</v>
      </c>
      <c r="E13" s="71"/>
      <c r="F13" s="71" t="str">
        <f aca="false">IFERROR(INDEX('13F Data'!C:C, MATCH($B13,'13F Data'!A:A,0)),"No CUSIP Match")</f>
        <v>No CUSIP Match</v>
      </c>
      <c r="G13" s="72" t="str">
        <f aca="false">IFERROR(INDEX('13F Data'!D:D,MATCH($B13,'13F Data'!A:A,0)),"No CUSIP Match")</f>
        <v>No CUSIP Match</v>
      </c>
      <c r="I13" s="41"/>
      <c r="J13" s="73" t="n">
        <f aca="false">$V13</f>
        <v>448891</v>
      </c>
      <c r="K13" s="71" t="str">
        <f aca="false">IFERROR(INDEX('EOD Data'!G:G, MATCH($A13, 'EOD Data'!B:B,0)), "No TKR Match")</f>
        <v>No TKR Match</v>
      </c>
      <c r="L13" s="74" t="str">
        <f aca="false">IFERROR(ROUND($J13*$K13,0),"Error")</f>
        <v>Error</v>
      </c>
      <c r="M13" s="71" t="str">
        <f aca="false">IFERROR(IF(AND($J13&lt;10000,$L13&lt;200000),"Yes","No"),"Error")</f>
        <v>No</v>
      </c>
      <c r="P13" s="42" t="str">
        <f aca="false">IF($N13="SOLE",$J13,"")</f>
        <v/>
      </c>
      <c r="Q13" s="42" t="str">
        <f aca="false">IFERROR(IF($N13="Sole",0,IF(AND($N13="OTR",$R13=0),$J13-$P13,IF(AND($N13="OTR", $R13&gt;0), $J13-$P13-$Q13, ""))),"")</f>
        <v/>
      </c>
      <c r="R13" s="42" t="str">
        <f aca="false">IF($P13=$J13, "0","")</f>
        <v/>
      </c>
      <c r="S13" s="42" t="str">
        <f aca="false">IF(OR(ISBLANK($B13),ISBLANK($C13), ISBLANK($E13), ISBLANK($F13), AND(ISBLANK($G13),ISBLANK($H13)), ISBLANK($I13), ISBLANK($L13), AND(ISBLANK($N13), ISBLANK($O13)), AND(ISBLANK($P13), ISBLANK($Q13), ISBLANK($R13))), "No", "Yes")</f>
        <v>No</v>
      </c>
      <c r="T13" s="42" t="str">
        <f aca="false">SUBSTITUTE($U13," ","")</f>
        <v>00081T108</v>
      </c>
      <c r="U13" s="42" t="s">
        <v>61</v>
      </c>
      <c r="V13" s="39" t="n">
        <v>448891</v>
      </c>
    </row>
    <row r="14" customFormat="false" ht="15" hidden="false" customHeight="false" outlineLevel="0" collapsed="false">
      <c r="B14" s="70" t="s">
        <v>63</v>
      </c>
      <c r="C14" s="71" t="str">
        <f aca="false">IFERROR(INDEX('13F Data'!A:A,MATCH($B14,'13F Data'!A:A,0)),"No CUSIP Match")</f>
        <v>No CUSIP Match</v>
      </c>
      <c r="D14" s="71" t="str">
        <f aca="false">IFERROR(IF($B14=$C14,"Yes","No"),"No CUSIP Match")</f>
        <v>No</v>
      </c>
      <c r="E14" s="71"/>
      <c r="F14" s="71" t="str">
        <f aca="false">IFERROR(INDEX('13F Data'!C:C, MATCH($B14,'13F Data'!A:A,0)),"No CUSIP Match")</f>
        <v>No CUSIP Match</v>
      </c>
      <c r="G14" s="72" t="str">
        <f aca="false">IFERROR(INDEX('13F Data'!D:D,MATCH($B14,'13F Data'!A:A,0)),"No CUSIP Match")</f>
        <v>No CUSIP Match</v>
      </c>
      <c r="I14" s="41"/>
      <c r="J14" s="73" t="n">
        <f aca="false">$V14</f>
        <v>8100</v>
      </c>
      <c r="K14" s="71" t="str">
        <f aca="false">IFERROR(INDEX('EOD Data'!G:G, MATCH($A14, 'EOD Data'!B:B,0)), "No TKR Match")</f>
        <v>No TKR Match</v>
      </c>
      <c r="L14" s="74" t="str">
        <f aca="false">IFERROR(ROUND($J14*$K14,0),"Error")</f>
        <v>Error</v>
      </c>
      <c r="M14" s="71" t="str">
        <f aca="false">IFERROR(IF(AND($J14&lt;10000,$L14&lt;200000),"Yes","No"),"Error")</f>
        <v>No</v>
      </c>
      <c r="P14" s="42" t="str">
        <f aca="false">IF($N14="SOLE",$J14,"")</f>
        <v/>
      </c>
      <c r="Q14" s="42" t="str">
        <f aca="false">IFERROR(IF($N14="Sole",0,IF(AND($N14="OTR",$R14=0),$J14-$P14,IF(AND($N14="OTR", $R14&gt;0), $J14-$P14-$Q14, ""))),"")</f>
        <v/>
      </c>
      <c r="R14" s="42" t="str">
        <f aca="false">IF($P14=$J14, "0","")</f>
        <v/>
      </c>
      <c r="S14" s="42" t="str">
        <f aca="false">IF(OR(ISBLANK($B14),ISBLANK($C14), ISBLANK($E14), ISBLANK($F14), AND(ISBLANK($G14),ISBLANK($H14)), ISBLANK($I14), ISBLANK($L14), AND(ISBLANK($N14), ISBLANK($O14)), AND(ISBLANK($P14), ISBLANK($Q14), ISBLANK($R14))), "No", "Yes")</f>
        <v>No</v>
      </c>
      <c r="T14" s="42" t="str">
        <f aca="false">SUBSTITUTE($U14," ","")</f>
        <v>00724F101</v>
      </c>
      <c r="U14" s="42" t="s">
        <v>63</v>
      </c>
      <c r="V14" s="39" t="n">
        <v>8100</v>
      </c>
    </row>
    <row r="15" customFormat="false" ht="15" hidden="false" customHeight="false" outlineLevel="0" collapsed="false">
      <c r="B15" s="70" t="s">
        <v>63</v>
      </c>
      <c r="C15" s="71" t="str">
        <f aca="false">IFERROR(INDEX('13F Data'!A:A,MATCH($B15,'13F Data'!A:A,0)),"No CUSIP Match")</f>
        <v>No CUSIP Match</v>
      </c>
      <c r="D15" s="71" t="str">
        <f aca="false">IFERROR(IF($B15=$C15,"Yes","No"),"No CUSIP Match")</f>
        <v>No</v>
      </c>
      <c r="E15" s="71"/>
      <c r="F15" s="71" t="str">
        <f aca="false">IFERROR(INDEX('13F Data'!C:C, MATCH($B15,'13F Data'!A:A,0)),"No CUSIP Match")</f>
        <v>No CUSIP Match</v>
      </c>
      <c r="G15" s="72" t="str">
        <f aca="false">IFERROR(INDEX('13F Data'!D:D,MATCH($B15,'13F Data'!A:A,0)),"No CUSIP Match")</f>
        <v>No CUSIP Match</v>
      </c>
      <c r="H15" s="42"/>
      <c r="I15" s="41"/>
      <c r="J15" s="73" t="n">
        <f aca="false">$V15</f>
        <v>8100</v>
      </c>
      <c r="K15" s="71" t="str">
        <f aca="false">IFERROR(INDEX('EOD Data'!G:G, MATCH($A15, 'EOD Data'!B:B,0)), "No TKR Match")</f>
        <v>No TKR Match</v>
      </c>
      <c r="L15" s="74" t="str">
        <f aca="false">IFERROR(ROUND($J15*$K15,0),"Error")</f>
        <v>Error</v>
      </c>
      <c r="M15" s="71" t="str">
        <f aca="false">IFERROR(IF(AND($J15&lt;10000,$L15&lt;200000),"Yes","No"),"Error")</f>
        <v>No</v>
      </c>
      <c r="P15" s="42" t="str">
        <f aca="false">IF($N15="SOLE",$J15,"")</f>
        <v/>
      </c>
      <c r="Q15" s="42" t="str">
        <f aca="false">IFERROR(IF($N15="Sole",0,IF(AND($N15="OTR",$R15=0),$J15-$P15,IF(AND($N15="OTR", $R15&gt;0), $J15-$P15-$Q15, ""))),"")</f>
        <v/>
      </c>
      <c r="R15" s="42" t="str">
        <f aca="false">IF($P15=$J15, "0","")</f>
        <v/>
      </c>
      <c r="S15" s="42" t="str">
        <f aca="false">IF(OR(ISBLANK($B15),ISBLANK($C15), ISBLANK($E15), ISBLANK($F15), AND(ISBLANK($G15),ISBLANK($H15)), ISBLANK($I15), ISBLANK($L15), AND(ISBLANK($N15), ISBLANK($O15)), AND(ISBLANK($P15), ISBLANK($Q15), ISBLANK($R15))), "No", "Yes")</f>
        <v>No</v>
      </c>
      <c r="T15" s="42" t="str">
        <f aca="false">SUBSTITUTE($U15," ","")</f>
        <v>00724F101</v>
      </c>
      <c r="U15" s="42" t="s">
        <v>63</v>
      </c>
      <c r="V15" s="39" t="n">
        <v>8100</v>
      </c>
    </row>
    <row r="16" customFormat="false" ht="15" hidden="false" customHeight="false" outlineLevel="0" collapsed="false">
      <c r="B16" s="70" t="s">
        <v>65</v>
      </c>
      <c r="C16" s="71" t="str">
        <f aca="false">IFERROR(INDEX('13F Data'!A:A,MATCH($B16,'13F Data'!A:A,0)),"No CUSIP Match")</f>
        <v>No CUSIP Match</v>
      </c>
      <c r="D16" s="71" t="str">
        <f aca="false">IFERROR(IF($B16=$C16,"Yes","No"),"No CUSIP Match")</f>
        <v>No</v>
      </c>
      <c r="E16" s="71"/>
      <c r="F16" s="71" t="str">
        <f aca="false">IFERROR(INDEX('13F Data'!C:C, MATCH($B16,'13F Data'!A:A,0)),"No CUSIP Match")</f>
        <v>No CUSIP Match</v>
      </c>
      <c r="G16" s="72" t="str">
        <f aca="false">IFERROR(INDEX('13F Data'!D:D,MATCH($B16,'13F Data'!A:A,0)),"No CUSIP Match")</f>
        <v>No CUSIP Match</v>
      </c>
      <c r="H16" s="42"/>
      <c r="J16" s="73" t="n">
        <f aca="false">$V16</f>
        <v>25670</v>
      </c>
      <c r="K16" s="71" t="str">
        <f aca="false">IFERROR(INDEX('EOD Data'!G:G, MATCH($A16, 'EOD Data'!B:B,0)), "No TKR Match")</f>
        <v>No TKR Match</v>
      </c>
      <c r="L16" s="74" t="str">
        <f aca="false">IFERROR(ROUND($J16*$K16,0),"Error")</f>
        <v>Error</v>
      </c>
      <c r="M16" s="71" t="str">
        <f aca="false">IFERROR(IF(AND($J16&lt;10000,$L16&lt;200000),"Yes","No"),"Error")</f>
        <v>No</v>
      </c>
      <c r="P16" s="42" t="str">
        <f aca="false">IF($N16="SOLE",$J16,"")</f>
        <v/>
      </c>
      <c r="Q16" s="42" t="str">
        <f aca="false">IFERROR(IF($N16="Sole",0,IF(AND($N16="OTR",$R16=0),$J16-$P16,IF(AND($N16="OTR", $R16&gt;0), $J16-$P16-$Q16, ""))),"")</f>
        <v/>
      </c>
      <c r="R16" s="42" t="str">
        <f aca="false">IF($P16=$J16, "0","")</f>
        <v/>
      </c>
      <c r="S16" s="42" t="str">
        <f aca="false">IF(OR(ISBLANK($B16),ISBLANK($C16), ISBLANK($E16), ISBLANK($F16), AND(ISBLANK($G16),ISBLANK($H16)), ISBLANK($I16), ISBLANK($L16), AND(ISBLANK($N16), ISBLANK($O16)), AND(ISBLANK($P16), ISBLANK($Q16), ISBLANK($R16))), "No", "Yes")</f>
        <v>No</v>
      </c>
      <c r="T16" s="42" t="str">
        <f aca="false">SUBSTITUTE($U16," ","")</f>
        <v>00751Y106</v>
      </c>
      <c r="U16" s="42" t="s">
        <v>65</v>
      </c>
      <c r="V16" s="39" t="n">
        <v>25670</v>
      </c>
    </row>
    <row r="17" customFormat="false" ht="15" hidden="false" customHeight="false" outlineLevel="0" collapsed="false">
      <c r="B17" s="70" t="s">
        <v>68</v>
      </c>
      <c r="C17" s="71" t="str">
        <f aca="false">IFERROR(INDEX('13F Data'!A:A,MATCH($B17,'13F Data'!A:A,0)),"No CUSIP Match")</f>
        <v>No CUSIP Match</v>
      </c>
      <c r="D17" s="71" t="str">
        <f aca="false">IFERROR(IF($B17=$C17,"Yes","No"),"No CUSIP Match")</f>
        <v>No</v>
      </c>
      <c r="E17" s="71"/>
      <c r="F17" s="71" t="str">
        <f aca="false">IFERROR(INDEX('13F Data'!C:C, MATCH($B17,'13F Data'!A:A,0)),"No CUSIP Match")</f>
        <v>No CUSIP Match</v>
      </c>
      <c r="G17" s="72" t="str">
        <f aca="false">IFERROR(INDEX('13F Data'!D:D,MATCH($B17,'13F Data'!A:A,0)),"No CUSIP Match")</f>
        <v>No CUSIP Match</v>
      </c>
      <c r="J17" s="73" t="n">
        <f aca="false">$V17</f>
        <v>4500000</v>
      </c>
      <c r="K17" s="71" t="str">
        <f aca="false">IFERROR(INDEX('EOD Data'!G:G, MATCH($A17, 'EOD Data'!B:B,0)), "No TKR Match")</f>
        <v>No TKR Match</v>
      </c>
      <c r="L17" s="74" t="str">
        <f aca="false">IFERROR(ROUND($J17*$K17,0),"Error")</f>
        <v>Error</v>
      </c>
      <c r="M17" s="71" t="str">
        <f aca="false">IFERROR(IF(AND($J17&lt;10000,$L17&lt;200000),"Yes","No"),"Error")</f>
        <v>No</v>
      </c>
      <c r="P17" s="42" t="str">
        <f aca="false">IF($N17="SOLE",$J17,"")</f>
        <v/>
      </c>
      <c r="Q17" s="42" t="str">
        <f aca="false">IFERROR(IF($N17="Sole",0,IF(AND($N17="OTR",$R17=0),$J17-$P17,IF(AND($N17="OTR", $R17&gt;0), $J17-$P17-$Q17, ""))),"")</f>
        <v/>
      </c>
      <c r="R17" s="42" t="str">
        <f aca="false">IF($P17=$J17, "0","")</f>
        <v/>
      </c>
      <c r="S17" s="42" t="str">
        <f aca="false">IF(OR(ISBLANK($B17),ISBLANK($C17), ISBLANK($E17), ISBLANK($F17), AND(ISBLANK($G17),ISBLANK($H17)), ISBLANK($I17), ISBLANK($L17), AND(ISBLANK($N17), ISBLANK($O17)), AND(ISBLANK($P17), ISBLANK($Q17), ISBLANK($R17))), "No", "Yes")</f>
        <v>No</v>
      </c>
      <c r="T17" s="42" t="str">
        <f aca="false">SUBSTITUTE($U17," ","")</f>
        <v>007973AD2</v>
      </c>
      <c r="U17" s="42" t="s">
        <v>68</v>
      </c>
      <c r="V17" s="39" t="n">
        <v>4500000</v>
      </c>
    </row>
    <row r="18" customFormat="false" ht="15" hidden="false" customHeight="false" outlineLevel="0" collapsed="false">
      <c r="B18" s="70" t="s">
        <v>69</v>
      </c>
      <c r="C18" s="71" t="str">
        <f aca="false">IFERROR(INDEX('13F Data'!A:A,MATCH($B18,'13F Data'!A:A,0)),"No CUSIP Match")</f>
        <v>No CUSIP Match</v>
      </c>
      <c r="D18" s="71" t="str">
        <f aca="false">IFERROR(IF($B18=$C18,"Yes","No"),"No CUSIP Match")</f>
        <v>No</v>
      </c>
      <c r="E18" s="71"/>
      <c r="F18" s="71" t="str">
        <f aca="false">IFERROR(INDEX('13F Data'!C:C, MATCH($B18,'13F Data'!A:A,0)),"No CUSIP Match")</f>
        <v>No CUSIP Match</v>
      </c>
      <c r="G18" s="72" t="str">
        <f aca="false">IFERROR(INDEX('13F Data'!D:D,MATCH($B18,'13F Data'!A:A,0)),"No CUSIP Match")</f>
        <v>No CUSIP Match</v>
      </c>
      <c r="H18" s="42"/>
      <c r="J18" s="73" t="n">
        <f aca="false">$V18</f>
        <v>1473</v>
      </c>
      <c r="K18" s="71" t="str">
        <f aca="false">IFERROR(INDEX('EOD Data'!G:G, MATCH($A18, 'EOD Data'!B:B,0)), "No TKR Match")</f>
        <v>No TKR Match</v>
      </c>
      <c r="L18" s="74" t="str">
        <f aca="false">IFERROR(ROUND($J18*$K18,0),"Error")</f>
        <v>Error</v>
      </c>
      <c r="M18" s="71" t="str">
        <f aca="false">IFERROR(IF(AND($J18&lt;10000,$L18&lt;200000),"Yes","No"),"Error")</f>
        <v>No</v>
      </c>
      <c r="P18" s="42" t="str">
        <f aca="false">IF($N18="SOLE",$J18,"")</f>
        <v/>
      </c>
      <c r="Q18" s="42" t="str">
        <f aca="false">IFERROR(IF($N18="Sole",0,IF(AND($N18="OTR",$R18=0),$J18-$P18,IF(AND($N18="OTR", $R18&gt;0), $J18-$P18-$Q18, ""))),"")</f>
        <v/>
      </c>
      <c r="R18" s="42" t="str">
        <f aca="false">IF($P18=$J18, "0","")</f>
        <v/>
      </c>
      <c r="S18" s="42" t="str">
        <f aca="false">IF(OR(ISBLANK($B18),ISBLANK($C18), ISBLANK($E18), ISBLANK($F18), AND(ISBLANK($G18),ISBLANK($H18)), ISBLANK($I18), ISBLANK($L18), AND(ISBLANK($N18), ISBLANK($O18)), AND(ISBLANK($P18), ISBLANK($Q18), ISBLANK($R18))), "No", "Yes")</f>
        <v>No</v>
      </c>
      <c r="T18" s="42" t="str">
        <f aca="false">SUBSTITUTE($U18," ","")</f>
        <v>007973100</v>
      </c>
      <c r="U18" s="42" t="s">
        <v>69</v>
      </c>
      <c r="V18" s="39" t="n">
        <v>1473</v>
      </c>
      <c r="AA18" s="82"/>
      <c r="AC18" s="76"/>
    </row>
    <row r="19" customFormat="false" ht="15" hidden="false" customHeight="false" outlineLevel="0" collapsed="false">
      <c r="B19" s="70" t="s">
        <v>71</v>
      </c>
      <c r="C19" s="71" t="str">
        <f aca="false">IFERROR(INDEX('13F Data'!A:A,MATCH($B19,'13F Data'!A:A,0)),"No CUSIP Match")</f>
        <v>No CUSIP Match</v>
      </c>
      <c r="D19" s="71" t="str">
        <f aca="false">IFERROR(IF($B19=$C19,"Yes","No"),"No CUSIP Match")</f>
        <v>No</v>
      </c>
      <c r="E19" s="71"/>
      <c r="F19" s="71" t="str">
        <f aca="false">IFERROR(INDEX('13F Data'!C:C, MATCH($B19,'13F Data'!A:A,0)),"No CUSIP Match")</f>
        <v>No CUSIP Match</v>
      </c>
      <c r="G19" s="72" t="str">
        <f aca="false">IFERROR(INDEX('13F Data'!D:D,MATCH($B19,'13F Data'!A:A,0)),"No CUSIP Match")</f>
        <v>No CUSIP Match</v>
      </c>
      <c r="J19" s="73" t="n">
        <f aca="false">$V19</f>
        <v>34600</v>
      </c>
      <c r="K19" s="71" t="str">
        <f aca="false">IFERROR(INDEX('EOD Data'!G:G, MATCH($A19, 'EOD Data'!B:B,0)), "No TKR Match")</f>
        <v>No TKR Match</v>
      </c>
      <c r="L19" s="74" t="str">
        <f aca="false">IFERROR(ROUND($J19*$K19,0),"Error")</f>
        <v>Error</v>
      </c>
      <c r="M19" s="71" t="str">
        <f aca="false">IFERROR(IF(AND($J19&lt;10000,$L19&lt;200000),"Yes","No"),"Error")</f>
        <v>No</v>
      </c>
      <c r="P19" s="42" t="str">
        <f aca="false">IF($N19="SOLE",$J19,"")</f>
        <v/>
      </c>
      <c r="Q19" s="42" t="str">
        <f aca="false">IFERROR(IF($N19="Sole",0,IF(AND($N19="OTR",$R19=0),$J19-$P19,IF(AND($N19="OTR", $R19&gt;0), $J19-$P19-$Q19, ""))),"")</f>
        <v/>
      </c>
      <c r="R19" s="42" t="str">
        <f aca="false">IF($P19=$J19, "0","")</f>
        <v/>
      </c>
      <c r="S19" s="42" t="str">
        <f aca="false">IF(OR(ISBLANK($B19),ISBLANK($C19), ISBLANK($E19), ISBLANK($F19), AND(ISBLANK($G19),ISBLANK($H19)), ISBLANK($I19), ISBLANK($L19), AND(ISBLANK($N19), ISBLANK($O19)), AND(ISBLANK($P19), ISBLANK($Q19), ISBLANK($R19))), "No", "Yes")</f>
        <v>No</v>
      </c>
      <c r="T19" s="42" t="str">
        <f aca="false">SUBSTITUTE($U19," ","")</f>
        <v>007903107</v>
      </c>
      <c r="U19" s="42" t="s">
        <v>71</v>
      </c>
      <c r="V19" s="39" t="n">
        <v>34600</v>
      </c>
    </row>
    <row r="20" customFormat="false" ht="15" hidden="false" customHeight="false" outlineLevel="0" collapsed="false">
      <c r="B20" s="70" t="s">
        <v>71</v>
      </c>
      <c r="C20" s="71" t="str">
        <f aca="false">IFERROR(INDEX('13F Data'!A:A,MATCH($B20,'13F Data'!A:A,0)),"No CUSIP Match")</f>
        <v>No CUSIP Match</v>
      </c>
      <c r="D20" s="71" t="str">
        <f aca="false">IFERROR(IF($B20=$C20,"Yes","No"),"No CUSIP Match")</f>
        <v>No</v>
      </c>
      <c r="E20" s="71"/>
      <c r="F20" s="71" t="str">
        <f aca="false">IFERROR(INDEX('13F Data'!C:C, MATCH($B20,'13F Data'!A:A,0)),"No CUSIP Match")</f>
        <v>No CUSIP Match</v>
      </c>
      <c r="G20" s="72" t="str">
        <f aca="false">IFERROR(INDEX('13F Data'!D:D,MATCH($B20,'13F Data'!A:A,0)),"No CUSIP Match")</f>
        <v>No CUSIP Match</v>
      </c>
      <c r="J20" s="73" t="n">
        <f aca="false">$V20</f>
        <v>34600</v>
      </c>
      <c r="K20" s="71" t="str">
        <f aca="false">IFERROR(INDEX('EOD Data'!G:G, MATCH($A20, 'EOD Data'!B:B,0)), "No TKR Match")</f>
        <v>No TKR Match</v>
      </c>
      <c r="L20" s="74" t="str">
        <f aca="false">IFERROR(ROUND($J20*$K20,0),"Error")</f>
        <v>Error</v>
      </c>
      <c r="M20" s="71" t="str">
        <f aca="false">IFERROR(IF(AND($J20&lt;10000,$L20&lt;200000),"Yes","No"),"Error")</f>
        <v>No</v>
      </c>
      <c r="P20" s="42" t="str">
        <f aca="false">IF($N20="SOLE",$J20,"")</f>
        <v/>
      </c>
      <c r="Q20" s="42" t="str">
        <f aca="false">IFERROR(IF($N20="Sole",0,IF(AND($N20="OTR",$R20=0),$J20-$P20,IF(AND($N20="OTR", $R20&gt;0), $J20-$P20-$Q20, ""))),"")</f>
        <v/>
      </c>
      <c r="R20" s="42" t="str">
        <f aca="false">IF($P20=$J20, "0","")</f>
        <v/>
      </c>
      <c r="S20" s="42" t="str">
        <f aca="false">IF(OR(ISBLANK($B20),ISBLANK($C20), ISBLANK($E20), ISBLANK($F20), AND(ISBLANK($G20),ISBLANK($H20)), ISBLANK($I20), ISBLANK($L20), AND(ISBLANK($N20), ISBLANK($O20)), AND(ISBLANK($P20), ISBLANK($Q20), ISBLANK($R20))), "No", "Yes")</f>
        <v>No</v>
      </c>
      <c r="T20" s="42" t="str">
        <f aca="false">SUBSTITUTE($U20," ","")</f>
        <v>007903107</v>
      </c>
      <c r="U20" s="42" t="s">
        <v>71</v>
      </c>
      <c r="V20" s="39" t="n">
        <v>34600</v>
      </c>
    </row>
    <row r="21" customFormat="false" ht="15" hidden="false" customHeight="false" outlineLevel="0" collapsed="false">
      <c r="B21" s="70" t="s">
        <v>73</v>
      </c>
      <c r="C21" s="71" t="str">
        <f aca="false">IFERROR(INDEX('13F Data'!A:A,MATCH($B21,'13F Data'!A:A,0)),"No CUSIP Match")</f>
        <v>No CUSIP Match</v>
      </c>
      <c r="D21" s="71" t="str">
        <f aca="false">IFERROR(IF($B21=$C21,"Yes","No"),"No CUSIP Match")</f>
        <v>No</v>
      </c>
      <c r="E21" s="71"/>
      <c r="F21" s="71" t="str">
        <f aca="false">IFERROR(INDEX('13F Data'!C:C, MATCH($B21,'13F Data'!A:A,0)),"No CUSIP Match")</f>
        <v>No CUSIP Match</v>
      </c>
      <c r="G21" s="72" t="str">
        <f aca="false">IFERROR(INDEX('13F Data'!D:D,MATCH($B21,'13F Data'!A:A,0)),"No CUSIP Match")</f>
        <v>No CUSIP Match</v>
      </c>
      <c r="J21" s="73" t="n">
        <f aca="false">$V21</f>
        <v>50691</v>
      </c>
      <c r="K21" s="71" t="str">
        <f aca="false">IFERROR(INDEX('EOD Data'!G:G, MATCH($A21, 'EOD Data'!B:B,0)), "No TKR Match")</f>
        <v>No TKR Match</v>
      </c>
      <c r="L21" s="74" t="str">
        <f aca="false">IFERROR(ROUND($J21*$K21,0),"Error")</f>
        <v>Error</v>
      </c>
      <c r="M21" s="71" t="str">
        <f aca="false">IFERROR(IF(AND($J21&lt;10000,$L21&lt;200000),"Yes","No"),"Error")</f>
        <v>No</v>
      </c>
      <c r="P21" s="42" t="str">
        <f aca="false">IF($N21="SOLE",$J21,"")</f>
        <v/>
      </c>
      <c r="Q21" s="42" t="str">
        <f aca="false">IFERROR(IF($N21="Sole",0,IF(AND($N21="OTR",$R21=0),$J21-$P21,IF(AND($N21="OTR", $R21&gt;0), $J21-$P21-$Q21, ""))),"")</f>
        <v/>
      </c>
      <c r="R21" s="42" t="str">
        <f aca="false">IF($P21=$J21, "0","")</f>
        <v/>
      </c>
      <c r="S21" s="42" t="str">
        <f aca="false">IF(OR(ISBLANK($B21),ISBLANK($C21), ISBLANK($E21), ISBLANK($F21), AND(ISBLANK($G21),ISBLANK($H21)), ISBLANK($I21), ISBLANK($L21), AND(ISBLANK($N21), ISBLANK($O21)), AND(ISBLANK($P21), ISBLANK($Q21), ISBLANK($R21))), "No", "Yes")</f>
        <v>No</v>
      </c>
      <c r="T21" s="42" t="str">
        <f aca="false">SUBSTITUTE($U21," ","")</f>
        <v>00130H105</v>
      </c>
      <c r="U21" s="42" t="s">
        <v>73</v>
      </c>
      <c r="V21" s="39" t="n">
        <v>50691</v>
      </c>
    </row>
    <row r="22" customFormat="false" ht="15" hidden="false" customHeight="false" outlineLevel="0" collapsed="false">
      <c r="B22" s="70" t="s">
        <v>75</v>
      </c>
      <c r="C22" s="71" t="str">
        <f aca="false">IFERROR(INDEX('13F Data'!A:A,MATCH($B22,'13F Data'!A:A,0)),"No CUSIP Match")</f>
        <v>No CUSIP Match</v>
      </c>
      <c r="D22" s="71" t="str">
        <f aca="false">IFERROR(IF($B22=$C22,"Yes","No"),"No CUSIP Match")</f>
        <v>No</v>
      </c>
      <c r="E22" s="71"/>
      <c r="F22" s="71" t="str">
        <f aca="false">IFERROR(INDEX('13F Data'!C:C, MATCH($B22,'13F Data'!A:A,0)),"No CUSIP Match")</f>
        <v>No CUSIP Match</v>
      </c>
      <c r="G22" s="72" t="str">
        <f aca="false">IFERROR(INDEX('13F Data'!D:D,MATCH($B22,'13F Data'!A:A,0)),"No CUSIP Match")</f>
        <v>No CUSIP Match</v>
      </c>
      <c r="J22" s="73" t="n">
        <f aca="false">$V22</f>
        <v>2016783</v>
      </c>
      <c r="K22" s="71" t="str">
        <f aca="false">IFERROR(INDEX('EOD Data'!G:G, MATCH($A22, 'EOD Data'!B:B,0)), "No TKR Match")</f>
        <v>No TKR Match</v>
      </c>
      <c r="L22" s="74" t="str">
        <f aca="false">IFERROR(ROUND($J22*$K22,0),"Error")</f>
        <v>Error</v>
      </c>
      <c r="M22" s="71" t="str">
        <f aca="false">IFERROR(IF(AND($J22&lt;10000,$L22&lt;200000),"Yes","No"),"Error")</f>
        <v>No</v>
      </c>
      <c r="P22" s="42" t="str">
        <f aca="false">IF($N22="SOLE",$J22,"")</f>
        <v/>
      </c>
      <c r="Q22" s="42" t="str">
        <f aca="false">IFERROR(IF($N22="Sole",0,IF(AND($N22="OTR",$R22=0),$J22-$P22,IF(AND($N22="OTR", $R22&gt;0), $J22-$P22-$Q22, ""))),"")</f>
        <v/>
      </c>
      <c r="R22" s="42" t="str">
        <f aca="false">IF($P22=$J22, "0","")</f>
        <v/>
      </c>
      <c r="S22" s="42" t="str">
        <f aca="false">IF(OR(ISBLANK($B22),ISBLANK($C22), ISBLANK($E22), ISBLANK($F22), AND(ISBLANK($G22),ISBLANK($H22)), ISBLANK($I22), ISBLANK($L22), AND(ISBLANK($N22), ISBLANK($O22)), AND(ISBLANK($P22), ISBLANK($Q22), ISBLANK($R22))), "No", "Yes")</f>
        <v>No</v>
      </c>
      <c r="T22" s="42" t="str">
        <f aca="false">SUBSTITUTE($U22," ","")</f>
        <v>00847G705</v>
      </c>
      <c r="U22" s="42" t="s">
        <v>75</v>
      </c>
      <c r="V22" s="39" t="n">
        <v>2016783</v>
      </c>
      <c r="AA22" s="82"/>
      <c r="AC22" s="76"/>
    </row>
    <row r="23" customFormat="false" ht="15" hidden="false" customHeight="false" outlineLevel="0" collapsed="false">
      <c r="B23" s="70" t="s">
        <v>77</v>
      </c>
      <c r="C23" s="71" t="str">
        <f aca="false">IFERROR(INDEX('13F Data'!A:A,MATCH($B23,'13F Data'!A:A,0)),"No CUSIP Match")</f>
        <v>No CUSIP Match</v>
      </c>
      <c r="D23" s="71" t="str">
        <f aca="false">IFERROR(IF($B23=$C23,"Yes","No"),"No CUSIP Match")</f>
        <v>No</v>
      </c>
      <c r="E23" s="71"/>
      <c r="F23" s="71" t="str">
        <f aca="false">IFERROR(INDEX('13F Data'!C:C, MATCH($B23,'13F Data'!A:A,0)),"No CUSIP Match")</f>
        <v>No CUSIP Match</v>
      </c>
      <c r="G23" s="72" t="str">
        <f aca="false">IFERROR(INDEX('13F Data'!D:D,MATCH($B23,'13F Data'!A:A,0)),"No CUSIP Match")</f>
        <v>No CUSIP Match</v>
      </c>
      <c r="J23" s="73" t="n">
        <f aca="false">$V23</f>
        <v>81711</v>
      </c>
      <c r="K23" s="71" t="str">
        <f aca="false">IFERROR(INDEX('EOD Data'!G:G, MATCH($A23, 'EOD Data'!B:B,0)), "No TKR Match")</f>
        <v>No TKR Match</v>
      </c>
      <c r="L23" s="74" t="str">
        <f aca="false">IFERROR(ROUND($J23*$K23,0),"Error")</f>
        <v>Error</v>
      </c>
      <c r="M23" s="71" t="str">
        <f aca="false">IFERROR(IF(AND($J23&lt;10000,$L23&lt;200000),"Yes","No"),"Error")</f>
        <v>No</v>
      </c>
      <c r="P23" s="42" t="str">
        <f aca="false">IF($N23="SOLE",$J23,"")</f>
        <v/>
      </c>
      <c r="Q23" s="42" t="str">
        <f aca="false">IFERROR(IF($N23="Sole",0,IF(AND($N23="OTR",$R23=0),$J23-$P23,IF(AND($N23="OTR", $R23&gt;0), $J23-$P23-$Q23, ""))),"")</f>
        <v/>
      </c>
      <c r="R23" s="42" t="str">
        <f aca="false">IF($P23=$J23, "0","")</f>
        <v/>
      </c>
      <c r="S23" s="42" t="str">
        <f aca="false">IF(OR(ISBLANK($B23),ISBLANK($C23), ISBLANK($E23), ISBLANK($F23), AND(ISBLANK($G23),ISBLANK($H23)), ISBLANK($I23), ISBLANK($L23), AND(ISBLANK($N23), ISBLANK($O23)), AND(ISBLANK($P23), ISBLANK($Q23), ISBLANK($R23))), "No", "Yes")</f>
        <v>No</v>
      </c>
      <c r="T23" s="42" t="str">
        <f aca="false">SUBSTITUTE($U23," ","")</f>
        <v>00922R105</v>
      </c>
      <c r="U23" s="42" t="s">
        <v>77</v>
      </c>
      <c r="V23" s="39" t="n">
        <v>81711</v>
      </c>
    </row>
    <row r="24" customFormat="false" ht="15" hidden="false" customHeight="false" outlineLevel="0" collapsed="false">
      <c r="B24" s="70" t="s">
        <v>79</v>
      </c>
      <c r="C24" s="71" t="str">
        <f aca="false">IFERROR(INDEX('13F Data'!A:A,MATCH($B24,'13F Data'!A:A,0)),"No CUSIP Match")</f>
        <v>No CUSIP Match</v>
      </c>
      <c r="D24" s="71" t="str">
        <f aca="false">IFERROR(IF($B24=$C24,"Yes","No"),"No CUSIP Match")</f>
        <v>No</v>
      </c>
      <c r="E24" s="71"/>
      <c r="F24" s="71" t="str">
        <f aca="false">IFERROR(INDEX('13F Data'!C:C, MATCH($B24,'13F Data'!A:A,0)),"No CUSIP Match")</f>
        <v>No CUSIP Match</v>
      </c>
      <c r="G24" s="72" t="str">
        <f aca="false">IFERROR(INDEX('13F Data'!D:D,MATCH($B24,'13F Data'!A:A,0)),"No CUSIP Match")</f>
        <v>No CUSIP Match</v>
      </c>
      <c r="J24" s="73" t="n">
        <f aca="false">$V24</f>
        <v>28500000</v>
      </c>
      <c r="K24" s="71" t="str">
        <f aca="false">IFERROR(INDEX('EOD Data'!G:G, MATCH($A24, 'EOD Data'!B:B,0)), "No TKR Match")</f>
        <v>No TKR Match</v>
      </c>
      <c r="L24" s="74" t="str">
        <f aca="false">IFERROR(ROUND($J24*$K24,0),"Error")</f>
        <v>Error</v>
      </c>
      <c r="M24" s="71" t="str">
        <f aca="false">IFERROR(IF(AND($J24&lt;10000,$L24&lt;200000),"Yes","No"),"Error")</f>
        <v>No</v>
      </c>
      <c r="P24" s="42" t="str">
        <f aca="false">IF($N24="SOLE",$J24,"")</f>
        <v/>
      </c>
      <c r="Q24" s="42" t="str">
        <f aca="false">IFERROR(IF($N24="Sole",0,IF(AND($N24="OTR",$R24=0),$J24-$P24,IF(AND($N24="OTR", $R24&gt;0), $J24-$P24-$Q24, ""))),"")</f>
        <v/>
      </c>
      <c r="R24" s="42" t="str">
        <f aca="false">IF($P24=$J24, "0","")</f>
        <v/>
      </c>
      <c r="S24" s="42" t="str">
        <f aca="false">IF(OR(ISBLANK($B24),ISBLANK($C24), ISBLANK($E24), ISBLANK($F24), AND(ISBLANK($G24),ISBLANK($H24)), ISBLANK($I24), ISBLANK($L24), AND(ISBLANK($N24), ISBLANK($O24)), AND(ISBLANK($P24), ISBLANK($Q24), ISBLANK($R24))), "No", "Yes")</f>
        <v>No</v>
      </c>
      <c r="T24" s="42" t="str">
        <f aca="false">SUBSTITUTE($U24," ","")</f>
        <v>009066AB7</v>
      </c>
      <c r="U24" s="42" t="s">
        <v>79</v>
      </c>
      <c r="V24" s="39" t="n">
        <v>28500000</v>
      </c>
    </row>
    <row r="25" customFormat="false" ht="15" hidden="false" customHeight="false" outlineLevel="0" collapsed="false">
      <c r="B25" s="70" t="s">
        <v>80</v>
      </c>
      <c r="C25" s="71" t="str">
        <f aca="false">IFERROR(INDEX('13F Data'!A:A,MATCH($B25,'13F Data'!A:A,0)),"No CUSIP Match")</f>
        <v>No CUSIP Match</v>
      </c>
      <c r="D25" s="71" t="str">
        <f aca="false">IFERROR(IF($B25=$C25,"Yes","No"),"No CUSIP Match")</f>
        <v>No</v>
      </c>
      <c r="E25" s="71"/>
      <c r="F25" s="71" t="str">
        <f aca="false">IFERROR(INDEX('13F Data'!C:C, MATCH($B25,'13F Data'!A:A,0)),"No CUSIP Match")</f>
        <v>No CUSIP Match</v>
      </c>
      <c r="G25" s="72" t="str">
        <f aca="false">IFERROR(INDEX('13F Data'!D:D,MATCH($B25,'13F Data'!A:A,0)),"No CUSIP Match")</f>
        <v>No CUSIP Match</v>
      </c>
      <c r="J25" s="73" t="n">
        <f aca="false">$V25</f>
        <v>2200</v>
      </c>
      <c r="K25" s="71" t="str">
        <f aca="false">IFERROR(INDEX('EOD Data'!G:G, MATCH($A25, 'EOD Data'!B:B,0)), "No TKR Match")</f>
        <v>No TKR Match</v>
      </c>
      <c r="L25" s="74" t="str">
        <f aca="false">IFERROR(ROUND($J25*$K25,0),"Error")</f>
        <v>Error</v>
      </c>
      <c r="M25" s="71" t="str">
        <f aca="false">IFERROR(IF(AND($J25&lt;10000,$L25&lt;200000),"Yes","No"),"Error")</f>
        <v>No</v>
      </c>
      <c r="P25" s="42" t="str">
        <f aca="false">IF($N25="SOLE",$J25,"")</f>
        <v/>
      </c>
      <c r="Q25" s="42" t="str">
        <f aca="false">IFERROR(IF($N25="Sole",0,IF(AND($N25="OTR",$R25=0),$J25-$P25,IF(AND($N25="OTR", $R25&gt;0), $J25-$P25-$Q25, ""))),"")</f>
        <v/>
      </c>
      <c r="R25" s="42" t="str">
        <f aca="false">IF($P25=$J25, "0","")</f>
        <v/>
      </c>
      <c r="S25" s="42" t="str">
        <f aca="false">IF(OR(ISBLANK($B25),ISBLANK($C25), ISBLANK($E25), ISBLANK($F25), AND(ISBLANK($G25),ISBLANK($H25)), ISBLANK($I25), ISBLANK($L25), AND(ISBLANK($N25), ISBLANK($O25)), AND(ISBLANK($P25), ISBLANK($Q25), ISBLANK($R25))), "No", "Yes")</f>
        <v>No</v>
      </c>
      <c r="T25" s="42" t="str">
        <f aca="false">SUBSTITUTE($U25," ","")</f>
        <v>009066101</v>
      </c>
      <c r="U25" s="42" t="s">
        <v>80</v>
      </c>
      <c r="V25" s="39" t="n">
        <v>2200</v>
      </c>
    </row>
    <row r="26" customFormat="false" ht="15" hidden="false" customHeight="false" outlineLevel="0" collapsed="false">
      <c r="B26" s="80" t="s">
        <v>80</v>
      </c>
      <c r="C26" s="71" t="str">
        <f aca="false">IFERROR(INDEX('13F Data'!A:A,MATCH($B26,'13F Data'!A:A,0)),"No CUSIP Match")</f>
        <v>No CUSIP Match</v>
      </c>
      <c r="D26" s="71" t="str">
        <f aca="false">IFERROR(IF($B26=$C26,"Yes","No"),"No CUSIP Match")</f>
        <v>No</v>
      </c>
      <c r="E26" s="71"/>
      <c r="F26" s="71" t="str">
        <f aca="false">IFERROR(INDEX('13F Data'!C:C, MATCH($B26,'13F Data'!A:A,0)),"No CUSIP Match")</f>
        <v>No CUSIP Match</v>
      </c>
      <c r="G26" s="72" t="str">
        <f aca="false">IFERROR(INDEX('13F Data'!D:D,MATCH($B26,'13F Data'!A:A,0)),"No CUSIP Match")</f>
        <v>No CUSIP Match</v>
      </c>
      <c r="H26" s="42"/>
      <c r="J26" s="73" t="n">
        <f aca="false">$V26</f>
        <v>2200</v>
      </c>
      <c r="K26" s="71" t="str">
        <f aca="false">IFERROR(INDEX('EOD Data'!G:G, MATCH($A26, 'EOD Data'!B:B,0)), "No TKR Match")</f>
        <v>No TKR Match</v>
      </c>
      <c r="L26" s="74" t="str">
        <f aca="false">IFERROR(ROUND($J26*$K26,0),"Error")</f>
        <v>Error</v>
      </c>
      <c r="M26" s="71" t="str">
        <f aca="false">IFERROR(IF(AND($J26&lt;10000,$L26&lt;200000),"Yes","No"),"Error")</f>
        <v>No</v>
      </c>
      <c r="P26" s="42" t="str">
        <f aca="false">IF($N26="SOLE",$J26,"")</f>
        <v/>
      </c>
      <c r="Q26" s="42" t="str">
        <f aca="false">IFERROR(IF($N26="Sole",0,IF(AND($N26="OTR",$R26=0),$J26-$P26,IF(AND($N26="OTR", $R26&gt;0), $J26-$P26-$Q26, ""))),"")</f>
        <v/>
      </c>
      <c r="R26" s="42" t="str">
        <f aca="false">IF($P26=$J26, "0","")</f>
        <v/>
      </c>
      <c r="S26" s="42" t="str">
        <f aca="false">IF(OR(ISBLANK($B26),ISBLANK($C26), ISBLANK($E26), ISBLANK($F26), AND(ISBLANK($G26),ISBLANK($H26)), ISBLANK($I26), ISBLANK($L26), AND(ISBLANK($N26), ISBLANK($O26)), AND(ISBLANK($P26), ISBLANK($Q26), ISBLANK($R26))), "No", "Yes")</f>
        <v>No</v>
      </c>
      <c r="T26" s="42" t="str">
        <f aca="false">SUBSTITUTE($U26," ","")</f>
        <v>009066101</v>
      </c>
      <c r="U26" s="42" t="s">
        <v>80</v>
      </c>
      <c r="V26" s="39" t="n">
        <v>2200</v>
      </c>
      <c r="AB26" s="77"/>
      <c r="AC26" s="77"/>
    </row>
    <row r="27" customFormat="false" ht="15" hidden="false" customHeight="false" outlineLevel="0" collapsed="false">
      <c r="B27" s="70" t="s">
        <v>82</v>
      </c>
      <c r="C27" s="71" t="str">
        <f aca="false">IFERROR(INDEX('13F Data'!A:A,MATCH($B27,'13F Data'!A:A,0)),"No CUSIP Match")</f>
        <v>No CUSIP Match</v>
      </c>
      <c r="D27" s="71" t="str">
        <f aca="false">IFERROR(IF($B27=$C27,"Yes","No"),"No CUSIP Match")</f>
        <v>No</v>
      </c>
      <c r="E27" s="71"/>
      <c r="F27" s="71" t="str">
        <f aca="false">IFERROR(INDEX('13F Data'!C:C, MATCH($B27,'13F Data'!A:A,0)),"No CUSIP Match")</f>
        <v>No CUSIP Match</v>
      </c>
      <c r="G27" s="72" t="str">
        <f aca="false">IFERROR(INDEX('13F Data'!D:D,MATCH($B27,'13F Data'!A:A,0)),"No CUSIP Match")</f>
        <v>No CUSIP Match</v>
      </c>
      <c r="J27" s="73" t="n">
        <f aca="false">$V27</f>
        <v>27846000</v>
      </c>
      <c r="K27" s="71" t="str">
        <f aca="false">IFERROR(INDEX('EOD Data'!G:G, MATCH($A27, 'EOD Data'!B:B,0)), "No TKR Match")</f>
        <v>No TKR Match</v>
      </c>
      <c r="L27" s="74" t="str">
        <f aca="false">IFERROR(ROUND($J27*$K27,0),"Error")</f>
        <v>Error</v>
      </c>
      <c r="M27" s="71" t="str">
        <f aca="false">IFERROR(IF(AND($J27&lt;10000,$L27&lt;200000),"Yes","No"),"Error")</f>
        <v>No</v>
      </c>
      <c r="P27" s="42" t="str">
        <f aca="false">IF($N27="SOLE",$J27,"")</f>
        <v/>
      </c>
      <c r="Q27" s="42" t="str">
        <f aca="false">IFERROR(IF($N27="Sole",0,IF(AND($N27="OTR",$R27=0),$J27-$P27,IF(AND($N27="OTR", $R27&gt;0), $J27-$P27-$Q27, ""))),"")</f>
        <v/>
      </c>
      <c r="R27" s="42" t="str">
        <f aca="false">IF($P27=$J27, "0","")</f>
        <v/>
      </c>
      <c r="S27" s="42" t="str">
        <f aca="false">IF(OR(ISBLANK($B27),ISBLANK($C27), ISBLANK($E27), ISBLANK($F27), AND(ISBLANK($G27),ISBLANK($H27)), ISBLANK($I27), ISBLANK($L27), AND(ISBLANK($N27), ISBLANK($O27)), AND(ISBLANK($P27), ISBLANK($Q27), ISBLANK($R27))), "No", "Yes")</f>
        <v>No</v>
      </c>
      <c r="T27" s="42" t="str">
        <f aca="false">SUBSTITUTE($U27," ","")</f>
        <v>011642AB1</v>
      </c>
      <c r="U27" s="42" t="s">
        <v>82</v>
      </c>
      <c r="V27" s="39" t="n">
        <v>27846000</v>
      </c>
    </row>
    <row r="28" customFormat="false" ht="15" hidden="false" customHeight="false" outlineLevel="0" collapsed="false">
      <c r="B28" s="70" t="s">
        <v>84</v>
      </c>
      <c r="C28" s="71" t="str">
        <f aca="false">IFERROR(INDEX('13F Data'!A:A,MATCH($B28,'13F Data'!A:A,0)),"No CUSIP Match")</f>
        <v>No CUSIP Match</v>
      </c>
      <c r="D28" s="71" t="str">
        <f aca="false">IFERROR(IF($B28=$C28,"Yes","No"),"No CUSIP Match")</f>
        <v>No</v>
      </c>
      <c r="E28" s="71"/>
      <c r="F28" s="71" t="str">
        <f aca="false">IFERROR(INDEX('13F Data'!C:C, MATCH($B28,'13F Data'!A:A,0)),"No CUSIP Match")</f>
        <v>No CUSIP Match</v>
      </c>
      <c r="G28" s="72" t="str">
        <f aca="false">IFERROR(INDEX('13F Data'!D:D,MATCH($B28,'13F Data'!A:A,0)),"No CUSIP Match")</f>
        <v>No CUSIP Match</v>
      </c>
      <c r="J28" s="73" t="n">
        <f aca="false">$V28</f>
        <v>64099</v>
      </c>
      <c r="K28" s="71" t="str">
        <f aca="false">IFERROR(INDEX('EOD Data'!G:G, MATCH($A28, 'EOD Data'!B:B,0)), "No TKR Match")</f>
        <v>No TKR Match</v>
      </c>
      <c r="L28" s="74" t="str">
        <f aca="false">IFERROR(ROUND($J28*$K28,0),"Error")</f>
        <v>Error</v>
      </c>
      <c r="M28" s="71" t="str">
        <f aca="false">IFERROR(IF(AND($J28&lt;10000,$L28&lt;200000),"Yes","No"),"Error")</f>
        <v>No</v>
      </c>
      <c r="P28" s="42" t="str">
        <f aca="false">IF($N28="SOLE",$J28,"")</f>
        <v/>
      </c>
      <c r="Q28" s="42" t="str">
        <f aca="false">IFERROR(IF($N28="Sole",0,IF(AND($N28="OTR",$R28=0),$J28-$P28,IF(AND($N28="OTR", $R28&gt;0), $J28-$P28-$Q28, ""))),"")</f>
        <v/>
      </c>
      <c r="R28" s="42" t="str">
        <f aca="false">IF($P28=$J28, "0","")</f>
        <v/>
      </c>
      <c r="S28" s="42" t="str">
        <f aca="false">IF(OR(ISBLANK($B28),ISBLANK($C28), ISBLANK($E28), ISBLANK($F28), AND(ISBLANK($G28),ISBLANK($H28)), ISBLANK($I28), ISBLANK($L28), AND(ISBLANK($N28), ISBLANK($O28)), AND(ISBLANK($P28), ISBLANK($Q28), ISBLANK($R28))), "No", "Yes")</f>
        <v>No</v>
      </c>
      <c r="T28" s="42" t="str">
        <f aca="false">SUBSTITUTE($U28," ","")</f>
        <v>012653101</v>
      </c>
      <c r="U28" s="42" t="s">
        <v>84</v>
      </c>
      <c r="V28" s="39" t="n">
        <v>64099</v>
      </c>
    </row>
    <row r="29" customFormat="false" ht="15" hidden="false" customHeight="false" outlineLevel="0" collapsed="false">
      <c r="B29" s="70" t="s">
        <v>84</v>
      </c>
      <c r="C29" s="71" t="str">
        <f aca="false">IFERROR(INDEX('13F Data'!A:A,MATCH($B29,'13F Data'!A:A,0)),"No CUSIP Match")</f>
        <v>No CUSIP Match</v>
      </c>
      <c r="D29" s="71" t="str">
        <f aca="false">IFERROR(IF($B29=$C29,"Yes","No"),"No CUSIP Match")</f>
        <v>No</v>
      </c>
      <c r="E29" s="71"/>
      <c r="F29" s="71" t="str">
        <f aca="false">IFERROR(INDEX('13F Data'!C:C, MATCH($B29,'13F Data'!A:A,0)),"No CUSIP Match")</f>
        <v>No CUSIP Match</v>
      </c>
      <c r="G29" s="72" t="str">
        <f aca="false">IFERROR(INDEX('13F Data'!D:D,MATCH($B29,'13F Data'!A:A,0)),"No CUSIP Match")</f>
        <v>No CUSIP Match</v>
      </c>
      <c r="J29" s="73" t="n">
        <f aca="false">$V29</f>
        <v>7500</v>
      </c>
      <c r="K29" s="71" t="str">
        <f aca="false">IFERROR(INDEX('EOD Data'!G:G, MATCH($A29, 'EOD Data'!B:B,0)), "No TKR Match")</f>
        <v>No TKR Match</v>
      </c>
      <c r="L29" s="74" t="str">
        <f aca="false">IFERROR(ROUND($J29*$K29,0),"Error")</f>
        <v>Error</v>
      </c>
      <c r="M29" s="71" t="str">
        <f aca="false">IFERROR(IF(AND($J29&lt;10000,$L29&lt;200000),"Yes","No"),"Error")</f>
        <v>No</v>
      </c>
      <c r="P29" s="42" t="str">
        <f aca="false">IF($N29="SOLE",$J29,"")</f>
        <v/>
      </c>
      <c r="Q29" s="42" t="str">
        <f aca="false">IFERROR(IF($N29="Sole",0,IF(AND($N29="OTR",$R29=0),$J29-$P29,IF(AND($N29="OTR", $R29&gt;0), $J29-$P29-$Q29, ""))),"")</f>
        <v/>
      </c>
      <c r="R29" s="42" t="str">
        <f aca="false">IF($P29=$J29, "0","")</f>
        <v/>
      </c>
      <c r="S29" s="42" t="str">
        <f aca="false">IF(OR(ISBLANK($B29),ISBLANK($C29), ISBLANK($E29), ISBLANK($F29), AND(ISBLANK($G29),ISBLANK($H29)), ISBLANK($I29), ISBLANK($L29), AND(ISBLANK($N29), ISBLANK($O29)), AND(ISBLANK($P29), ISBLANK($Q29), ISBLANK($R29))), "No", "Yes")</f>
        <v>No</v>
      </c>
      <c r="T29" s="42" t="str">
        <f aca="false">SUBSTITUTE($U29," ","")</f>
        <v>012653101</v>
      </c>
      <c r="U29" s="42" t="s">
        <v>84</v>
      </c>
      <c r="V29" s="39" t="n">
        <v>7500</v>
      </c>
    </row>
    <row r="30" customFormat="false" ht="15" hidden="false" customHeight="false" outlineLevel="0" collapsed="false">
      <c r="B30" s="70" t="s">
        <v>86</v>
      </c>
      <c r="C30" s="71" t="str">
        <f aca="false">IFERROR(INDEX('13F Data'!A:A,MATCH($B30,'13F Data'!A:A,0)),"No CUSIP Match")</f>
        <v>No CUSIP Match</v>
      </c>
      <c r="D30" s="71" t="str">
        <f aca="false">IFERROR(IF($B30=$C30,"Yes","No"),"No CUSIP Match")</f>
        <v>No</v>
      </c>
      <c r="E30" s="71"/>
      <c r="F30" s="71" t="str">
        <f aca="false">IFERROR(INDEX('13F Data'!C:C, MATCH($B30,'13F Data'!A:A,0)),"No CUSIP Match")</f>
        <v>No CUSIP Match</v>
      </c>
      <c r="G30" s="72" t="str">
        <f aca="false">IFERROR(INDEX('13F Data'!D:D,MATCH($B30,'13F Data'!A:A,0)),"No CUSIP Match")</f>
        <v>No CUSIP Match</v>
      </c>
      <c r="J30" s="73" t="n">
        <f aca="false">$V30</f>
        <v>1234823</v>
      </c>
      <c r="K30" s="71" t="str">
        <f aca="false">IFERROR(INDEX('EOD Data'!G:G, MATCH($A30, 'EOD Data'!B:B,0)), "No TKR Match")</f>
        <v>No TKR Match</v>
      </c>
      <c r="L30" s="74" t="str">
        <f aca="false">IFERROR(ROUND($J30*$K30,0),"Error")</f>
        <v>Error</v>
      </c>
      <c r="M30" s="71" t="str">
        <f aca="false">IFERROR(IF(AND($J30&lt;10000,$L30&lt;200000),"Yes","No"),"Error")</f>
        <v>No</v>
      </c>
      <c r="P30" s="42" t="str">
        <f aca="false">IF($N30="SOLE",$J30,"")</f>
        <v/>
      </c>
      <c r="Q30" s="42" t="str">
        <f aca="false">IFERROR(IF($N30="Sole",0,IF(AND($N30="OTR",$R30=0),$J30-$P30,IF(AND($N30="OTR", $R30&gt;0), $J30-$P30-$Q30, ""))),"")</f>
        <v/>
      </c>
      <c r="R30" s="42" t="str">
        <f aca="false">IF($P30=$J30, "0","")</f>
        <v/>
      </c>
      <c r="S30" s="42" t="str">
        <f aca="false">IF(OR(ISBLANK($B30),ISBLANK($C30), ISBLANK($E30), ISBLANK($F30), AND(ISBLANK($G30),ISBLANK($H30)), ISBLANK($I30), ISBLANK($L30), AND(ISBLANK($N30), ISBLANK($O30)), AND(ISBLANK($P30), ISBLANK($Q30), ISBLANK($R30))), "No", "Yes")</f>
        <v>No</v>
      </c>
      <c r="T30" s="42" t="str">
        <f aca="false">SUBSTITUTE($U30," ","")</f>
        <v>013091103</v>
      </c>
      <c r="U30" s="42" t="s">
        <v>86</v>
      </c>
      <c r="V30" s="39" t="n">
        <v>1234823</v>
      </c>
    </row>
    <row r="31" customFormat="false" ht="15" hidden="false" customHeight="false" outlineLevel="0" collapsed="false">
      <c r="B31" s="70" t="s">
        <v>88</v>
      </c>
      <c r="C31" s="71" t="str">
        <f aca="false">IFERROR(INDEX('13F Data'!A:A,MATCH($B31,'13F Data'!A:A,0)),"No CUSIP Match")</f>
        <v>No CUSIP Match</v>
      </c>
      <c r="D31" s="71" t="str">
        <f aca="false">IFERROR(IF($B31=$C31,"Yes","No"),"No CUSIP Match")</f>
        <v>No</v>
      </c>
      <c r="E31" s="71"/>
      <c r="F31" s="71" t="str">
        <f aca="false">IFERROR(INDEX('13F Data'!C:C, MATCH($B31,'13F Data'!A:A,0)),"No CUSIP Match")</f>
        <v>No CUSIP Match</v>
      </c>
      <c r="G31" s="72" t="str">
        <f aca="false">IFERROR(INDEX('13F Data'!D:D,MATCH($B31,'13F Data'!A:A,0)),"No CUSIP Match")</f>
        <v>No CUSIP Match</v>
      </c>
      <c r="H31" s="42"/>
      <c r="J31" s="73" t="n">
        <f aca="false">$V31</f>
        <v>69500000</v>
      </c>
      <c r="K31" s="71" t="str">
        <f aca="false">IFERROR(INDEX('EOD Data'!G:G, MATCH($A31, 'EOD Data'!B:B,0)), "No TKR Match")</f>
        <v>No TKR Match</v>
      </c>
      <c r="L31" s="74" t="str">
        <f aca="false">IFERROR(ROUND($J31*$K31,0),"Error")</f>
        <v>Error</v>
      </c>
      <c r="M31" s="71" t="str">
        <f aca="false">IFERROR(IF(AND($J31&lt;10000,$L31&lt;200000),"Yes","No"),"Error")</f>
        <v>No</v>
      </c>
      <c r="P31" s="42" t="str">
        <f aca="false">IF($N31="SOLE",$J31,"")</f>
        <v/>
      </c>
      <c r="Q31" s="42" t="str">
        <f aca="false">IFERROR(IF($N31="Sole",0,IF(AND($N31="OTR",$R31=0),$J31-$P31,IF(AND($N31="OTR", $R31&gt;0), $J31-$P31-$Q31, ""))),"")</f>
        <v/>
      </c>
      <c r="R31" s="42" t="str">
        <f aca="false">IF($P31=$J31, "0","")</f>
        <v/>
      </c>
      <c r="S31" s="42" t="str">
        <f aca="false">IF(OR(ISBLANK($B31),ISBLANK($C31), ISBLANK($E31), ISBLANK($F31), AND(ISBLANK($G31),ISBLANK($H31)), ISBLANK($I31), ISBLANK($L31), AND(ISBLANK($N31), ISBLANK($O31)), AND(ISBLANK($P31), ISBLANK($Q31), ISBLANK($R31))), "No", "Yes")</f>
        <v>No</v>
      </c>
      <c r="T31" s="42" t="str">
        <f aca="false">SUBSTITUTE($U31," ","")</f>
        <v>02043QAB3</v>
      </c>
      <c r="U31" s="42" t="s">
        <v>88</v>
      </c>
      <c r="V31" s="39" t="n">
        <v>69500000</v>
      </c>
    </row>
    <row r="32" customFormat="false" ht="15" hidden="false" customHeight="false" outlineLevel="0" collapsed="false">
      <c r="B32" s="70" t="s">
        <v>90</v>
      </c>
      <c r="C32" s="71" t="str">
        <f aca="false">IFERROR(INDEX('13F Data'!A:A,MATCH($B32,'13F Data'!A:A,0)),"No CUSIP Match")</f>
        <v>No CUSIP Match</v>
      </c>
      <c r="D32" s="71" t="str">
        <f aca="false">IFERROR(IF($B32=$C32,"Yes","No"),"No CUSIP Match")</f>
        <v>No</v>
      </c>
      <c r="E32" s="71"/>
      <c r="F32" s="71" t="str">
        <f aca="false">IFERROR(INDEX('13F Data'!C:C, MATCH($B32,'13F Data'!A:A,0)),"No CUSIP Match")</f>
        <v>No CUSIP Match</v>
      </c>
      <c r="G32" s="72" t="str">
        <f aca="false">IFERROR(INDEX('13F Data'!D:D,MATCH($B32,'13F Data'!A:A,0)),"No CUSIP Match")</f>
        <v>No CUSIP Match</v>
      </c>
      <c r="J32" s="73" t="n">
        <f aca="false">$V32</f>
        <v>52700</v>
      </c>
      <c r="K32" s="71" t="str">
        <f aca="false">IFERROR(INDEX('EOD Data'!G:G, MATCH($A32, 'EOD Data'!B:B,0)), "No TKR Match")</f>
        <v>No TKR Match</v>
      </c>
      <c r="L32" s="74" t="str">
        <f aca="false">IFERROR(ROUND($J32*$K32,0),"Error")</f>
        <v>Error</v>
      </c>
      <c r="M32" s="71" t="str">
        <f aca="false">IFERROR(IF(AND($J32&lt;10000,$L32&lt;200000),"Yes","No"),"Error")</f>
        <v>No</v>
      </c>
      <c r="P32" s="42" t="str">
        <f aca="false">IF($N32="SOLE",$J32,"")</f>
        <v/>
      </c>
      <c r="Q32" s="42" t="str">
        <f aca="false">IFERROR(IF($N32="Sole",0,IF(AND($N32="OTR",$R32=0),$J32-$P32,IF(AND($N32="OTR", $R32&gt;0), $J32-$P32-$Q32, ""))),"")</f>
        <v/>
      </c>
      <c r="R32" s="42" t="str">
        <f aca="false">IF($P32=$J32, "0","")</f>
        <v/>
      </c>
      <c r="S32" s="42" t="str">
        <f aca="false">IF(OR(ISBLANK($B32),ISBLANK($C32), ISBLANK($E32), ISBLANK($F32), AND(ISBLANK($G32),ISBLANK($H32)), ISBLANK($I32), ISBLANK($L32), AND(ISBLANK($N32), ISBLANK($O32)), AND(ISBLANK($P32), ISBLANK($Q32), ISBLANK($R32))), "No", "Yes")</f>
        <v>No</v>
      </c>
      <c r="T32" s="42" t="str">
        <f aca="false">SUBSTITUTE($U32," ","")</f>
        <v>02079K107</v>
      </c>
      <c r="U32" s="42" t="s">
        <v>90</v>
      </c>
      <c r="V32" s="39" t="n">
        <v>52700</v>
      </c>
    </row>
    <row r="33" customFormat="false" ht="15" hidden="false" customHeight="false" outlineLevel="0" collapsed="false">
      <c r="B33" s="70" t="s">
        <v>90</v>
      </c>
      <c r="C33" s="71" t="str">
        <f aca="false">IFERROR(INDEX('13F Data'!A:A,MATCH($B33,'13F Data'!A:A,0)),"No CUSIP Match")</f>
        <v>No CUSIP Match</v>
      </c>
      <c r="D33" s="71" t="str">
        <f aca="false">IFERROR(IF($B33=$C33,"Yes","No"),"No CUSIP Match")</f>
        <v>No</v>
      </c>
      <c r="E33" s="71"/>
      <c r="F33" s="71" t="str">
        <f aca="false">IFERROR(INDEX('13F Data'!C:C, MATCH($B33,'13F Data'!A:A,0)),"No CUSIP Match")</f>
        <v>No CUSIP Match</v>
      </c>
      <c r="G33" s="72" t="str">
        <f aca="false">IFERROR(INDEX('13F Data'!D:D,MATCH($B33,'13F Data'!A:A,0)),"No CUSIP Match")</f>
        <v>No CUSIP Match</v>
      </c>
      <c r="J33" s="73" t="n">
        <f aca="false">$V33</f>
        <v>52700</v>
      </c>
      <c r="K33" s="71" t="str">
        <f aca="false">IFERROR(INDEX('EOD Data'!G:G, MATCH($A33, 'EOD Data'!B:B,0)), "No TKR Match")</f>
        <v>No TKR Match</v>
      </c>
      <c r="L33" s="74" t="str">
        <f aca="false">IFERROR(ROUND($J33*$K33,0),"Error")</f>
        <v>Error</v>
      </c>
      <c r="M33" s="71" t="str">
        <f aca="false">IFERROR(IF(AND($J33&lt;10000,$L33&lt;200000),"Yes","No"),"Error")</f>
        <v>No</v>
      </c>
      <c r="P33" s="42" t="str">
        <f aca="false">IF($N33="SOLE",$J33,"")</f>
        <v/>
      </c>
      <c r="Q33" s="42" t="str">
        <f aca="false">IFERROR(IF($N33="Sole",0,IF(AND($N33="OTR",$R33=0),$J33-$P33,IF(AND($N33="OTR", $R33&gt;0), $J33-$P33-$Q33, ""))),"")</f>
        <v/>
      </c>
      <c r="R33" s="42" t="str">
        <f aca="false">IF($P33=$J33, "0","")</f>
        <v/>
      </c>
      <c r="S33" s="42" t="str">
        <f aca="false">IF(OR(ISBLANK($B33),ISBLANK($C33), ISBLANK($E33), ISBLANK($F33), AND(ISBLANK($G33),ISBLANK($H33)), ISBLANK($I33), ISBLANK($L33), AND(ISBLANK($N33), ISBLANK($O33)), AND(ISBLANK($P33), ISBLANK($Q33), ISBLANK($R33))), "No", "Yes")</f>
        <v>No</v>
      </c>
      <c r="T33" s="42" t="str">
        <f aca="false">SUBSTITUTE($U33," ","")</f>
        <v>02079K107</v>
      </c>
      <c r="U33" s="42" t="s">
        <v>90</v>
      </c>
      <c r="V33" s="39" t="n">
        <v>52700</v>
      </c>
    </row>
    <row r="34" customFormat="false" ht="15" hidden="false" customHeight="false" outlineLevel="0" collapsed="false">
      <c r="B34" s="70" t="s">
        <v>91</v>
      </c>
      <c r="C34" s="71" t="str">
        <f aca="false">IFERROR(INDEX('13F Data'!A:A,MATCH($B34,'13F Data'!A:A,0)),"No CUSIP Match")</f>
        <v>No CUSIP Match</v>
      </c>
      <c r="D34" s="71" t="str">
        <f aca="false">IFERROR(IF($B34=$C34,"Yes","No"),"No CUSIP Match")</f>
        <v>No</v>
      </c>
      <c r="E34" s="71"/>
      <c r="F34" s="71" t="str">
        <f aca="false">IFERROR(INDEX('13F Data'!C:C, MATCH($B34,'13F Data'!A:A,0)),"No CUSIP Match")</f>
        <v>No CUSIP Match</v>
      </c>
      <c r="G34" s="72" t="str">
        <f aca="false">IFERROR(INDEX('13F Data'!D:D,MATCH($B34,'13F Data'!A:A,0)),"No CUSIP Match")</f>
        <v>No CUSIP Match</v>
      </c>
      <c r="J34" s="73" t="n">
        <f aca="false">$V34</f>
        <v>58600</v>
      </c>
      <c r="K34" s="71" t="str">
        <f aca="false">IFERROR(INDEX('EOD Data'!G:G, MATCH($A34, 'EOD Data'!B:B,0)), "No TKR Match")</f>
        <v>No TKR Match</v>
      </c>
      <c r="L34" s="74" t="str">
        <f aca="false">IFERROR(ROUND($J34*$K34,0),"Error")</f>
        <v>Error</v>
      </c>
      <c r="M34" s="71" t="str">
        <f aca="false">IFERROR(IF(AND($J34&lt;10000,$L34&lt;200000),"Yes","No"),"Error")</f>
        <v>No</v>
      </c>
      <c r="P34" s="42" t="str">
        <f aca="false">IF($N34="SOLE",$J34,"")</f>
        <v/>
      </c>
      <c r="Q34" s="42" t="str">
        <f aca="false">IFERROR(IF($N34="Sole",0,IF(AND($N34="OTR",$R34=0),$J34-$P34,IF(AND($N34="OTR", $R34&gt;0), $J34-$P34-$Q34, ""))),"")</f>
        <v/>
      </c>
      <c r="R34" s="42" t="str">
        <f aca="false">IF($P34=$J34, "0","")</f>
        <v/>
      </c>
      <c r="S34" s="42" t="str">
        <f aca="false">IF(OR(ISBLANK($B34),ISBLANK($C34), ISBLANK($E34), ISBLANK($F34), AND(ISBLANK($G34),ISBLANK($H34)), ISBLANK($I34), ISBLANK($L34), AND(ISBLANK($N34), ISBLANK($O34)), AND(ISBLANK($P34), ISBLANK($Q34), ISBLANK($R34))), "No", "Yes")</f>
        <v>No</v>
      </c>
      <c r="T34" s="42" t="str">
        <f aca="false">SUBSTITUTE($U34," ","")</f>
        <v>02079K305</v>
      </c>
      <c r="U34" s="42" t="s">
        <v>91</v>
      </c>
      <c r="V34" s="39" t="n">
        <v>58600</v>
      </c>
    </row>
    <row r="35" customFormat="false" ht="15" hidden="false" customHeight="false" outlineLevel="0" collapsed="false">
      <c r="B35" s="70" t="s">
        <v>91</v>
      </c>
      <c r="C35" s="71" t="str">
        <f aca="false">IFERROR(INDEX('13F Data'!A:A,MATCH($B35,'13F Data'!A:A,0)),"No CUSIP Match")</f>
        <v>No CUSIP Match</v>
      </c>
      <c r="D35" s="71" t="str">
        <f aca="false">IFERROR(IF($B35=$C35,"Yes","No"),"No CUSIP Match")</f>
        <v>No</v>
      </c>
      <c r="E35" s="71"/>
      <c r="F35" s="71" t="str">
        <f aca="false">IFERROR(INDEX('13F Data'!C:C, MATCH($B35,'13F Data'!A:A,0)),"No CUSIP Match")</f>
        <v>No CUSIP Match</v>
      </c>
      <c r="G35" s="72" t="str">
        <f aca="false">IFERROR(INDEX('13F Data'!D:D,MATCH($B35,'13F Data'!A:A,0)),"No CUSIP Match")</f>
        <v>No CUSIP Match</v>
      </c>
      <c r="J35" s="73" t="n">
        <f aca="false">$V35</f>
        <v>58600</v>
      </c>
      <c r="K35" s="71" t="str">
        <f aca="false">IFERROR(INDEX('EOD Data'!G:G, MATCH($A35, 'EOD Data'!B:B,0)), "No TKR Match")</f>
        <v>No TKR Match</v>
      </c>
      <c r="L35" s="74" t="str">
        <f aca="false">IFERROR(ROUND($J35*$K35,0),"Error")</f>
        <v>Error</v>
      </c>
      <c r="M35" s="71" t="str">
        <f aca="false">IFERROR(IF(AND($J35&lt;10000,$L35&lt;200000),"Yes","No"),"Error")</f>
        <v>No</v>
      </c>
      <c r="P35" s="42" t="str">
        <f aca="false">IF($N35="SOLE",$J35,"")</f>
        <v/>
      </c>
      <c r="Q35" s="42" t="str">
        <f aca="false">IFERROR(IF($N35="Sole",0,IF(AND($N35="OTR",$R35=0),$J35-$P35,IF(AND($N35="OTR", $R35&gt;0), $J35-$P35-$Q35, ""))),"")</f>
        <v/>
      </c>
      <c r="R35" s="42" t="str">
        <f aca="false">IF($P35=$J35, "0","")</f>
        <v/>
      </c>
      <c r="S35" s="42" t="str">
        <f aca="false">IF(OR(ISBLANK($B35),ISBLANK($C35), ISBLANK($E35), ISBLANK($F35), AND(ISBLANK($G35),ISBLANK($H35)), ISBLANK($I35), ISBLANK($L35), AND(ISBLANK($N35), ISBLANK($O35)), AND(ISBLANK($P35), ISBLANK($Q35), ISBLANK($R35))), "No", "Yes")</f>
        <v>No</v>
      </c>
      <c r="T35" s="42" t="str">
        <f aca="false">SUBSTITUTE($U35," ","")</f>
        <v>02079K305</v>
      </c>
      <c r="U35" s="42" t="s">
        <v>91</v>
      </c>
      <c r="V35" s="39" t="n">
        <v>58600</v>
      </c>
    </row>
    <row r="36" customFormat="false" ht="15" hidden="false" customHeight="false" outlineLevel="0" collapsed="false">
      <c r="B36" s="70" t="s">
        <v>93</v>
      </c>
      <c r="C36" s="71" t="str">
        <f aca="false">IFERROR(INDEX('13F Data'!A:A,MATCH($B36,'13F Data'!A:A,0)),"No CUSIP Match")</f>
        <v>No CUSIP Match</v>
      </c>
      <c r="D36" s="71" t="str">
        <f aca="false">IFERROR(IF($B36=$C36,"Yes","No"),"No CUSIP Match")</f>
        <v>No</v>
      </c>
      <c r="E36" s="71"/>
      <c r="F36" s="71" t="str">
        <f aca="false">IFERROR(INDEX('13F Data'!C:C, MATCH($B36,'13F Data'!A:A,0)),"No CUSIP Match")</f>
        <v>No CUSIP Match</v>
      </c>
      <c r="G36" s="72" t="str">
        <f aca="false">IFERROR(INDEX('13F Data'!D:D,MATCH($B36,'13F Data'!A:A,0)),"No CUSIP Match")</f>
        <v>No CUSIP Match</v>
      </c>
      <c r="J36" s="73" t="n">
        <f aca="false">$V36</f>
        <v>37500000</v>
      </c>
      <c r="K36" s="71" t="str">
        <f aca="false">IFERROR(INDEX('EOD Data'!G:G, MATCH($A36, 'EOD Data'!B:B,0)), "No TKR Match")</f>
        <v>No TKR Match</v>
      </c>
      <c r="L36" s="74" t="str">
        <f aca="false">IFERROR(ROUND($J36*$K36,0),"Error")</f>
        <v>Error</v>
      </c>
      <c r="M36" s="71" t="str">
        <f aca="false">IFERROR(IF(AND($J36&lt;10000,$L36&lt;200000),"Yes","No"),"Error")</f>
        <v>No</v>
      </c>
      <c r="P36" s="42" t="str">
        <f aca="false">IF($N36="SOLE",$J36,"")</f>
        <v/>
      </c>
      <c r="Q36" s="42" t="str">
        <f aca="false">IFERROR(IF($N36="Sole",0,IF(AND($N36="OTR",$R36=0),$J36-$P36,IF(AND($N36="OTR", $R36&gt;0), $J36-$P36-$Q36, ""))),"")</f>
        <v/>
      </c>
      <c r="R36" s="42" t="str">
        <f aca="false">IF($P36=$J36, "0","")</f>
        <v/>
      </c>
      <c r="S36" s="42" t="str">
        <f aca="false">IF(OR(ISBLANK($B36),ISBLANK($C36), ISBLANK($E36), ISBLANK($F36), AND(ISBLANK($G36),ISBLANK($H36)), ISBLANK($I36), ISBLANK($L36), AND(ISBLANK($N36), ISBLANK($O36)), AND(ISBLANK($P36), ISBLANK($Q36), ISBLANK($R36))), "No", "Yes")</f>
        <v>No</v>
      </c>
      <c r="T36" s="42" t="str">
        <f aca="false">SUBSTITUTE($U36," ","")</f>
        <v>02081GAB8</v>
      </c>
      <c r="U36" s="42" t="s">
        <v>93</v>
      </c>
      <c r="V36" s="39" t="n">
        <v>37500000</v>
      </c>
    </row>
    <row r="37" customFormat="false" ht="15" hidden="false" customHeight="false" outlineLevel="0" collapsed="false">
      <c r="B37" s="70" t="s">
        <v>95</v>
      </c>
      <c r="C37" s="71" t="str">
        <f aca="false">IFERROR(INDEX('13F Data'!A:A,MATCH($B37,'13F Data'!A:A,0)),"No CUSIP Match")</f>
        <v>No CUSIP Match</v>
      </c>
      <c r="D37" s="71" t="str">
        <f aca="false">IFERROR(IF($B37=$C37,"Yes","No"),"No CUSIP Match")</f>
        <v>No</v>
      </c>
      <c r="E37" s="71"/>
      <c r="F37" s="71" t="str">
        <f aca="false">IFERROR(INDEX('13F Data'!C:C, MATCH($B37,'13F Data'!A:A,0)),"No CUSIP Match")</f>
        <v>No CUSIP Match</v>
      </c>
      <c r="G37" s="72" t="str">
        <f aca="false">IFERROR(INDEX('13F Data'!D:D,MATCH($B37,'13F Data'!A:A,0)),"No CUSIP Match")</f>
        <v>No CUSIP Match</v>
      </c>
      <c r="J37" s="73" t="n">
        <f aca="false">$V37</f>
        <v>6750000</v>
      </c>
      <c r="K37" s="71" t="str">
        <f aca="false">IFERROR(INDEX('EOD Data'!G:G, MATCH($A37, 'EOD Data'!B:B,0)), "No TKR Match")</f>
        <v>No TKR Match</v>
      </c>
      <c r="L37" s="74" t="str">
        <f aca="false">IFERROR(ROUND($J37*$K37,0),"Error")</f>
        <v>Error</v>
      </c>
      <c r="M37" s="71" t="str">
        <f aca="false">IFERROR(IF(AND($J37&lt;10000,$L37&lt;200000),"Yes","No"),"Error")</f>
        <v>No</v>
      </c>
      <c r="P37" s="42" t="str">
        <f aca="false">IF($N37="SOLE",$J37,"")</f>
        <v/>
      </c>
      <c r="Q37" s="42" t="str">
        <f aca="false">IFERROR(IF($N37="Sole",0,IF(AND($N37="OTR",$R37=0),$J37-$P37,IF(AND($N37="OTR", $R37&gt;0), $J37-$P37-$Q37, ""))),"")</f>
        <v/>
      </c>
      <c r="R37" s="42" t="str">
        <f aca="false">IF($P37=$J37, "0","")</f>
        <v/>
      </c>
      <c r="S37" s="42" t="str">
        <f aca="false">IF(OR(ISBLANK($B37),ISBLANK($C37), ISBLANK($E37), ISBLANK($F37), AND(ISBLANK($G37),ISBLANK($H37)), ISBLANK($I37), ISBLANK($L37), AND(ISBLANK($N37), ISBLANK($O37)), AND(ISBLANK($P37), ISBLANK($Q37), ISBLANK($R37))), "No", "Yes")</f>
        <v>No</v>
      </c>
      <c r="T37" s="42" t="str">
        <f aca="false">SUBSTITUTE($U37," ","")</f>
        <v>021369AC7</v>
      </c>
      <c r="U37" s="42" t="s">
        <v>95</v>
      </c>
      <c r="V37" s="39" t="n">
        <v>6750000</v>
      </c>
    </row>
    <row r="38" customFormat="false" ht="15" hidden="false" customHeight="false" outlineLevel="0" collapsed="false">
      <c r="B38" s="70" t="s">
        <v>97</v>
      </c>
      <c r="C38" s="71" t="str">
        <f aca="false">IFERROR(INDEX('13F Data'!A:A,MATCH($B38,'13F Data'!A:A,0)),"No CUSIP Match")</f>
        <v>No CUSIP Match</v>
      </c>
      <c r="D38" s="71" t="str">
        <f aca="false">IFERROR(IF($B38=$C38,"Yes","No"),"No CUSIP Match")</f>
        <v>No</v>
      </c>
      <c r="E38" s="71"/>
      <c r="F38" s="71" t="str">
        <f aca="false">IFERROR(INDEX('13F Data'!C:C, MATCH($B38,'13F Data'!A:A,0)),"No CUSIP Match")</f>
        <v>No CUSIP Match</v>
      </c>
      <c r="G38" s="72" t="str">
        <f aca="false">IFERROR(INDEX('13F Data'!D:D,MATCH($B38,'13F Data'!A:A,0)),"No CUSIP Match")</f>
        <v>No CUSIP Match</v>
      </c>
      <c r="J38" s="73" t="n">
        <f aca="false">$V38</f>
        <v>353687</v>
      </c>
      <c r="K38" s="71" t="str">
        <f aca="false">IFERROR(INDEX('EOD Data'!G:G, MATCH($A38, 'EOD Data'!B:B,0)), "No TKR Match")</f>
        <v>No TKR Match</v>
      </c>
      <c r="L38" s="74" t="str">
        <f aca="false">IFERROR(ROUND($J38*$K38,0),"Error")</f>
        <v>Error</v>
      </c>
      <c r="M38" s="71" t="str">
        <f aca="false">IFERROR(IF(AND($J38&lt;10000,$L38&lt;200000),"Yes","No"),"Error")</f>
        <v>No</v>
      </c>
      <c r="P38" s="42" t="str">
        <f aca="false">IF($N38="SOLE",$J38,"")</f>
        <v/>
      </c>
      <c r="Q38" s="42" t="str">
        <f aca="false">IFERROR(IF($N38="Sole",0,IF(AND($N38="OTR",$R38=0),$J38-$P38,IF(AND($N38="OTR", $R38&gt;0), $J38-$P38-$Q38, ""))),"")</f>
        <v/>
      </c>
      <c r="R38" s="42" t="str">
        <f aca="false">IF($P38=$J38, "0","")</f>
        <v/>
      </c>
      <c r="S38" s="42" t="str">
        <f aca="false">IF(OR(ISBLANK($B38),ISBLANK($C38), ISBLANK($E38), ISBLANK($F38), AND(ISBLANK($G38),ISBLANK($H38)), ISBLANK($I38), ISBLANK($L38), AND(ISBLANK($N38), ISBLANK($O38)), AND(ISBLANK($P38), ISBLANK($Q38), ISBLANK($R38))), "No", "Yes")</f>
        <v>No</v>
      </c>
      <c r="T38" s="42" t="str">
        <f aca="false">SUBSTITUTE($U38," ","")</f>
        <v>02156V109</v>
      </c>
      <c r="U38" s="42" t="s">
        <v>97</v>
      </c>
      <c r="V38" s="39" t="n">
        <v>353687</v>
      </c>
    </row>
    <row r="39" customFormat="false" ht="15" hidden="false" customHeight="false" outlineLevel="0" collapsed="false">
      <c r="B39" s="70" t="s">
        <v>99</v>
      </c>
      <c r="C39" s="71" t="str">
        <f aca="false">IFERROR(INDEX('13F Data'!A:A,MATCH($B39,'13F Data'!A:A,0)),"No CUSIP Match")</f>
        <v>No CUSIP Match</v>
      </c>
      <c r="D39" s="71" t="str">
        <f aca="false">IFERROR(IF($B39=$C39,"Yes","No"),"No CUSIP Match")</f>
        <v>No</v>
      </c>
      <c r="E39" s="71"/>
      <c r="F39" s="71" t="str">
        <f aca="false">IFERROR(INDEX('13F Data'!C:C, MATCH($B39,'13F Data'!A:A,0)),"No CUSIP Match")</f>
        <v>No CUSIP Match</v>
      </c>
      <c r="G39" s="72" t="str">
        <f aca="false">IFERROR(INDEX('13F Data'!D:D,MATCH($B39,'13F Data'!A:A,0)),"No CUSIP Match")</f>
        <v>No CUSIP Match</v>
      </c>
      <c r="J39" s="73" t="n">
        <f aca="false">$V39</f>
        <v>446626</v>
      </c>
      <c r="K39" s="71" t="str">
        <f aca="false">IFERROR(INDEX('EOD Data'!G:G, MATCH($A39, 'EOD Data'!B:B,0)), "No TKR Match")</f>
        <v>No TKR Match</v>
      </c>
      <c r="L39" s="71" t="str">
        <f aca="false">IFERROR(ROUND($J39*$K39,0),"Error")</f>
        <v>Error</v>
      </c>
      <c r="M39" s="71" t="str">
        <f aca="false">IFERROR(IF(AND($J39&lt;10000,$L39&lt;200000),"Yes","No"),"Error")</f>
        <v>No</v>
      </c>
      <c r="P39" s="42" t="str">
        <f aca="false">IF($N39="SOLE",$J39,"")</f>
        <v/>
      </c>
      <c r="Q39" s="42" t="str">
        <f aca="false">IFERROR(IF($N39="Sole",0,IF(AND($N39="OTR",$R39=0),$J39-$P39,IF(AND($N39="OTR", $R39&gt;0), $J39-$P39-$Q39, ""))),"")</f>
        <v/>
      </c>
      <c r="R39" s="42" t="str">
        <f aca="false">IF($P39=$J39, "0","")</f>
        <v/>
      </c>
      <c r="S39" s="42" t="str">
        <f aca="false">IF(OR(ISBLANK($B39),ISBLANK($C39), ISBLANK($E39), ISBLANK($F39), AND(ISBLANK($G39),ISBLANK($H39)), ISBLANK($I39), ISBLANK($L39), AND(ISBLANK($N39), ISBLANK($O39)), AND(ISBLANK($P39), ISBLANK($Q39), ISBLANK($R39))), "No", "Yes")</f>
        <v>No</v>
      </c>
      <c r="T39" s="42" t="str">
        <f aca="false">SUBSTITUTE($U39," ","")</f>
        <v>02156K103</v>
      </c>
      <c r="U39" s="42" t="s">
        <v>99</v>
      </c>
      <c r="V39" s="39" t="n">
        <v>446626</v>
      </c>
    </row>
    <row r="40" customFormat="false" ht="15" hidden="false" customHeight="false" outlineLevel="0" collapsed="false">
      <c r="B40" s="70" t="s">
        <v>101</v>
      </c>
      <c r="C40" s="71" t="str">
        <f aca="false">IFERROR(INDEX('13F Data'!A:A,MATCH($B40,'13F Data'!A:A,0)),"No CUSIP Match")</f>
        <v>No CUSIP Match</v>
      </c>
      <c r="D40" s="71" t="str">
        <f aca="false">IFERROR(IF($B40=$C40,"Yes","No"),"No CUSIP Match")</f>
        <v>No</v>
      </c>
      <c r="E40" s="71"/>
      <c r="F40" s="71" t="str">
        <f aca="false">IFERROR(INDEX('13F Data'!C:C, MATCH($B40,'13F Data'!A:A,0)),"No CUSIP Match")</f>
        <v>No CUSIP Match</v>
      </c>
      <c r="G40" s="72" t="str">
        <f aca="false">IFERROR(INDEX('13F Data'!D:D,MATCH($B40,'13F Data'!A:A,0)),"No CUSIP Match")</f>
        <v>No CUSIP Match</v>
      </c>
      <c r="J40" s="73" t="n">
        <f aca="false">$V40</f>
        <v>62800</v>
      </c>
      <c r="K40" s="71" t="str">
        <f aca="false">IFERROR(INDEX('EOD Data'!G:G, MATCH($A40, 'EOD Data'!B:B,0)), "No TKR Match")</f>
        <v>No TKR Match</v>
      </c>
      <c r="L40" s="71" t="str">
        <f aca="false">IFERROR(ROUND($J40*$K40,0),"Error")</f>
        <v>Error</v>
      </c>
      <c r="M40" s="71" t="str">
        <f aca="false">IFERROR(IF(AND($J40&lt;10000,$L40&lt;200000),"Yes","No"),"Error")</f>
        <v>No</v>
      </c>
      <c r="P40" s="42" t="str">
        <f aca="false">IF($N40="SOLE",$J40,"")</f>
        <v/>
      </c>
      <c r="Q40" s="42" t="str">
        <f aca="false">IFERROR(IF($N40="Sole",0,IF(AND($N40="OTR",$R40=0),$J40-$P40,IF(AND($N40="OTR", $R40&gt;0), $J40-$P40-$Q40, ""))),"")</f>
        <v/>
      </c>
      <c r="R40" s="42" t="str">
        <f aca="false">IF($P40=$J40, "0","")</f>
        <v/>
      </c>
      <c r="S40" s="42" t="str">
        <f aca="false">IF(OR(ISBLANK($B40),ISBLANK($C40), ISBLANK($E40), ISBLANK($F40), AND(ISBLANK($G40),ISBLANK($H40)), ISBLANK($I40), ISBLANK($L40), AND(ISBLANK($N40), ISBLANK($O40)), AND(ISBLANK($P40), ISBLANK($Q40), ISBLANK($R40))), "No", "Yes")</f>
        <v>No</v>
      </c>
      <c r="T40" s="42" t="str">
        <f aca="false">SUBSTITUTE($U40," ","")</f>
        <v>023135106</v>
      </c>
      <c r="U40" s="42" t="s">
        <v>101</v>
      </c>
      <c r="V40" s="39" t="n">
        <v>62800</v>
      </c>
    </row>
    <row r="41" customFormat="false" ht="15" hidden="false" customHeight="false" outlineLevel="0" collapsed="false">
      <c r="B41" s="70" t="s">
        <v>101</v>
      </c>
      <c r="C41" s="71" t="str">
        <f aca="false">IFERROR(INDEX('13F Data'!A:A,MATCH($B41,'13F Data'!A:A,0)),"No CUSIP Match")</f>
        <v>No CUSIP Match</v>
      </c>
      <c r="D41" s="71" t="str">
        <f aca="false">IFERROR(IF($B41=$C41,"Yes","No"),"No CUSIP Match")</f>
        <v>No</v>
      </c>
      <c r="E41" s="71"/>
      <c r="F41" s="71" t="str">
        <f aca="false">IFERROR(INDEX('13F Data'!C:C, MATCH($B41,'13F Data'!A:A,0)),"No CUSIP Match")</f>
        <v>No CUSIP Match</v>
      </c>
      <c r="G41" s="72" t="str">
        <f aca="false">IFERROR(INDEX('13F Data'!D:D,MATCH($B41,'13F Data'!A:A,0)),"No CUSIP Match")</f>
        <v>No CUSIP Match</v>
      </c>
      <c r="J41" s="73" t="n">
        <f aca="false">$V41</f>
        <v>62800</v>
      </c>
      <c r="K41" s="71" t="str">
        <f aca="false">IFERROR(INDEX('EOD Data'!G:G, MATCH($A41, 'EOD Data'!B:B,0)), "No TKR Match")</f>
        <v>No TKR Match</v>
      </c>
      <c r="L41" s="71" t="str">
        <f aca="false">IFERROR(ROUND($J41*$K41,0),"Error")</f>
        <v>Error</v>
      </c>
      <c r="M41" s="71" t="str">
        <f aca="false">IFERROR(IF(AND($J41&lt;10000,$L41&lt;200000),"Yes","No"),"Error")</f>
        <v>No</v>
      </c>
      <c r="P41" s="42" t="str">
        <f aca="false">IF($N41="SOLE",$J41,"")</f>
        <v/>
      </c>
      <c r="Q41" s="42" t="str">
        <f aca="false">IFERROR(IF($N41="Sole",0,IF(AND($N41="OTR",$R41=0),$J41-$P41,IF(AND($N41="OTR", $R41&gt;0), $J41-$P41-$Q41, ""))),"")</f>
        <v/>
      </c>
      <c r="R41" s="42" t="str">
        <f aca="false">IF($P41=$J41, "0","")</f>
        <v/>
      </c>
      <c r="S41" s="42" t="str">
        <f aca="false">IF(OR(ISBLANK($B41),ISBLANK($C41), ISBLANK($E41), ISBLANK($F41), AND(ISBLANK($G41),ISBLANK($H41)), ISBLANK($I41), ISBLANK($L41), AND(ISBLANK($N41), ISBLANK($O41)), AND(ISBLANK($P41), ISBLANK($Q41), ISBLANK($R41))), "No", "Yes")</f>
        <v>No</v>
      </c>
      <c r="T41" s="42" t="str">
        <f aca="false">SUBSTITUTE($U41," ","")</f>
        <v>023135106</v>
      </c>
      <c r="U41" s="42" t="s">
        <v>101</v>
      </c>
      <c r="V41" s="39" t="n">
        <v>62800</v>
      </c>
    </row>
    <row r="42" customFormat="false" ht="15" hidden="false" customHeight="false" outlineLevel="0" collapsed="false">
      <c r="B42" s="70" t="s">
        <v>103</v>
      </c>
      <c r="C42" s="71" t="str">
        <f aca="false">IFERROR(INDEX('13F Data'!A:A,MATCH($B42,'13F Data'!A:A,0)),"No CUSIP Match")</f>
        <v>No CUSIP Match</v>
      </c>
      <c r="D42" s="71" t="str">
        <f aca="false">IFERROR(IF($B42=$C42,"Yes","No"),"No CUSIP Match")</f>
        <v>No</v>
      </c>
      <c r="E42" s="71"/>
      <c r="F42" s="71" t="str">
        <f aca="false">IFERROR(INDEX('13F Data'!C:C, MATCH($B42,'13F Data'!A:A,0)),"No CUSIP Match")</f>
        <v>No CUSIP Match</v>
      </c>
      <c r="G42" s="72" t="str">
        <f aca="false">IFERROR(INDEX('13F Data'!D:D,MATCH($B42,'13F Data'!A:A,0)),"No CUSIP Match")</f>
        <v>No CUSIP Match</v>
      </c>
      <c r="J42" s="73" t="n">
        <f aca="false">$V42</f>
        <v>46836</v>
      </c>
      <c r="K42" s="71" t="str">
        <f aca="false">IFERROR(INDEX('EOD Data'!G:G, MATCH($A42, 'EOD Data'!B:B,0)), "No TKR Match")</f>
        <v>No TKR Match</v>
      </c>
      <c r="L42" s="71" t="str">
        <f aca="false">IFERROR(ROUND($J42*$K42,0),"Error")</f>
        <v>Error</v>
      </c>
      <c r="M42" s="71" t="str">
        <f aca="false">IFERROR(IF(AND($J42&lt;10000,$L42&lt;200000),"Yes","No"),"Error")</f>
        <v>No</v>
      </c>
      <c r="P42" s="42" t="str">
        <f aca="false">IF($N42="SOLE",$J42,"")</f>
        <v/>
      </c>
      <c r="Q42" s="42" t="str">
        <f aca="false">IFERROR(IF($N42="Sole",0,IF(AND($N42="OTR",$R42=0),$J42-$P42,IF(AND($N42="OTR", $R42&gt;0), $J42-$P42-$Q42, ""))),"")</f>
        <v/>
      </c>
      <c r="R42" s="42" t="str">
        <f aca="false">IF($P42=$J42, "0","")</f>
        <v/>
      </c>
      <c r="S42" s="42" t="str">
        <f aca="false">IF(OR(ISBLANK($B42),ISBLANK($C42), ISBLANK($E42), ISBLANK($F42), AND(ISBLANK($G42),ISBLANK($H42)), ISBLANK($I42), ISBLANK($L42), AND(ISBLANK($N42), ISBLANK($O42)), AND(ISBLANK($P42), ISBLANK($Q42), ISBLANK($R42))), "No", "Yes")</f>
        <v>No</v>
      </c>
      <c r="T42" s="42" t="str">
        <f aca="false">SUBSTITUTE($U42," ","")</f>
        <v>00164V103</v>
      </c>
      <c r="U42" s="42" t="s">
        <v>103</v>
      </c>
      <c r="V42" s="39" t="n">
        <v>46836</v>
      </c>
    </row>
    <row r="43" customFormat="false" ht="15" hidden="false" customHeight="false" outlineLevel="0" collapsed="false">
      <c r="B43" s="70" t="s">
        <v>105</v>
      </c>
      <c r="C43" s="71" t="str">
        <f aca="false">IFERROR(INDEX('13F Data'!A:A,MATCH($B43,'13F Data'!A:A,0)),"No CUSIP Match")</f>
        <v>No CUSIP Match</v>
      </c>
      <c r="D43" s="71" t="str">
        <f aca="false">IFERROR(IF($B43=$C43,"Yes","No"),"No CUSIP Match")</f>
        <v>No</v>
      </c>
      <c r="E43" s="71"/>
      <c r="F43" s="71" t="str">
        <f aca="false">IFERROR(INDEX('13F Data'!C:C, MATCH($B43,'13F Data'!A:A,0)),"No CUSIP Match")</f>
        <v>No CUSIP Match</v>
      </c>
      <c r="G43" s="72" t="str">
        <f aca="false">IFERROR(INDEX('13F Data'!D:D,MATCH($B43,'13F Data'!A:A,0)),"No CUSIP Match")</f>
        <v>No CUSIP Match</v>
      </c>
      <c r="J43" s="73" t="n">
        <f aca="false">$V43</f>
        <v>430000</v>
      </c>
      <c r="K43" s="71" t="str">
        <f aca="false">IFERROR(INDEX('EOD Data'!G:G, MATCH($A43, 'EOD Data'!B:B,0)), "No TKR Match")</f>
        <v>No TKR Match</v>
      </c>
      <c r="L43" s="71" t="str">
        <f aca="false">IFERROR(ROUND($J43*$K43,0),"Error")</f>
        <v>Error</v>
      </c>
      <c r="M43" s="71" t="str">
        <f aca="false">IFERROR(IF(AND($J43&lt;10000,$L43&lt;200000),"Yes","No"),"Error")</f>
        <v>No</v>
      </c>
      <c r="P43" s="42" t="str">
        <f aca="false">IF($N43="SOLE",$J43,"")</f>
        <v/>
      </c>
      <c r="Q43" s="42" t="str">
        <f aca="false">IFERROR(IF($N43="Sole",0,IF(AND($N43="OTR",$R43=0),$J43-$P43,IF(AND($N43="OTR", $R43&gt;0), $J43-$P43-$Q43, ""))),"")</f>
        <v/>
      </c>
      <c r="R43" s="42" t="str">
        <f aca="false">IF($P43=$J43, "0","")</f>
        <v/>
      </c>
      <c r="S43" s="42" t="str">
        <f aca="false">IF(OR(ISBLANK($B43),ISBLANK($C43), ISBLANK($E43), ISBLANK($F43), AND(ISBLANK($G43),ISBLANK($H43)), ISBLANK($I43), ISBLANK($L43), AND(ISBLANK($N43), ISBLANK($O43)), AND(ISBLANK($P43), ISBLANK($Q43), ISBLANK($R43))), "No", "Yes")</f>
        <v>No</v>
      </c>
      <c r="T43" s="42" t="str">
        <f aca="false">SUBSTITUTE($U43," ","")</f>
        <v>02376R102</v>
      </c>
      <c r="U43" s="42" t="s">
        <v>105</v>
      </c>
      <c r="V43" s="39" t="n">
        <v>430000</v>
      </c>
    </row>
    <row r="44" customFormat="false" ht="15" hidden="false" customHeight="false" outlineLevel="0" collapsed="false">
      <c r="B44" s="70" t="s">
        <v>107</v>
      </c>
      <c r="C44" s="71" t="str">
        <f aca="false">IFERROR(INDEX('13F Data'!A:A,MATCH($B44,'13F Data'!A:A,0)),"No CUSIP Match")</f>
        <v>No CUSIP Match</v>
      </c>
      <c r="D44" s="71" t="str">
        <f aca="false">IFERROR(IF($B44=$C44,"Yes","No"),"No CUSIP Match")</f>
        <v>No</v>
      </c>
      <c r="E44" s="71"/>
      <c r="F44" s="71" t="str">
        <f aca="false">IFERROR(INDEX('13F Data'!C:C, MATCH($B44,'13F Data'!A:A,0)),"No CUSIP Match")</f>
        <v>No CUSIP Match</v>
      </c>
      <c r="G44" s="72" t="str">
        <f aca="false">IFERROR(INDEX('13F Data'!D:D,MATCH($B44,'13F Data'!A:A,0)),"No CUSIP Match")</f>
        <v>No CUSIP Match</v>
      </c>
      <c r="J44" s="73" t="n">
        <f aca="false">$V44</f>
        <v>148749</v>
      </c>
      <c r="K44" s="71" t="str">
        <f aca="false">IFERROR(INDEX('EOD Data'!G:G, MATCH($A44, 'EOD Data'!B:B,0)), "No TKR Match")</f>
        <v>No TKR Match</v>
      </c>
      <c r="L44" s="71" t="str">
        <f aca="false">IFERROR(ROUND($J44*$K44,0),"Error")</f>
        <v>Error</v>
      </c>
      <c r="M44" s="71" t="str">
        <f aca="false">IFERROR(IF(AND($J44&lt;10000,$L44&lt;200000),"Yes","No"),"Error")</f>
        <v>No</v>
      </c>
      <c r="P44" s="42" t="str">
        <f aca="false">IF($N44="SOLE",$J44,"")</f>
        <v/>
      </c>
      <c r="Q44" s="42" t="str">
        <f aca="false">IFERROR(IF($N44="Sole",0,IF(AND($N44="OTR",$R44=0),$J44-$P44,IF(AND($N44="OTR", $R44&gt;0), $J44-$P44-$Q44, ""))),"")</f>
        <v/>
      </c>
      <c r="R44" s="42" t="str">
        <f aca="false">IF($P44=$J44, "0","")</f>
        <v/>
      </c>
      <c r="S44" s="42" t="str">
        <f aca="false">IF(OR(ISBLANK($B44),ISBLANK($C44), ISBLANK($E44), ISBLANK($F44), AND(ISBLANK($G44),ISBLANK($H44)), ISBLANK($I44), ISBLANK($L44), AND(ISBLANK($N44), ISBLANK($O44)), AND(ISBLANK($P44), ISBLANK($Q44), ISBLANK($R44))), "No", "Yes")</f>
        <v>No</v>
      </c>
      <c r="T44" s="42" t="str">
        <f aca="false">SUBSTITUTE($U44," ","")</f>
        <v>024061103</v>
      </c>
      <c r="U44" s="42" t="s">
        <v>107</v>
      </c>
      <c r="V44" s="39" t="n">
        <v>148749</v>
      </c>
    </row>
    <row r="45" customFormat="false" ht="15" hidden="false" customHeight="false" outlineLevel="0" collapsed="false">
      <c r="B45" s="70" t="s">
        <v>109</v>
      </c>
      <c r="C45" s="71" t="str">
        <f aca="false">IFERROR(INDEX('13F Data'!A:A,MATCH($B45,'13F Data'!A:A,0)),"No CUSIP Match")</f>
        <v>No CUSIP Match</v>
      </c>
      <c r="D45" s="71" t="str">
        <f aca="false">IFERROR(IF($B45=$C45,"Yes","No"),"No CUSIP Match")</f>
        <v>No</v>
      </c>
      <c r="E45" s="71"/>
      <c r="F45" s="71" t="str">
        <f aca="false">IFERROR(INDEX('13F Data'!C:C, MATCH($B45,'13F Data'!A:A,0)),"No CUSIP Match")</f>
        <v>No CUSIP Match</v>
      </c>
      <c r="G45" s="72" t="str">
        <f aca="false">IFERROR(INDEX('13F Data'!D:D,MATCH($B45,'13F Data'!A:A,0)),"No CUSIP Match")</f>
        <v>No CUSIP Match</v>
      </c>
      <c r="J45" s="73" t="n">
        <f aca="false">$V45</f>
        <v>8109</v>
      </c>
      <c r="K45" s="71" t="str">
        <f aca="false">IFERROR(INDEX('EOD Data'!G:G, MATCH($A45, 'EOD Data'!B:B,0)), "No TKR Match")</f>
        <v>No TKR Match</v>
      </c>
      <c r="L45" s="71" t="str">
        <f aca="false">IFERROR(ROUND($J45*$K45,0),"Error")</f>
        <v>Error</v>
      </c>
      <c r="M45" s="71" t="str">
        <f aca="false">IFERROR(IF(AND($J45&lt;10000,$L45&lt;200000),"Yes","No"),"Error")</f>
        <v>No</v>
      </c>
      <c r="P45" s="42" t="str">
        <f aca="false">IF($N45="SOLE",$J45,"")</f>
        <v/>
      </c>
      <c r="Q45" s="42" t="str">
        <f aca="false">IFERROR(IF($N45="Sole",0,IF(AND($N45="OTR",$R45=0),$J45-$P45,IF(AND($N45="OTR", $R45&gt;0), $J45-$P45-$Q45, ""))),"")</f>
        <v/>
      </c>
      <c r="R45" s="42" t="str">
        <f aca="false">IF($P45=$J45, "0","")</f>
        <v/>
      </c>
      <c r="S45" s="42" t="str">
        <f aca="false">IF(OR(ISBLANK($B45),ISBLANK($C45), ISBLANK($E45), ISBLANK($F45), AND(ISBLANK($G45),ISBLANK($H45)), ISBLANK($I45), ISBLANK($L45), AND(ISBLANK($N45), ISBLANK($O45)), AND(ISBLANK($P45), ISBLANK($Q45), ISBLANK($R45))), "No", "Yes")</f>
        <v>No</v>
      </c>
      <c r="T45" s="42" t="str">
        <f aca="false">SUBSTITUTE($U45," ","")</f>
        <v>025537101</v>
      </c>
      <c r="U45" s="42" t="s">
        <v>109</v>
      </c>
      <c r="V45" s="39" t="n">
        <v>8109</v>
      </c>
    </row>
    <row r="46" customFormat="false" ht="15" hidden="false" customHeight="false" outlineLevel="0" collapsed="false">
      <c r="B46" s="70" t="s">
        <v>109</v>
      </c>
      <c r="C46" s="71" t="str">
        <f aca="false">IFERROR(INDEX('13F Data'!A:A,MATCH($B46,'13F Data'!A:A,0)),"No CUSIP Match")</f>
        <v>No CUSIP Match</v>
      </c>
      <c r="D46" s="71" t="str">
        <f aca="false">IFERROR(IF($B46=$C46,"Yes","No"),"No CUSIP Match")</f>
        <v>No</v>
      </c>
      <c r="E46" s="71"/>
      <c r="F46" s="71" t="str">
        <f aca="false">IFERROR(INDEX('13F Data'!C:C, MATCH($B46,'13F Data'!A:A,0)),"No CUSIP Match")</f>
        <v>No CUSIP Match</v>
      </c>
      <c r="G46" s="72" t="str">
        <f aca="false">IFERROR(INDEX('13F Data'!D:D,MATCH($B46,'13F Data'!A:A,0)),"No CUSIP Match")</f>
        <v>No CUSIP Match</v>
      </c>
      <c r="J46" s="73" t="n">
        <f aca="false">$V46</f>
        <v>45700</v>
      </c>
      <c r="K46" s="71" t="str">
        <f aca="false">IFERROR(INDEX('EOD Data'!G:G, MATCH($A46, 'EOD Data'!B:B,0)), "No TKR Match")</f>
        <v>No TKR Match</v>
      </c>
      <c r="L46" s="71" t="str">
        <f aca="false">IFERROR(ROUND($J46*$K46,0),"Error")</f>
        <v>Error</v>
      </c>
      <c r="M46" s="71" t="str">
        <f aca="false">IFERROR(IF(AND($J46&lt;10000,$L46&lt;200000),"Yes","No"),"Error")</f>
        <v>No</v>
      </c>
      <c r="P46" s="42" t="str">
        <f aca="false">IF($N46="SOLE",$J46,"")</f>
        <v/>
      </c>
      <c r="Q46" s="42" t="str">
        <f aca="false">IFERROR(IF($N46="Sole",0,IF(AND($N46="OTR",$R46=0),$J46-$P46,IF(AND($N46="OTR", $R46&gt;0), $J46-$P46-$Q46, ""))),"")</f>
        <v/>
      </c>
      <c r="R46" s="42" t="str">
        <f aca="false">IF($P46=$J46, "0","")</f>
        <v/>
      </c>
      <c r="S46" s="42" t="str">
        <f aca="false">IF(OR(ISBLANK($B46),ISBLANK($C46), ISBLANK($E46), ISBLANK($F46), AND(ISBLANK($G46),ISBLANK($H46)), ISBLANK($I46), ISBLANK($L46), AND(ISBLANK($N46), ISBLANK($O46)), AND(ISBLANK($P46), ISBLANK($Q46), ISBLANK($R46))), "No", "Yes")</f>
        <v>No</v>
      </c>
      <c r="T46" s="42" t="str">
        <f aca="false">SUBSTITUTE($U46," ","")</f>
        <v>025537101</v>
      </c>
      <c r="U46" s="42" t="s">
        <v>109</v>
      </c>
      <c r="V46" s="39" t="n">
        <v>45700</v>
      </c>
    </row>
    <row r="47" customFormat="false" ht="15" hidden="false" customHeight="false" outlineLevel="0" collapsed="false">
      <c r="B47" s="70" t="s">
        <v>109</v>
      </c>
      <c r="C47" s="71" t="str">
        <f aca="false">IFERROR(INDEX('13F Data'!A:A,MATCH($B47,'13F Data'!A:A,0)),"No CUSIP Match")</f>
        <v>No CUSIP Match</v>
      </c>
      <c r="D47" s="71" t="str">
        <f aca="false">IFERROR(IF($B47=$C47,"Yes","No"),"No CUSIP Match")</f>
        <v>No</v>
      </c>
      <c r="E47" s="71"/>
      <c r="F47" s="71" t="str">
        <f aca="false">IFERROR(INDEX('13F Data'!C:C, MATCH($B47,'13F Data'!A:A,0)),"No CUSIP Match")</f>
        <v>No CUSIP Match</v>
      </c>
      <c r="G47" s="72" t="str">
        <f aca="false">IFERROR(INDEX('13F Data'!D:D,MATCH($B47,'13F Data'!A:A,0)),"No CUSIP Match")</f>
        <v>No CUSIP Match</v>
      </c>
      <c r="J47" s="73" t="n">
        <f aca="false">$V47</f>
        <v>45700</v>
      </c>
      <c r="K47" s="71" t="str">
        <f aca="false">IFERROR(INDEX('EOD Data'!G:G, MATCH($A47, 'EOD Data'!B:B,0)), "No TKR Match")</f>
        <v>No TKR Match</v>
      </c>
      <c r="L47" s="71" t="str">
        <f aca="false">IFERROR(ROUND($J47*$K47,0),"Error")</f>
        <v>Error</v>
      </c>
      <c r="M47" s="71" t="str">
        <f aca="false">IFERROR(IF(AND($J47&lt;10000,$L47&lt;200000),"Yes","No"),"Error")</f>
        <v>No</v>
      </c>
      <c r="P47" s="42" t="str">
        <f aca="false">IF($N47="SOLE",$J47,"")</f>
        <v/>
      </c>
      <c r="Q47" s="42" t="str">
        <f aca="false">IFERROR(IF($N47="Sole",0,IF(AND($N47="OTR",$R47=0),$J47-$P47,IF(AND($N47="OTR", $R47&gt;0), $J47-$P47-$Q47, ""))),"")</f>
        <v/>
      </c>
      <c r="R47" s="42" t="str">
        <f aca="false">IF($P47=$J47, "0","")</f>
        <v/>
      </c>
      <c r="S47" s="42" t="str">
        <f aca="false">IF(OR(ISBLANK($B47),ISBLANK($C47), ISBLANK($E47), ISBLANK($F47), AND(ISBLANK($G47),ISBLANK($H47)), ISBLANK($I47), ISBLANK($L47), AND(ISBLANK($N47), ISBLANK($O47)), AND(ISBLANK($P47), ISBLANK($Q47), ISBLANK($R47))), "No", "Yes")</f>
        <v>No</v>
      </c>
      <c r="T47" s="42" t="str">
        <f aca="false">SUBSTITUTE($U47," ","")</f>
        <v>025537101</v>
      </c>
      <c r="U47" s="42" t="s">
        <v>109</v>
      </c>
      <c r="V47" s="39" t="n">
        <v>45700</v>
      </c>
    </row>
    <row r="48" customFormat="false" ht="15" hidden="false" customHeight="false" outlineLevel="0" collapsed="false">
      <c r="B48" s="70" t="s">
        <v>111</v>
      </c>
      <c r="C48" s="71" t="str">
        <f aca="false">IFERROR(INDEX('13F Data'!A:A,MATCH($B48,'13F Data'!A:A,0)),"No CUSIP Match")</f>
        <v>No CUSIP Match</v>
      </c>
      <c r="D48" s="71" t="str">
        <f aca="false">IFERROR(IF($B48=$C48,"Yes","No"),"No CUSIP Match")</f>
        <v>No</v>
      </c>
      <c r="E48" s="71"/>
      <c r="F48" s="71" t="str">
        <f aca="false">IFERROR(INDEX('13F Data'!C:C, MATCH($B48,'13F Data'!A:A,0)),"No CUSIP Match")</f>
        <v>No CUSIP Match</v>
      </c>
      <c r="G48" s="72" t="str">
        <f aca="false">IFERROR(INDEX('13F Data'!D:D,MATCH($B48,'13F Data'!A:A,0)),"No CUSIP Match")</f>
        <v>No CUSIP Match</v>
      </c>
      <c r="J48" s="73" t="n">
        <f aca="false">$V48</f>
        <v>38800</v>
      </c>
      <c r="K48" s="71" t="str">
        <f aca="false">IFERROR(INDEX('EOD Data'!G:G, MATCH($A48, 'EOD Data'!B:B,0)), "No TKR Match")</f>
        <v>No TKR Match</v>
      </c>
      <c r="L48" s="71" t="str">
        <f aca="false">IFERROR(ROUND($J48*$K48,0),"Error")</f>
        <v>Error</v>
      </c>
      <c r="M48" s="71" t="str">
        <f aca="false">IFERROR(IF(AND($J48&lt;10000,$L48&lt;200000),"Yes","No"),"Error")</f>
        <v>No</v>
      </c>
      <c r="P48" s="42" t="str">
        <f aca="false">IF($N48="SOLE",$J48,"")</f>
        <v/>
      </c>
      <c r="Q48" s="42" t="str">
        <f aca="false">IFERROR(IF($N48="Sole",0,IF(AND($N48="OTR",$R48=0),$J48-$P48,IF(AND($N48="OTR", $R48&gt;0), $J48-$P48-$Q48, ""))),"")</f>
        <v/>
      </c>
      <c r="R48" s="42" t="str">
        <f aca="false">IF($P48=$J48, "0","")</f>
        <v/>
      </c>
      <c r="S48" s="42" t="str">
        <f aca="false">IF(OR(ISBLANK($B48),ISBLANK($C48), ISBLANK($E48), ISBLANK($F48), AND(ISBLANK($G48),ISBLANK($H48)), ISBLANK($I48), ISBLANK($L48), AND(ISBLANK($N48), ISBLANK($O48)), AND(ISBLANK($P48), ISBLANK($Q48), ISBLANK($R48))), "No", "Yes")</f>
        <v>No</v>
      </c>
      <c r="T48" s="42" t="str">
        <f aca="false">SUBSTITUTE($U48," ","")</f>
        <v>025816109</v>
      </c>
      <c r="U48" s="42" t="s">
        <v>111</v>
      </c>
      <c r="V48" s="39" t="n">
        <v>38800</v>
      </c>
    </row>
    <row r="49" customFormat="false" ht="15" hidden="false" customHeight="false" outlineLevel="0" collapsed="false">
      <c r="B49" s="70" t="s">
        <v>111</v>
      </c>
      <c r="C49" s="71" t="str">
        <f aca="false">IFERROR(INDEX('13F Data'!A:A,MATCH($B49,'13F Data'!A:A,0)),"No CUSIP Match")</f>
        <v>No CUSIP Match</v>
      </c>
      <c r="D49" s="71" t="str">
        <f aca="false">IFERROR(IF($B49=$C49,"Yes","No"),"No CUSIP Match")</f>
        <v>No</v>
      </c>
      <c r="E49" s="71"/>
      <c r="F49" s="71" t="str">
        <f aca="false">IFERROR(INDEX('13F Data'!C:C, MATCH($B49,'13F Data'!A:A,0)),"No CUSIP Match")</f>
        <v>No CUSIP Match</v>
      </c>
      <c r="G49" s="72" t="str">
        <f aca="false">IFERROR(INDEX('13F Data'!D:D,MATCH($B49,'13F Data'!A:A,0)),"No CUSIP Match")</f>
        <v>No CUSIP Match</v>
      </c>
      <c r="J49" s="73" t="n">
        <f aca="false">$V49</f>
        <v>38800</v>
      </c>
      <c r="K49" s="71" t="str">
        <f aca="false">IFERROR(INDEX('EOD Data'!G:G, MATCH($A49, 'EOD Data'!B:B,0)), "No TKR Match")</f>
        <v>No TKR Match</v>
      </c>
      <c r="L49" s="71" t="str">
        <f aca="false">IFERROR(ROUND($J49*$K49,0),"Error")</f>
        <v>Error</v>
      </c>
      <c r="M49" s="71" t="str">
        <f aca="false">IFERROR(IF(AND($J49&lt;10000,$L49&lt;200000),"Yes","No"),"Error")</f>
        <v>No</v>
      </c>
      <c r="P49" s="42" t="str">
        <f aca="false">IF($N49="SOLE",$J49,"")</f>
        <v/>
      </c>
      <c r="Q49" s="42" t="str">
        <f aca="false">IFERROR(IF($N49="Sole",0,IF(AND($N49="OTR",$R49=0),$J49-$P49,IF(AND($N49="OTR", $R49&gt;0), $J49-$P49-$Q49, ""))),"")</f>
        <v/>
      </c>
      <c r="R49" s="42" t="str">
        <f aca="false">IF($P49=$J49, "0","")</f>
        <v/>
      </c>
      <c r="S49" s="42" t="str">
        <f aca="false">IF(OR(ISBLANK($B49),ISBLANK($C49), ISBLANK($E49), ISBLANK($F49), AND(ISBLANK($G49),ISBLANK($H49)), ISBLANK($I49), ISBLANK($L49), AND(ISBLANK($N49), ISBLANK($O49)), AND(ISBLANK($P49), ISBLANK($Q49), ISBLANK($R49))), "No", "Yes")</f>
        <v>No</v>
      </c>
      <c r="T49" s="42" t="str">
        <f aca="false">SUBSTITUTE($U49," ","")</f>
        <v>025816109</v>
      </c>
      <c r="U49" s="42" t="s">
        <v>111</v>
      </c>
      <c r="V49" s="39" t="n">
        <v>38800</v>
      </c>
    </row>
    <row r="50" customFormat="false" ht="15" hidden="false" customHeight="false" outlineLevel="0" collapsed="false">
      <c r="B50" s="70" t="s">
        <v>113</v>
      </c>
      <c r="C50" s="71" t="str">
        <f aca="false">IFERROR(INDEX('13F Data'!A:A,MATCH($B50,'13F Data'!A:A,0)),"No CUSIP Match")</f>
        <v>No CUSIP Match</v>
      </c>
      <c r="D50" s="71" t="str">
        <f aca="false">IFERROR(IF($B50=$C50,"Yes","No"),"No CUSIP Match")</f>
        <v>No</v>
      </c>
      <c r="E50" s="71"/>
      <c r="F50" s="71" t="str">
        <f aca="false">IFERROR(INDEX('13F Data'!C:C, MATCH($B50,'13F Data'!A:A,0)),"No CUSIP Match")</f>
        <v>No CUSIP Match</v>
      </c>
      <c r="G50" s="72" t="str">
        <f aca="false">IFERROR(INDEX('13F Data'!D:D,MATCH($B50,'13F Data'!A:A,0)),"No CUSIP Match")</f>
        <v>No CUSIP Match</v>
      </c>
      <c r="J50" s="73" t="n">
        <f aca="false">$V50</f>
        <v>8</v>
      </c>
      <c r="K50" s="71" t="str">
        <f aca="false">IFERROR(INDEX('EOD Data'!G:G, MATCH($A50, 'EOD Data'!B:B,0)), "No TKR Match")</f>
        <v>No TKR Match</v>
      </c>
      <c r="L50" s="71" t="str">
        <f aca="false">IFERROR(ROUND($J50*$K50,0),"Error")</f>
        <v>Error</v>
      </c>
      <c r="M50" s="71" t="str">
        <f aca="false">IFERROR(IF(AND($J50&lt;10000,$L50&lt;200000),"Yes","No"),"Error")</f>
        <v>No</v>
      </c>
      <c r="P50" s="42" t="str">
        <f aca="false">IF($N50="SOLE",$J50,"")</f>
        <v/>
      </c>
      <c r="Q50" s="42" t="str">
        <f aca="false">IFERROR(IF($N50="Sole",0,IF(AND($N50="OTR",$R50=0),$J50-$P50,IF(AND($N50="OTR", $R50&gt;0), $J50-$P50-$Q50, ""))),"")</f>
        <v/>
      </c>
      <c r="R50" s="42" t="str">
        <f aca="false">IF($P50=$J50, "0","")</f>
        <v/>
      </c>
      <c r="S50" s="42" t="str">
        <f aca="false">IF(OR(ISBLANK($B50),ISBLANK($C50), ISBLANK($E50), ISBLANK($F50), AND(ISBLANK($G50),ISBLANK($H50)), ISBLANK($I50), ISBLANK($L50), AND(ISBLANK($N50), ISBLANK($O50)), AND(ISBLANK($P50), ISBLANK($Q50), ISBLANK($R50))), "No", "Yes")</f>
        <v>No</v>
      </c>
      <c r="T50" s="42" t="str">
        <f aca="false">SUBSTITUTE($U50," ","")</f>
        <v>03027X100</v>
      </c>
      <c r="U50" s="42" t="s">
        <v>113</v>
      </c>
      <c r="V50" s="39" t="n">
        <v>8</v>
      </c>
    </row>
    <row r="51" customFormat="false" ht="15" hidden="false" customHeight="false" outlineLevel="0" collapsed="false">
      <c r="B51" s="70" t="s">
        <v>113</v>
      </c>
      <c r="C51" s="71" t="str">
        <f aca="false">IFERROR(INDEX('13F Data'!A:A,MATCH($B51,'13F Data'!A:A,0)),"No CUSIP Match")</f>
        <v>No CUSIP Match</v>
      </c>
      <c r="D51" s="71" t="str">
        <f aca="false">IFERROR(IF($B51=$C51,"Yes","No"),"No CUSIP Match")</f>
        <v>No</v>
      </c>
      <c r="E51" s="71"/>
      <c r="F51" s="71" t="str">
        <f aca="false">IFERROR(INDEX('13F Data'!C:C, MATCH($B51,'13F Data'!A:A,0)),"No CUSIP Match")</f>
        <v>No CUSIP Match</v>
      </c>
      <c r="G51" s="72" t="str">
        <f aca="false">IFERROR(INDEX('13F Data'!D:D,MATCH($B51,'13F Data'!A:A,0)),"No CUSIP Match")</f>
        <v>No CUSIP Match</v>
      </c>
      <c r="J51" s="73" t="n">
        <f aca="false">$V51</f>
        <v>400</v>
      </c>
      <c r="K51" s="71" t="str">
        <f aca="false">IFERROR(INDEX('EOD Data'!G:G, MATCH($A51, 'EOD Data'!B:B,0)), "No TKR Match")</f>
        <v>No TKR Match</v>
      </c>
      <c r="L51" s="71" t="str">
        <f aca="false">IFERROR(ROUND($J51*$K51,0),"Error")</f>
        <v>Error</v>
      </c>
      <c r="M51" s="71" t="str">
        <f aca="false">IFERROR(IF(AND($J51&lt;10000,$L51&lt;200000),"Yes","No"),"Error")</f>
        <v>No</v>
      </c>
      <c r="P51" s="42" t="str">
        <f aca="false">IF($N51="SOLE",$J51,"")</f>
        <v/>
      </c>
      <c r="Q51" s="42" t="str">
        <f aca="false">IFERROR(IF($N51="Sole",0,IF(AND($N51="OTR",$R51=0),$J51-$P51,IF(AND($N51="OTR", $R51&gt;0), $J51-$P51-$Q51, ""))),"")</f>
        <v/>
      </c>
      <c r="R51" s="42" t="str">
        <f aca="false">IF($P51=$J51, "0","")</f>
        <v/>
      </c>
      <c r="S51" s="42" t="str">
        <f aca="false">IF(OR(ISBLANK($B51),ISBLANK($C51), ISBLANK($E51), ISBLANK($F51), AND(ISBLANK($G51),ISBLANK($H51)), ISBLANK($I51), ISBLANK($L51), AND(ISBLANK($N51), ISBLANK($O51)), AND(ISBLANK($P51), ISBLANK($Q51), ISBLANK($R51))), "No", "Yes")</f>
        <v>No</v>
      </c>
      <c r="T51" s="42" t="str">
        <f aca="false">SUBSTITUTE($U51," ","")</f>
        <v>03027X100</v>
      </c>
      <c r="U51" s="42" t="s">
        <v>113</v>
      </c>
      <c r="V51" s="39" t="n">
        <v>400</v>
      </c>
    </row>
    <row r="52" customFormat="false" ht="15" hidden="false" customHeight="false" outlineLevel="0" collapsed="false">
      <c r="B52" s="70" t="s">
        <v>113</v>
      </c>
      <c r="C52" s="71" t="str">
        <f aca="false">IFERROR(INDEX('13F Data'!A:A,MATCH($B52,'13F Data'!A:A,0)),"No CUSIP Match")</f>
        <v>No CUSIP Match</v>
      </c>
      <c r="D52" s="71" t="str">
        <f aca="false">IFERROR(IF($B52=$C52,"Yes","No"),"No CUSIP Match")</f>
        <v>No</v>
      </c>
      <c r="E52" s="71"/>
      <c r="F52" s="71" t="str">
        <f aca="false">IFERROR(INDEX('13F Data'!C:C, MATCH($B52,'13F Data'!A:A,0)),"No CUSIP Match")</f>
        <v>No CUSIP Match</v>
      </c>
      <c r="G52" s="72" t="str">
        <f aca="false">IFERROR(INDEX('13F Data'!D:D,MATCH($B52,'13F Data'!A:A,0)),"No CUSIP Match")</f>
        <v>No CUSIP Match</v>
      </c>
      <c r="J52" s="73" t="n">
        <f aca="false">$V52</f>
        <v>400</v>
      </c>
      <c r="K52" s="71" t="str">
        <f aca="false">IFERROR(INDEX('EOD Data'!G:G, MATCH($A52, 'EOD Data'!B:B,0)), "No TKR Match")</f>
        <v>No TKR Match</v>
      </c>
      <c r="L52" s="71" t="str">
        <f aca="false">IFERROR(ROUND($J52*$K52,0),"Error")</f>
        <v>Error</v>
      </c>
      <c r="M52" s="71" t="str">
        <f aca="false">IFERROR(IF(AND($J52&lt;10000,$L52&lt;200000),"Yes","No"),"Error")</f>
        <v>No</v>
      </c>
      <c r="P52" s="42" t="str">
        <f aca="false">IF($N52="SOLE",$J52,"")</f>
        <v/>
      </c>
      <c r="Q52" s="42" t="str">
        <f aca="false">IFERROR(IF($N52="Sole",0,IF(AND($N52="OTR",$R52=0),$J52-$P52,IF(AND($N52="OTR", $R52&gt;0), $J52-$P52-$Q52, ""))),"")</f>
        <v/>
      </c>
      <c r="R52" s="42" t="str">
        <f aca="false">IF($P52=$J52, "0","")</f>
        <v/>
      </c>
      <c r="S52" s="42" t="str">
        <f aca="false">IF(OR(ISBLANK($B52),ISBLANK($C52), ISBLANK($E52), ISBLANK($F52), AND(ISBLANK($G52),ISBLANK($H52)), ISBLANK($I52), ISBLANK($L52), AND(ISBLANK($N52), ISBLANK($O52)), AND(ISBLANK($P52), ISBLANK($Q52), ISBLANK($R52))), "No", "Yes")</f>
        <v>No</v>
      </c>
      <c r="T52" s="42" t="str">
        <f aca="false">SUBSTITUTE($U52," ","")</f>
        <v>03027X100</v>
      </c>
      <c r="U52" s="42" t="s">
        <v>113</v>
      </c>
      <c r="V52" s="39" t="n">
        <v>400</v>
      </c>
    </row>
    <row r="53" customFormat="false" ht="15" hidden="false" customHeight="false" outlineLevel="0" collapsed="false">
      <c r="B53" s="70" t="s">
        <v>115</v>
      </c>
      <c r="C53" s="71" t="str">
        <f aca="false">IFERROR(INDEX('13F Data'!A:A,MATCH($B53,'13F Data'!A:A,0)),"No CUSIP Match")</f>
        <v>No CUSIP Match</v>
      </c>
      <c r="D53" s="71" t="str">
        <f aca="false">IFERROR(IF($B53=$C53,"Yes","No"),"No CUSIP Match")</f>
        <v>No</v>
      </c>
      <c r="E53" s="71"/>
      <c r="F53" s="71" t="str">
        <f aca="false">IFERROR(INDEX('13F Data'!C:C, MATCH($B53,'13F Data'!A:A,0)),"No CUSIP Match")</f>
        <v>No CUSIP Match</v>
      </c>
      <c r="G53" s="72" t="str">
        <f aca="false">IFERROR(INDEX('13F Data'!D:D,MATCH($B53,'13F Data'!A:A,0)),"No CUSIP Match")</f>
        <v>No CUSIP Match</v>
      </c>
      <c r="J53" s="73" t="n">
        <f aca="false">$V53</f>
        <v>1800</v>
      </c>
      <c r="K53" s="71" t="str">
        <f aca="false">IFERROR(INDEX('EOD Data'!G:G, MATCH($A53, 'EOD Data'!B:B,0)), "No TKR Match")</f>
        <v>No TKR Match</v>
      </c>
      <c r="L53" s="71" t="str">
        <f aca="false">IFERROR(ROUND($J53*$K53,0),"Error")</f>
        <v>Error</v>
      </c>
      <c r="M53" s="71" t="str">
        <f aca="false">IFERROR(IF(AND($J53&lt;10000,$L53&lt;200000),"Yes","No"),"Error")</f>
        <v>No</v>
      </c>
      <c r="P53" s="42" t="str">
        <f aca="false">IF($N53="SOLE",$J53,"")</f>
        <v/>
      </c>
      <c r="Q53" s="42" t="str">
        <f aca="false">IFERROR(IF($N53="Sole",0,IF(AND($N53="OTR",$R53=0),$J53-$P53,IF(AND($N53="OTR", $R53&gt;0), $J53-$P53-$Q53, ""))),"")</f>
        <v/>
      </c>
      <c r="R53" s="42" t="str">
        <f aca="false">IF($P53=$J53, "0","")</f>
        <v/>
      </c>
      <c r="S53" s="42" t="str">
        <f aca="false">IF(OR(ISBLANK($B53),ISBLANK($C53), ISBLANK($E53), ISBLANK($F53), AND(ISBLANK($G53),ISBLANK($H53)), ISBLANK($I53), ISBLANK($L53), AND(ISBLANK($N53), ISBLANK($O53)), AND(ISBLANK($P53), ISBLANK($Q53), ISBLANK($R53))), "No", "Yes")</f>
        <v>No</v>
      </c>
      <c r="T53" s="42" t="str">
        <f aca="false">SUBSTITUTE($U53," ","")</f>
        <v>031162100</v>
      </c>
      <c r="U53" s="42" t="s">
        <v>115</v>
      </c>
      <c r="V53" s="39" t="n">
        <v>1800</v>
      </c>
    </row>
    <row r="54" customFormat="false" ht="15" hidden="false" customHeight="false" outlineLevel="0" collapsed="false">
      <c r="B54" s="70" t="s">
        <v>115</v>
      </c>
      <c r="C54" s="71" t="str">
        <f aca="false">IFERROR(INDEX('13F Data'!A:A,MATCH($B54,'13F Data'!A:A,0)),"No CUSIP Match")</f>
        <v>No CUSIP Match</v>
      </c>
      <c r="D54" s="71" t="str">
        <f aca="false">IFERROR(IF($B54=$C54,"Yes","No"),"No CUSIP Match")</f>
        <v>No</v>
      </c>
      <c r="E54" s="71"/>
      <c r="F54" s="71" t="str">
        <f aca="false">IFERROR(INDEX('13F Data'!C:C, MATCH($B54,'13F Data'!A:A,0)),"No CUSIP Match")</f>
        <v>No CUSIP Match</v>
      </c>
      <c r="G54" s="72" t="str">
        <f aca="false">IFERROR(INDEX('13F Data'!D:D,MATCH($B54,'13F Data'!A:A,0)),"No CUSIP Match")</f>
        <v>No CUSIP Match</v>
      </c>
      <c r="J54" s="73" t="n">
        <f aca="false">$V54</f>
        <v>1800</v>
      </c>
      <c r="K54" s="71" t="str">
        <f aca="false">IFERROR(INDEX('EOD Data'!G:G, MATCH($A54, 'EOD Data'!B:B,0)), "No TKR Match")</f>
        <v>No TKR Match</v>
      </c>
      <c r="L54" s="71" t="str">
        <f aca="false">IFERROR(ROUND($J54*$K54,0),"Error")</f>
        <v>Error</v>
      </c>
      <c r="M54" s="71" t="str">
        <f aca="false">IFERROR(IF(AND($J54&lt;10000,$L54&lt;200000),"Yes","No"),"Error")</f>
        <v>No</v>
      </c>
      <c r="P54" s="42" t="str">
        <f aca="false">IF($N54="SOLE",$J54,"")</f>
        <v/>
      </c>
      <c r="Q54" s="42" t="str">
        <f aca="false">IFERROR(IF($N54="Sole",0,IF(AND($N54="OTR",$R54=0),$J54-$P54,IF(AND($N54="OTR", $R54&gt;0), $J54-$P54-$Q54, ""))),"")</f>
        <v/>
      </c>
      <c r="R54" s="42" t="str">
        <f aca="false">IF($P54=$J54, "0","")</f>
        <v/>
      </c>
      <c r="S54" s="42" t="str">
        <f aca="false">IF(OR(ISBLANK($B54),ISBLANK($C54), ISBLANK($E54), ISBLANK($F54), AND(ISBLANK($G54),ISBLANK($H54)), ISBLANK($I54), ISBLANK($L54), AND(ISBLANK($N54), ISBLANK($O54)), AND(ISBLANK($P54), ISBLANK($Q54), ISBLANK($R54))), "No", "Yes")</f>
        <v>No</v>
      </c>
      <c r="T54" s="42" t="str">
        <f aca="false">SUBSTITUTE($U54," ","")</f>
        <v>031162100</v>
      </c>
      <c r="U54" s="42" t="s">
        <v>115</v>
      </c>
      <c r="V54" s="39" t="n">
        <v>1800</v>
      </c>
    </row>
    <row r="55" customFormat="false" ht="15" hidden="false" customHeight="false" outlineLevel="0" collapsed="false">
      <c r="B55" s="70" t="s">
        <v>117</v>
      </c>
      <c r="C55" s="71" t="str">
        <f aca="false">IFERROR(INDEX('13F Data'!A:A,MATCH($B55,'13F Data'!A:A,0)),"No CUSIP Match")</f>
        <v>No CUSIP Match</v>
      </c>
      <c r="D55" s="71" t="str">
        <f aca="false">IFERROR(IF($B55=$C55,"Yes","No"),"No CUSIP Match")</f>
        <v>No</v>
      </c>
      <c r="E55" s="71"/>
      <c r="F55" s="71" t="str">
        <f aca="false">IFERROR(INDEX('13F Data'!C:C, MATCH($B55,'13F Data'!A:A,0)),"No CUSIP Match")</f>
        <v>No CUSIP Match</v>
      </c>
      <c r="G55" s="72" t="str">
        <f aca="false">IFERROR(INDEX('13F Data'!D:D,MATCH($B55,'13F Data'!A:A,0)),"No CUSIP Match")</f>
        <v>No CUSIP Match</v>
      </c>
      <c r="J55" s="73" t="n">
        <f aca="false">$V55</f>
        <v>141100</v>
      </c>
      <c r="K55" s="71" t="str">
        <f aca="false">IFERROR(INDEX('EOD Data'!G:G, MATCH($A55, 'EOD Data'!B:B,0)), "No TKR Match")</f>
        <v>No TKR Match</v>
      </c>
      <c r="L55" s="71" t="str">
        <f aca="false">IFERROR(ROUND($J55*$K55,0),"Error")</f>
        <v>Error</v>
      </c>
      <c r="M55" s="71" t="str">
        <f aca="false">IFERROR(IF(AND($J55&lt;10000,$L55&lt;200000),"Yes","No"),"Error")</f>
        <v>No</v>
      </c>
      <c r="P55" s="42" t="str">
        <f aca="false">IF($N55="SOLE",$J55,"")</f>
        <v/>
      </c>
      <c r="Q55" s="42" t="str">
        <f aca="false">IFERROR(IF($N55="Sole",0,IF(AND($N55="OTR",$R55=0),$J55-$P55,IF(AND($N55="OTR", $R55&gt;0), $J55-$P55-$Q55, ""))),"")</f>
        <v/>
      </c>
      <c r="R55" s="42" t="str">
        <f aca="false">IF($P55=$J55, "0","")</f>
        <v/>
      </c>
      <c r="S55" s="42" t="str">
        <f aca="false">IF(OR(ISBLANK($B55),ISBLANK($C55), ISBLANK($E55), ISBLANK($F55), AND(ISBLANK($G55),ISBLANK($H55)), ISBLANK($I55), ISBLANK($L55), AND(ISBLANK($N55), ISBLANK($O55)), AND(ISBLANK($P55), ISBLANK($Q55), ISBLANK($R55))), "No", "Yes")</f>
        <v>No</v>
      </c>
      <c r="T55" s="42" t="str">
        <f aca="false">SUBSTITUTE($U55," ","")</f>
        <v>031652100</v>
      </c>
      <c r="U55" s="42" t="s">
        <v>117</v>
      </c>
      <c r="V55" s="39" t="n">
        <v>141100</v>
      </c>
    </row>
    <row r="56" customFormat="false" ht="15" hidden="false" customHeight="false" outlineLevel="0" collapsed="false">
      <c r="B56" s="70" t="s">
        <v>119</v>
      </c>
      <c r="C56" s="71" t="str">
        <f aca="false">IFERROR(INDEX('13F Data'!A:A,MATCH($B56,'13F Data'!A:A,0)),"No CUSIP Match")</f>
        <v>No CUSIP Match</v>
      </c>
      <c r="D56" s="71" t="str">
        <f aca="false">IFERROR(IF($B56=$C56,"Yes","No"),"No CUSIP Match")</f>
        <v>No</v>
      </c>
      <c r="E56" s="71"/>
      <c r="F56" s="71" t="str">
        <f aca="false">IFERROR(INDEX('13F Data'!C:C, MATCH($B56,'13F Data'!A:A,0)),"No CUSIP Match")</f>
        <v>No CUSIP Match</v>
      </c>
      <c r="G56" s="72" t="str">
        <f aca="false">IFERROR(INDEX('13F Data'!D:D,MATCH($B56,'13F Data'!A:A,0)),"No CUSIP Match")</f>
        <v>No CUSIP Match</v>
      </c>
      <c r="J56" s="73" t="n">
        <f aca="false">$V56</f>
        <v>44000000</v>
      </c>
      <c r="K56" s="71" t="str">
        <f aca="false">IFERROR(INDEX('EOD Data'!G:G, MATCH($A56, 'EOD Data'!B:B,0)), "No TKR Match")</f>
        <v>No TKR Match</v>
      </c>
      <c r="L56" s="71" t="str">
        <f aca="false">IFERROR(ROUND($J56*$K56,0),"Error")</f>
        <v>Error</v>
      </c>
      <c r="M56" s="71" t="str">
        <f aca="false">IFERROR(IF(AND($J56&lt;10000,$L56&lt;200000),"Yes","No"),"Error")</f>
        <v>No</v>
      </c>
      <c r="P56" s="42" t="str">
        <f aca="false">IF($N56="SOLE",$J56,"")</f>
        <v/>
      </c>
      <c r="Q56" s="42" t="str">
        <f aca="false">IFERROR(IF($N56="Sole",0,IF(AND($N56="OTR",$R56=0),$J56-$P56,IF(AND($N56="OTR", $R56&gt;0), $J56-$P56-$Q56, ""))),"")</f>
        <v/>
      </c>
      <c r="R56" s="42" t="str">
        <f aca="false">IF($P56=$J56, "0","")</f>
        <v/>
      </c>
      <c r="S56" s="42" t="str">
        <f aca="false">IF(OR(ISBLANK($B56),ISBLANK($C56), ISBLANK($E56), ISBLANK($F56), AND(ISBLANK($G56),ISBLANK($H56)), ISBLANK($I56), ISBLANK($L56), AND(ISBLANK($N56), ISBLANK($O56)), AND(ISBLANK($P56), ISBLANK($Q56), ISBLANK($R56))), "No", "Yes")</f>
        <v>No</v>
      </c>
      <c r="T56" s="42" t="str">
        <f aca="false">SUBSTITUTE($U56," ","")</f>
        <v>03209RAA1</v>
      </c>
      <c r="U56" s="42" t="s">
        <v>119</v>
      </c>
      <c r="V56" s="39" t="n">
        <v>44000000</v>
      </c>
    </row>
    <row r="57" customFormat="false" ht="15" hidden="false" customHeight="false" outlineLevel="0" collapsed="false">
      <c r="B57" s="70" t="s">
        <v>121</v>
      </c>
      <c r="C57" s="71" t="str">
        <f aca="false">IFERROR(INDEX('13F Data'!A:A,MATCH($B57,'13F Data'!A:A,0)),"No CUSIP Match")</f>
        <v>No CUSIP Match</v>
      </c>
      <c r="D57" s="71" t="str">
        <f aca="false">IFERROR(IF($B57=$C57,"Yes","No"),"No CUSIP Match")</f>
        <v>No</v>
      </c>
      <c r="E57" s="71"/>
      <c r="F57" s="71" t="str">
        <f aca="false">IFERROR(INDEX('13F Data'!C:C, MATCH($B57,'13F Data'!A:A,0)),"No CUSIP Match")</f>
        <v>No CUSIP Match</v>
      </c>
      <c r="G57" s="72" t="str">
        <f aca="false">IFERROR(INDEX('13F Data'!D:D,MATCH($B57,'13F Data'!A:A,0)),"No CUSIP Match")</f>
        <v>No CUSIP Match</v>
      </c>
      <c r="J57" s="73" t="n">
        <f aca="false">$V57</f>
        <v>172684</v>
      </c>
      <c r="K57" s="71" t="str">
        <f aca="false">IFERROR(INDEX('EOD Data'!G:G, MATCH($A57, 'EOD Data'!B:B,0)), "No TKR Match")</f>
        <v>No TKR Match</v>
      </c>
      <c r="L57" s="71" t="str">
        <f aca="false">IFERROR(ROUND($J57*$K57,0),"Error")</f>
        <v>Error</v>
      </c>
      <c r="M57" s="71" t="str">
        <f aca="false">IFERROR(IF(AND($J57&lt;10000,$L57&lt;200000),"Yes","No"),"Error")</f>
        <v>No</v>
      </c>
      <c r="P57" s="42" t="str">
        <f aca="false">IF($N57="SOLE",$J57,"")</f>
        <v/>
      </c>
      <c r="Q57" s="42" t="str">
        <f aca="false">IFERROR(IF($N57="Sole",0,IF(AND($N57="OTR",$R57=0),$J57-$P57,IF(AND($N57="OTR", $R57&gt;0), $J57-$P57-$Q57, ""))),"")</f>
        <v/>
      </c>
      <c r="R57" s="42" t="str">
        <f aca="false">IF($P57=$J57, "0","")</f>
        <v/>
      </c>
      <c r="S57" s="42" t="str">
        <f aca="false">IF(OR(ISBLANK($B57),ISBLANK($C57), ISBLANK($E57), ISBLANK($F57), AND(ISBLANK($G57),ISBLANK($H57)), ISBLANK($I57), ISBLANK($L57), AND(ISBLANK($N57), ISBLANK($O57)), AND(ISBLANK($P57), ISBLANK($Q57), ISBLANK($R57))), "No", "Yes")</f>
        <v>No</v>
      </c>
      <c r="T57" s="42" t="str">
        <f aca="false">SUBSTITUTE($U57," ","")</f>
        <v>03213A104</v>
      </c>
      <c r="U57" s="42" t="s">
        <v>121</v>
      </c>
      <c r="V57" s="39" t="n">
        <v>172684</v>
      </c>
    </row>
    <row r="58" customFormat="false" ht="15" hidden="false" customHeight="false" outlineLevel="0" collapsed="false">
      <c r="B58" s="70" t="s">
        <v>123</v>
      </c>
      <c r="C58" s="71" t="str">
        <f aca="false">IFERROR(INDEX('13F Data'!A:A,MATCH($B58,'13F Data'!A:A,0)),"No CUSIP Match")</f>
        <v>No CUSIP Match</v>
      </c>
      <c r="D58" s="71" t="str">
        <f aca="false">IFERROR(IF($B58=$C58,"Yes","No"),"No CUSIP Match")</f>
        <v>No</v>
      </c>
      <c r="E58" s="71"/>
      <c r="F58" s="71" t="str">
        <f aca="false">IFERROR(INDEX('13F Data'!C:C, MATCH($B58,'13F Data'!A:A,0)),"No CUSIP Match")</f>
        <v>No CUSIP Match</v>
      </c>
      <c r="G58" s="72" t="str">
        <f aca="false">IFERROR(INDEX('13F Data'!D:D,MATCH($B58,'13F Data'!A:A,0)),"No CUSIP Match")</f>
        <v>No CUSIP Match</v>
      </c>
      <c r="J58" s="73" t="n">
        <f aca="false">$V58</f>
        <v>94</v>
      </c>
      <c r="K58" s="71" t="str">
        <f aca="false">IFERROR(INDEX('EOD Data'!G:G, MATCH($A58, 'EOD Data'!B:B,0)), "No TKR Match")</f>
        <v>No TKR Match</v>
      </c>
      <c r="L58" s="71" t="str">
        <f aca="false">IFERROR(ROUND($J58*$K58,0),"Error")</f>
        <v>Error</v>
      </c>
      <c r="M58" s="71" t="str">
        <f aca="false">IFERROR(IF(AND($J58&lt;10000,$L58&lt;200000),"Yes","No"),"Error")</f>
        <v>No</v>
      </c>
      <c r="P58" s="42" t="str">
        <f aca="false">IF($N58="SOLE",$J58,"")</f>
        <v/>
      </c>
      <c r="Q58" s="42" t="str">
        <f aca="false">IFERROR(IF($N58="Sole",0,IF(AND($N58="OTR",$R58=0),$J58-$P58,IF(AND($N58="OTR", $R58&gt;0), $J58-$P58-$Q58, ""))),"")</f>
        <v/>
      </c>
      <c r="R58" s="42" t="str">
        <f aca="false">IF($P58=$J58, "0","")</f>
        <v/>
      </c>
      <c r="S58" s="42" t="str">
        <f aca="false">IF(OR(ISBLANK($B58),ISBLANK($C58), ISBLANK($E58), ISBLANK($F58), AND(ISBLANK($G58),ISBLANK($H58)), ISBLANK($I58), ISBLANK($L58), AND(ISBLANK($N58), ISBLANK($O58)), AND(ISBLANK($P58), ISBLANK($Q58), ISBLANK($R58))), "No", "Yes")</f>
        <v>No</v>
      </c>
      <c r="T58" s="42" t="str">
        <f aca="false">SUBSTITUTE($U58," ","")</f>
        <v>032654105</v>
      </c>
      <c r="U58" s="42" t="s">
        <v>123</v>
      </c>
      <c r="V58" s="39" t="n">
        <v>94</v>
      </c>
    </row>
    <row r="59" customFormat="false" ht="15" hidden="false" customHeight="false" outlineLevel="0" collapsed="false">
      <c r="B59" s="70" t="s">
        <v>123</v>
      </c>
      <c r="C59" s="71" t="str">
        <f aca="false">IFERROR(INDEX('13F Data'!A:A,MATCH($B59,'13F Data'!A:A,0)),"No CUSIP Match")</f>
        <v>No CUSIP Match</v>
      </c>
      <c r="D59" s="71" t="str">
        <f aca="false">IFERROR(IF($B59=$C59,"Yes","No"),"No CUSIP Match")</f>
        <v>No</v>
      </c>
      <c r="E59" s="71"/>
      <c r="F59" s="71" t="str">
        <f aca="false">IFERROR(INDEX('13F Data'!C:C, MATCH($B59,'13F Data'!A:A,0)),"No CUSIP Match")</f>
        <v>No CUSIP Match</v>
      </c>
      <c r="G59" s="72" t="str">
        <f aca="false">IFERROR(INDEX('13F Data'!D:D,MATCH($B59,'13F Data'!A:A,0)),"No CUSIP Match")</f>
        <v>No CUSIP Match</v>
      </c>
      <c r="J59" s="73" t="n">
        <f aca="false">$V59</f>
        <v>5900</v>
      </c>
      <c r="K59" s="71" t="str">
        <f aca="false">IFERROR(INDEX('EOD Data'!G:G, MATCH($A59, 'EOD Data'!B:B,0)), "No TKR Match")</f>
        <v>No TKR Match</v>
      </c>
      <c r="L59" s="71" t="str">
        <f aca="false">IFERROR(ROUND($J59*$K59,0),"Error")</f>
        <v>Error</v>
      </c>
      <c r="M59" s="71" t="str">
        <f aca="false">IFERROR(IF(AND($J59&lt;10000,$L59&lt;200000),"Yes","No"),"Error")</f>
        <v>No</v>
      </c>
      <c r="P59" s="42" t="str">
        <f aca="false">IF($N59="SOLE",$J59,"")</f>
        <v/>
      </c>
      <c r="Q59" s="42" t="str">
        <f aca="false">IFERROR(IF($N59="Sole",0,IF(AND($N59="OTR",$R59=0),$J59-$P59,IF(AND($N59="OTR", $R59&gt;0), $J59-$P59-$Q59, ""))),"")</f>
        <v/>
      </c>
      <c r="R59" s="42" t="str">
        <f aca="false">IF($P59=$J59, "0","")</f>
        <v/>
      </c>
      <c r="S59" s="42" t="str">
        <f aca="false">IF(OR(ISBLANK($B59),ISBLANK($C59), ISBLANK($E59), ISBLANK($F59), AND(ISBLANK($G59),ISBLANK($H59)), ISBLANK($I59), ISBLANK($L59), AND(ISBLANK($N59), ISBLANK($O59)), AND(ISBLANK($P59), ISBLANK($Q59), ISBLANK($R59))), "No", "Yes")</f>
        <v>No</v>
      </c>
      <c r="T59" s="42" t="str">
        <f aca="false">SUBSTITUTE($U59," ","")</f>
        <v>032654105</v>
      </c>
      <c r="U59" s="42" t="s">
        <v>123</v>
      </c>
      <c r="V59" s="39" t="n">
        <v>5900</v>
      </c>
    </row>
    <row r="60" customFormat="false" ht="15" hidden="false" customHeight="false" outlineLevel="0" collapsed="false">
      <c r="B60" s="70" t="s">
        <v>123</v>
      </c>
      <c r="C60" s="71" t="str">
        <f aca="false">IFERROR(INDEX('13F Data'!A:A,MATCH($B60,'13F Data'!A:A,0)),"No CUSIP Match")</f>
        <v>No CUSIP Match</v>
      </c>
      <c r="D60" s="71" t="str">
        <f aca="false">IFERROR(IF($B60=$C60,"Yes","No"),"No CUSIP Match")</f>
        <v>No</v>
      </c>
      <c r="E60" s="71"/>
      <c r="F60" s="71" t="str">
        <f aca="false">IFERROR(INDEX('13F Data'!C:C, MATCH($B60,'13F Data'!A:A,0)),"No CUSIP Match")</f>
        <v>No CUSIP Match</v>
      </c>
      <c r="G60" s="72" t="str">
        <f aca="false">IFERROR(INDEX('13F Data'!D:D,MATCH($B60,'13F Data'!A:A,0)),"No CUSIP Match")</f>
        <v>No CUSIP Match</v>
      </c>
      <c r="J60" s="73" t="n">
        <f aca="false">$V60</f>
        <v>5900</v>
      </c>
      <c r="K60" s="71" t="str">
        <f aca="false">IFERROR(INDEX('EOD Data'!G:G, MATCH($A60, 'EOD Data'!B:B,0)), "No TKR Match")</f>
        <v>No TKR Match</v>
      </c>
      <c r="L60" s="71" t="str">
        <f aca="false">IFERROR(ROUND($J60*$K60,0),"Error")</f>
        <v>Error</v>
      </c>
      <c r="M60" s="71" t="str">
        <f aca="false">IFERROR(IF(AND($J60&lt;10000,$L60&lt;200000),"Yes","No"),"Error")</f>
        <v>No</v>
      </c>
      <c r="P60" s="42" t="str">
        <f aca="false">IF($N60="SOLE",$J60,"")</f>
        <v/>
      </c>
      <c r="Q60" s="42" t="str">
        <f aca="false">IFERROR(IF($N60="Sole",0,IF(AND($N60="OTR",$R60=0),$J60-$P60,IF(AND($N60="OTR", $R60&gt;0), $J60-$P60-$Q60, ""))),"")</f>
        <v/>
      </c>
      <c r="R60" s="42" t="str">
        <f aca="false">IF($P60=$J60, "0","")</f>
        <v/>
      </c>
      <c r="S60" s="42" t="str">
        <f aca="false">IF(OR(ISBLANK($B60),ISBLANK($C60), ISBLANK($E60), ISBLANK($F60), AND(ISBLANK($G60),ISBLANK($H60)), ISBLANK($I60), ISBLANK($L60), AND(ISBLANK($N60), ISBLANK($O60)), AND(ISBLANK($P60), ISBLANK($Q60), ISBLANK($R60))), "No", "Yes")</f>
        <v>No</v>
      </c>
      <c r="T60" s="42" t="str">
        <f aca="false">SUBSTITUTE($U60," ","")</f>
        <v>032654105</v>
      </c>
      <c r="U60" s="42" t="s">
        <v>123</v>
      </c>
      <c r="V60" s="39" t="n">
        <v>5900</v>
      </c>
    </row>
    <row r="61" customFormat="false" ht="15" hidden="false" customHeight="false" outlineLevel="0" collapsed="false">
      <c r="B61" s="70" t="s">
        <v>125</v>
      </c>
      <c r="C61" s="71" t="str">
        <f aca="false">IFERROR(INDEX('13F Data'!A:A,MATCH($B61,'13F Data'!A:A,0)),"No CUSIP Match")</f>
        <v>No CUSIP Match</v>
      </c>
      <c r="D61" s="71" t="str">
        <f aca="false">IFERROR(IF($B61=$C61,"Yes","No"),"No CUSIP Match")</f>
        <v>No</v>
      </c>
      <c r="E61" s="71"/>
      <c r="F61" s="71" t="str">
        <f aca="false">IFERROR(INDEX('13F Data'!C:C, MATCH($B61,'13F Data'!A:A,0)),"No CUSIP Match")</f>
        <v>No CUSIP Match</v>
      </c>
      <c r="G61" s="72" t="str">
        <f aca="false">IFERROR(INDEX('13F Data'!D:D,MATCH($B61,'13F Data'!A:A,0)),"No CUSIP Match")</f>
        <v>No CUSIP Match</v>
      </c>
      <c r="J61" s="73" t="n">
        <f aca="false">$V61</f>
        <v>46900</v>
      </c>
      <c r="K61" s="71" t="str">
        <f aca="false">IFERROR(INDEX('EOD Data'!G:G, MATCH($A61, 'EOD Data'!B:B,0)), "No TKR Match")</f>
        <v>No TKR Match</v>
      </c>
      <c r="L61" s="71" t="str">
        <f aca="false">IFERROR(ROUND($J61*$K61,0),"Error")</f>
        <v>Error</v>
      </c>
      <c r="M61" s="71" t="str">
        <f aca="false">IFERROR(IF(AND($J61&lt;10000,$L61&lt;200000),"Yes","No"),"Error")</f>
        <v>No</v>
      </c>
      <c r="P61" s="42" t="str">
        <f aca="false">IF($N61="SOLE",$J61,"")</f>
        <v/>
      </c>
      <c r="Q61" s="42" t="str">
        <f aca="false">IFERROR(IF($N61="Sole",0,IF(AND($N61="OTR",$R61=0),$J61-$P61,IF(AND($N61="OTR", $R61&gt;0), $J61-$P61-$Q61, ""))),"")</f>
        <v/>
      </c>
      <c r="R61" s="42" t="str">
        <f aca="false">IF($P61=$J61, "0","")</f>
        <v/>
      </c>
      <c r="S61" s="42" t="str">
        <f aca="false">IF(OR(ISBLANK($B61),ISBLANK($C61), ISBLANK($E61), ISBLANK($F61), AND(ISBLANK($G61),ISBLANK($H61)), ISBLANK($I61), ISBLANK($L61), AND(ISBLANK($N61), ISBLANK($O61)), AND(ISBLANK($P61), ISBLANK($Q61), ISBLANK($R61))), "No", "Yes")</f>
        <v>No</v>
      </c>
      <c r="T61" s="42" t="str">
        <f aca="false">SUBSTITUTE($U61," ","")</f>
        <v>03662Q105</v>
      </c>
      <c r="U61" s="42" t="s">
        <v>125</v>
      </c>
      <c r="V61" s="39" t="n">
        <v>46900</v>
      </c>
    </row>
    <row r="62" customFormat="false" ht="15" hidden="false" customHeight="false" outlineLevel="0" collapsed="false">
      <c r="B62" s="70" t="s">
        <v>127</v>
      </c>
      <c r="C62" s="71" t="str">
        <f aca="false">IFERROR(INDEX('13F Data'!A:A,MATCH($B62,'13F Data'!A:A,0)),"No CUSIP Match")</f>
        <v>No CUSIP Match</v>
      </c>
      <c r="D62" s="71" t="str">
        <f aca="false">IFERROR(IF($B62=$C62,"Yes","No"),"No CUSIP Match")</f>
        <v>No</v>
      </c>
      <c r="E62" s="71"/>
      <c r="F62" s="71" t="str">
        <f aca="false">IFERROR(INDEX('13F Data'!C:C, MATCH($B62,'13F Data'!A:A,0)),"No CUSIP Match")</f>
        <v>No CUSIP Match</v>
      </c>
      <c r="G62" s="72" t="str">
        <f aca="false">IFERROR(INDEX('13F Data'!D:D,MATCH($B62,'13F Data'!A:A,0)),"No CUSIP Match")</f>
        <v>No CUSIP Match</v>
      </c>
      <c r="J62" s="73" t="n">
        <f aca="false">$V62</f>
        <v>38049</v>
      </c>
      <c r="K62" s="71" t="str">
        <f aca="false">IFERROR(INDEX('EOD Data'!G:G, MATCH($A62, 'EOD Data'!B:B,0)), "No TKR Match")</f>
        <v>No TKR Match</v>
      </c>
      <c r="L62" s="71" t="str">
        <f aca="false">IFERROR(ROUND($J62*$K62,0),"Error")</f>
        <v>Error</v>
      </c>
      <c r="M62" s="71" t="str">
        <f aca="false">IFERROR(IF(AND($J62&lt;10000,$L62&lt;200000),"Yes","No"),"Error")</f>
        <v>No</v>
      </c>
      <c r="P62" s="42" t="str">
        <f aca="false">IF($N62="SOLE",$J62,"")</f>
        <v/>
      </c>
      <c r="Q62" s="42" t="str">
        <f aca="false">IFERROR(IF($N62="Sole",0,IF(AND($N62="OTR",$R62=0),$J62-$P62,IF(AND($N62="OTR", $R62&gt;0), $J62-$P62-$Q62, ""))),"")</f>
        <v/>
      </c>
      <c r="R62" s="42" t="str">
        <f aca="false">IF($P62=$J62, "0","")</f>
        <v/>
      </c>
      <c r="S62" s="42" t="str">
        <f aca="false">IF(OR(ISBLANK($B62),ISBLANK($C62), ISBLANK($E62), ISBLANK($F62), AND(ISBLANK($G62),ISBLANK($H62)), ISBLANK($I62), ISBLANK($L62), AND(ISBLANK($N62), ISBLANK($O62)), AND(ISBLANK($P62), ISBLANK($Q62), ISBLANK($R62))), "No", "Yes")</f>
        <v>No</v>
      </c>
      <c r="T62" s="42" t="str">
        <f aca="false">SUBSTITUTE($U62," ","")</f>
        <v>03674X106</v>
      </c>
      <c r="U62" s="42" t="s">
        <v>127</v>
      </c>
      <c r="V62" s="39" t="n">
        <v>38049</v>
      </c>
    </row>
    <row r="63" customFormat="false" ht="15" hidden="false" customHeight="false" outlineLevel="0" collapsed="false">
      <c r="B63" s="70" t="s">
        <v>129</v>
      </c>
      <c r="C63" s="71" t="str">
        <f aca="false">IFERROR(INDEX('13F Data'!A:A,MATCH($B63,'13F Data'!A:A,0)),"No CUSIP Match")</f>
        <v>No CUSIP Match</v>
      </c>
      <c r="D63" s="71" t="str">
        <f aca="false">IFERROR(IF($B63=$C63,"Yes","No"),"No CUSIP Match")</f>
        <v>No</v>
      </c>
      <c r="E63" s="71"/>
      <c r="F63" s="71" t="str">
        <f aca="false">IFERROR(INDEX('13F Data'!C:C, MATCH($B63,'13F Data'!A:A,0)),"No CUSIP Match")</f>
        <v>No CUSIP Match</v>
      </c>
      <c r="G63" s="72" t="str">
        <f aca="false">IFERROR(INDEX('13F Data'!D:D,MATCH($B63,'13F Data'!A:A,0)),"No CUSIP Match")</f>
        <v>No CUSIP Match</v>
      </c>
      <c r="J63" s="73" t="n">
        <f aca="false">$V63</f>
        <v>160754</v>
      </c>
      <c r="K63" s="71" t="str">
        <f aca="false">IFERROR(INDEX('EOD Data'!G:G, MATCH($A63, 'EOD Data'!B:B,0)), "No TKR Match")</f>
        <v>No TKR Match</v>
      </c>
      <c r="L63" s="71" t="str">
        <f aca="false">IFERROR(ROUND($J63*$K63,0),"Error")</f>
        <v>Error</v>
      </c>
      <c r="M63" s="71" t="str">
        <f aca="false">IFERROR(IF(AND($J63&lt;10000,$L63&lt;200000),"Yes","No"),"Error")</f>
        <v>No</v>
      </c>
      <c r="P63" s="42" t="str">
        <f aca="false">IF($N63="SOLE",$J63,"")</f>
        <v/>
      </c>
      <c r="Q63" s="42" t="str">
        <f aca="false">IFERROR(IF($N63="Sole",0,IF(AND($N63="OTR",$R63=0),$J63-$P63,IF(AND($N63="OTR", $R63&gt;0), $J63-$P63-$Q63, ""))),"")</f>
        <v/>
      </c>
      <c r="R63" s="42" t="str">
        <f aca="false">IF($P63=$J63, "0","")</f>
        <v/>
      </c>
      <c r="S63" s="42" t="str">
        <f aca="false">IF(OR(ISBLANK($B63),ISBLANK($C63), ISBLANK($E63), ISBLANK($F63), AND(ISBLANK($G63),ISBLANK($H63)), ISBLANK($I63), ISBLANK($L63), AND(ISBLANK($N63), ISBLANK($O63)), AND(ISBLANK($P63), ISBLANK($Q63), ISBLANK($R63))), "No", "Yes")</f>
        <v>No</v>
      </c>
      <c r="T63" s="42" t="str">
        <f aca="false">SUBSTITUTE($U63," ","")</f>
        <v>75605Y106</v>
      </c>
      <c r="U63" s="42" t="s">
        <v>129</v>
      </c>
      <c r="V63" s="39" t="n">
        <v>160754</v>
      </c>
    </row>
    <row r="64" customFormat="false" ht="15" hidden="false" customHeight="false" outlineLevel="0" collapsed="false">
      <c r="B64" s="70" t="s">
        <v>131</v>
      </c>
      <c r="C64" s="71" t="str">
        <f aca="false">IFERROR(INDEX('13F Data'!A:A,MATCH($B64,'13F Data'!A:A,0)),"No CUSIP Match")</f>
        <v>No CUSIP Match</v>
      </c>
      <c r="D64" s="71" t="str">
        <f aca="false">IFERROR(IF($B64=$C64,"Yes","No"),"No CUSIP Match")</f>
        <v>No</v>
      </c>
      <c r="E64" s="71"/>
      <c r="F64" s="71" t="str">
        <f aca="false">IFERROR(INDEX('13F Data'!C:C, MATCH($B64,'13F Data'!A:A,0)),"No CUSIP Match")</f>
        <v>No CUSIP Match</v>
      </c>
      <c r="G64" s="72" t="str">
        <f aca="false">IFERROR(INDEX('13F Data'!D:D,MATCH($B64,'13F Data'!A:A,0)),"No CUSIP Match")</f>
        <v>No CUSIP Match</v>
      </c>
      <c r="J64" s="73" t="n">
        <f aca="false">$V64</f>
        <v>24145</v>
      </c>
      <c r="K64" s="71" t="str">
        <f aca="false">IFERROR(INDEX('EOD Data'!G:G, MATCH($A64, 'EOD Data'!B:B,0)), "No TKR Match")</f>
        <v>No TKR Match</v>
      </c>
      <c r="L64" s="71" t="str">
        <f aca="false">IFERROR(ROUND($J64*$K64,0),"Error")</f>
        <v>Error</v>
      </c>
      <c r="M64" s="71" t="str">
        <f aca="false">IFERROR(IF(AND($J64&lt;10000,$L64&lt;200000),"Yes","No"),"Error")</f>
        <v>No</v>
      </c>
      <c r="P64" s="42" t="str">
        <f aca="false">IF($N64="SOLE",$J64,"")</f>
        <v/>
      </c>
      <c r="Q64" s="42" t="str">
        <f aca="false">IFERROR(IF($N64="Sole",0,IF(AND($N64="OTR",$R64=0),$J64-$P64,IF(AND($N64="OTR", $R64&gt;0), $J64-$P64-$Q64, ""))),"")</f>
        <v/>
      </c>
      <c r="R64" s="42" t="str">
        <f aca="false">IF($P64=$J64, "0","")</f>
        <v/>
      </c>
      <c r="S64" s="42" t="str">
        <f aca="false">IF(OR(ISBLANK($B64),ISBLANK($C64), ISBLANK($E64), ISBLANK($F64), AND(ISBLANK($G64),ISBLANK($H64)), ISBLANK($I64), ISBLANK($L64), AND(ISBLANK($N64), ISBLANK($O64)), AND(ISBLANK($P64), ISBLANK($Q64), ISBLANK($R64))), "No", "Yes")</f>
        <v>No</v>
      </c>
      <c r="T64" s="42" t="str">
        <f aca="false">SUBSTITUTE($U64," ","")</f>
        <v>03743Q108</v>
      </c>
      <c r="U64" s="42" t="s">
        <v>131</v>
      </c>
      <c r="V64" s="39" t="n">
        <v>24145</v>
      </c>
    </row>
    <row r="65" customFormat="false" ht="15" hidden="false" customHeight="false" outlineLevel="0" collapsed="false">
      <c r="B65" s="70" t="s">
        <v>133</v>
      </c>
      <c r="C65" s="71" t="str">
        <f aca="false">IFERROR(INDEX('13F Data'!A:A,MATCH($B65,'13F Data'!A:A,0)),"No CUSIP Match")</f>
        <v>No CUSIP Match</v>
      </c>
      <c r="D65" s="71" t="str">
        <f aca="false">IFERROR(IF($B65=$C65,"Yes","No"),"No CUSIP Match")</f>
        <v>No</v>
      </c>
      <c r="E65" s="71"/>
      <c r="F65" s="71" t="str">
        <f aca="false">IFERROR(INDEX('13F Data'!C:C, MATCH($B65,'13F Data'!A:A,0)),"No CUSIP Match")</f>
        <v>No CUSIP Match</v>
      </c>
      <c r="G65" s="72" t="str">
        <f aca="false">IFERROR(INDEX('13F Data'!D:D,MATCH($B65,'13F Data'!A:A,0)),"No CUSIP Match")</f>
        <v>No CUSIP Match</v>
      </c>
      <c r="J65" s="73" t="n">
        <f aca="false">$V65</f>
        <v>19100</v>
      </c>
      <c r="K65" s="71" t="str">
        <f aca="false">IFERROR(INDEX('EOD Data'!G:G, MATCH($A65, 'EOD Data'!B:B,0)), "No TKR Match")</f>
        <v>No TKR Match</v>
      </c>
      <c r="L65" s="71" t="str">
        <f aca="false">IFERROR(ROUND($J65*$K65,0),"Error")</f>
        <v>Error</v>
      </c>
      <c r="M65" s="71" t="str">
        <f aca="false">IFERROR(IF(AND($J65&lt;10000,$L65&lt;200000),"Yes","No"),"Error")</f>
        <v>No</v>
      </c>
      <c r="P65" s="42" t="str">
        <f aca="false">IF($N65="SOLE",$J65,"")</f>
        <v/>
      </c>
      <c r="Q65" s="42" t="str">
        <f aca="false">IFERROR(IF($N65="Sole",0,IF(AND($N65="OTR",$R65=0),$J65-$P65,IF(AND($N65="OTR", $R65&gt;0), $J65-$P65-$Q65, ""))),"")</f>
        <v/>
      </c>
      <c r="R65" s="42" t="str">
        <f aca="false">IF($P65=$J65, "0","")</f>
        <v/>
      </c>
      <c r="S65" s="42" t="str">
        <f aca="false">IF(OR(ISBLANK($B65),ISBLANK($C65), ISBLANK($E65), ISBLANK($F65), AND(ISBLANK($G65),ISBLANK($H65)), ISBLANK($I65), ISBLANK($L65), AND(ISBLANK($N65), ISBLANK($O65)), AND(ISBLANK($P65), ISBLANK($Q65), ISBLANK($R65))), "No", "Yes")</f>
        <v>No</v>
      </c>
      <c r="T65" s="42" t="str">
        <f aca="false">SUBSTITUTE($U65," ","")</f>
        <v>03769M106</v>
      </c>
      <c r="U65" s="42" t="s">
        <v>133</v>
      </c>
      <c r="V65" s="39" t="n">
        <v>19100</v>
      </c>
    </row>
    <row r="66" customFormat="false" ht="15" hidden="false" customHeight="false" outlineLevel="0" collapsed="false">
      <c r="B66" s="70" t="s">
        <v>133</v>
      </c>
      <c r="C66" s="71" t="str">
        <f aca="false">IFERROR(INDEX('13F Data'!A:A,MATCH($B66,'13F Data'!A:A,0)),"No CUSIP Match")</f>
        <v>No CUSIP Match</v>
      </c>
      <c r="D66" s="71" t="str">
        <f aca="false">IFERROR(IF($B66=$C66,"Yes","No"),"No CUSIP Match")</f>
        <v>No</v>
      </c>
      <c r="E66" s="71"/>
      <c r="F66" s="71" t="str">
        <f aca="false">IFERROR(INDEX('13F Data'!C:C, MATCH($B66,'13F Data'!A:A,0)),"No CUSIP Match")</f>
        <v>No CUSIP Match</v>
      </c>
      <c r="G66" s="72" t="str">
        <f aca="false">IFERROR(INDEX('13F Data'!D:D,MATCH($B66,'13F Data'!A:A,0)),"No CUSIP Match")</f>
        <v>No CUSIP Match</v>
      </c>
      <c r="J66" s="73" t="n">
        <f aca="false">$V66</f>
        <v>19100</v>
      </c>
      <c r="K66" s="71" t="str">
        <f aca="false">IFERROR(INDEX('EOD Data'!G:G, MATCH($A66, 'EOD Data'!B:B,0)), "No TKR Match")</f>
        <v>No TKR Match</v>
      </c>
      <c r="L66" s="71" t="str">
        <f aca="false">IFERROR(ROUND($J66*$K66,0),"Error")</f>
        <v>Error</v>
      </c>
      <c r="M66" s="71" t="str">
        <f aca="false">IFERROR(IF(AND($J66&lt;10000,$L66&lt;200000),"Yes","No"),"Error")</f>
        <v>No</v>
      </c>
      <c r="P66" s="42" t="str">
        <f aca="false">IF($N66="SOLE",$J66,"")</f>
        <v/>
      </c>
      <c r="Q66" s="42" t="str">
        <f aca="false">IFERROR(IF($N66="Sole",0,IF(AND($N66="OTR",$R66=0),$J66-$P66,IF(AND($N66="OTR", $R66&gt;0), $J66-$P66-$Q66, ""))),"")</f>
        <v/>
      </c>
      <c r="R66" s="42" t="str">
        <f aca="false">IF($P66=$J66, "0","")</f>
        <v/>
      </c>
      <c r="S66" s="42" t="str">
        <f aca="false">IF(OR(ISBLANK($B66),ISBLANK($C66), ISBLANK($E66), ISBLANK($F66), AND(ISBLANK($G66),ISBLANK($H66)), ISBLANK($I66), ISBLANK($L66), AND(ISBLANK($N66), ISBLANK($O66)), AND(ISBLANK($P66), ISBLANK($Q66), ISBLANK($R66))), "No", "Yes")</f>
        <v>No</v>
      </c>
      <c r="T66" s="42" t="str">
        <f aca="false">SUBSTITUTE($U66," ","")</f>
        <v>03769M106</v>
      </c>
      <c r="U66" s="42" t="s">
        <v>133</v>
      </c>
      <c r="V66" s="39" t="n">
        <v>19100</v>
      </c>
    </row>
    <row r="67" customFormat="false" ht="15" hidden="false" customHeight="false" outlineLevel="0" collapsed="false">
      <c r="B67" s="70" t="s">
        <v>135</v>
      </c>
      <c r="C67" s="71" t="str">
        <f aca="false">IFERROR(INDEX('13F Data'!A:A,MATCH($B67,'13F Data'!A:A,0)),"No CUSIP Match")</f>
        <v>No CUSIP Match</v>
      </c>
      <c r="D67" s="71" t="str">
        <f aca="false">IFERROR(IF($B67=$C67,"Yes","No"),"No CUSIP Match")</f>
        <v>No</v>
      </c>
      <c r="E67" s="71"/>
      <c r="F67" s="71" t="str">
        <f aca="false">IFERROR(INDEX('13F Data'!C:C, MATCH($B67,'13F Data'!A:A,0)),"No CUSIP Match")</f>
        <v>No CUSIP Match</v>
      </c>
      <c r="G67" s="72" t="str">
        <f aca="false">IFERROR(INDEX('13F Data'!D:D,MATCH($B67,'13F Data'!A:A,0)),"No CUSIP Match")</f>
        <v>No CUSIP Match</v>
      </c>
      <c r="J67" s="73" t="n">
        <f aca="false">$V67</f>
        <v>159800</v>
      </c>
      <c r="K67" s="71" t="str">
        <f aca="false">IFERROR(INDEX('EOD Data'!G:G, MATCH($A67, 'EOD Data'!B:B,0)), "No TKR Match")</f>
        <v>No TKR Match</v>
      </c>
      <c r="L67" s="71" t="str">
        <f aca="false">IFERROR(ROUND($J67*$K67,0),"Error")</f>
        <v>Error</v>
      </c>
      <c r="M67" s="71" t="str">
        <f aca="false">IFERROR(IF(AND($J67&lt;10000,$L67&lt;200000),"Yes","No"),"Error")</f>
        <v>No</v>
      </c>
      <c r="P67" s="42" t="str">
        <f aca="false">IF($N67="SOLE",$J67,"")</f>
        <v/>
      </c>
      <c r="Q67" s="42" t="str">
        <f aca="false">IFERROR(IF($N67="Sole",0,IF(AND($N67="OTR",$R67=0),$J67-$P67,IF(AND($N67="OTR", $R67&gt;0), $J67-$P67-$Q67, ""))),"")</f>
        <v/>
      </c>
      <c r="R67" s="42" t="str">
        <f aca="false">IF($P67=$J67, "0","")</f>
        <v/>
      </c>
      <c r="S67" s="42" t="str">
        <f aca="false">IF(OR(ISBLANK($B67),ISBLANK($C67), ISBLANK($E67), ISBLANK($F67), AND(ISBLANK($G67),ISBLANK($H67)), ISBLANK($I67), ISBLANK($L67), AND(ISBLANK($N67), ISBLANK($O67)), AND(ISBLANK($P67), ISBLANK($Q67), ISBLANK($R67))), "No", "Yes")</f>
        <v>No</v>
      </c>
      <c r="T67" s="42" t="str">
        <f aca="false">SUBSTITUTE($U67," ","")</f>
        <v>037833100</v>
      </c>
      <c r="U67" s="42" t="s">
        <v>135</v>
      </c>
      <c r="V67" s="39" t="n">
        <v>159800</v>
      </c>
    </row>
    <row r="68" customFormat="false" ht="15" hidden="false" customHeight="false" outlineLevel="0" collapsed="false">
      <c r="B68" s="70" t="s">
        <v>135</v>
      </c>
      <c r="C68" s="71" t="str">
        <f aca="false">IFERROR(INDEX('13F Data'!A:A,MATCH($B68,'13F Data'!A:A,0)),"No CUSIP Match")</f>
        <v>No CUSIP Match</v>
      </c>
      <c r="D68" s="71" t="str">
        <f aca="false">IFERROR(IF($B68=$C68,"Yes","No"),"No CUSIP Match")</f>
        <v>No</v>
      </c>
      <c r="E68" s="71"/>
      <c r="F68" s="71" t="str">
        <f aca="false">IFERROR(INDEX('13F Data'!C:C, MATCH($B68,'13F Data'!A:A,0)),"No CUSIP Match")</f>
        <v>No CUSIP Match</v>
      </c>
      <c r="G68" s="72" t="str">
        <f aca="false">IFERROR(INDEX('13F Data'!D:D,MATCH($B68,'13F Data'!A:A,0)),"No CUSIP Match")</f>
        <v>No CUSIP Match</v>
      </c>
      <c r="J68" s="73" t="n">
        <f aca="false">$V68</f>
        <v>159800</v>
      </c>
      <c r="K68" s="71" t="str">
        <f aca="false">IFERROR(INDEX('EOD Data'!G:G, MATCH($A68, 'EOD Data'!B:B,0)), "No TKR Match")</f>
        <v>No TKR Match</v>
      </c>
      <c r="L68" s="71" t="str">
        <f aca="false">IFERROR(ROUND($J68*$K68,0),"Error")</f>
        <v>Error</v>
      </c>
      <c r="M68" s="71" t="str">
        <f aca="false">IFERROR(IF(AND($J68&lt;10000,$L68&lt;200000),"Yes","No"),"Error")</f>
        <v>No</v>
      </c>
      <c r="P68" s="42" t="str">
        <f aca="false">IF($N68="SOLE",$J68,"")</f>
        <v/>
      </c>
      <c r="Q68" s="42" t="str">
        <f aca="false">IFERROR(IF($N68="Sole",0,IF(AND($N68="OTR",$R68=0),$J68-$P68,IF(AND($N68="OTR", $R68&gt;0), $J68-$P68-$Q68, ""))),"")</f>
        <v/>
      </c>
      <c r="R68" s="42" t="str">
        <f aca="false">IF($P68=$J68, "0","")</f>
        <v/>
      </c>
      <c r="S68" s="42" t="str">
        <f aca="false">IF(OR(ISBLANK($B68),ISBLANK($C68), ISBLANK($E68), ISBLANK($F68), AND(ISBLANK($G68),ISBLANK($H68)), ISBLANK($I68), ISBLANK($L68), AND(ISBLANK($N68), ISBLANK($O68)), AND(ISBLANK($P68), ISBLANK($Q68), ISBLANK($R68))), "No", "Yes")</f>
        <v>No</v>
      </c>
      <c r="T68" s="42" t="str">
        <f aca="false">SUBSTITUTE($U68," ","")</f>
        <v>037833100</v>
      </c>
      <c r="U68" s="42" t="s">
        <v>135</v>
      </c>
      <c r="V68" s="39" t="n">
        <v>159800</v>
      </c>
    </row>
    <row r="69" customFormat="false" ht="15" hidden="false" customHeight="false" outlineLevel="0" collapsed="false">
      <c r="B69" s="70" t="s">
        <v>137</v>
      </c>
      <c r="C69" s="71" t="str">
        <f aca="false">IFERROR(INDEX('13F Data'!A:A,MATCH($B69,'13F Data'!A:A,0)),"No CUSIP Match")</f>
        <v>No CUSIP Match</v>
      </c>
      <c r="D69" s="71" t="str">
        <f aca="false">IFERROR(IF($B69=$C69,"Yes","No"),"No CUSIP Match")</f>
        <v>No</v>
      </c>
      <c r="E69" s="71"/>
      <c r="F69" s="71" t="str">
        <f aca="false">IFERROR(INDEX('13F Data'!C:C, MATCH($B69,'13F Data'!A:A,0)),"No CUSIP Match")</f>
        <v>No CUSIP Match</v>
      </c>
      <c r="G69" s="72" t="str">
        <f aca="false">IFERROR(INDEX('13F Data'!D:D,MATCH($B69,'13F Data'!A:A,0)),"No CUSIP Match")</f>
        <v>No CUSIP Match</v>
      </c>
      <c r="J69" s="73" t="n">
        <f aca="false">$V69</f>
        <v>14900</v>
      </c>
      <c r="K69" s="71" t="str">
        <f aca="false">IFERROR(INDEX('EOD Data'!G:G, MATCH($A69, 'EOD Data'!B:B,0)), "No TKR Match")</f>
        <v>No TKR Match</v>
      </c>
      <c r="L69" s="71" t="str">
        <f aca="false">IFERROR(ROUND($J69*$K69,0),"Error")</f>
        <v>Error</v>
      </c>
      <c r="M69" s="71" t="str">
        <f aca="false">IFERROR(IF(AND($J69&lt;10000,$L69&lt;200000),"Yes","No"),"Error")</f>
        <v>No</v>
      </c>
      <c r="P69" s="42" t="str">
        <f aca="false">IF($N69="SOLE",$J69,"")</f>
        <v/>
      </c>
      <c r="Q69" s="42" t="str">
        <f aca="false">IFERROR(IF($N69="Sole",0,IF(AND($N69="OTR",$R69=0),$J69-$P69,IF(AND($N69="OTR", $R69&gt;0), $J69-$P69-$Q69, ""))),"")</f>
        <v/>
      </c>
      <c r="R69" s="42" t="str">
        <f aca="false">IF($P69=$J69, "0","")</f>
        <v/>
      </c>
      <c r="S69" s="42" t="str">
        <f aca="false">IF(OR(ISBLANK($B69),ISBLANK($C69), ISBLANK($E69), ISBLANK($F69), AND(ISBLANK($G69),ISBLANK($H69)), ISBLANK($I69), ISBLANK($L69), AND(ISBLANK($N69), ISBLANK($O69)), AND(ISBLANK($P69), ISBLANK($Q69), ISBLANK($R69))), "No", "Yes")</f>
        <v>No</v>
      </c>
      <c r="T69" s="42" t="str">
        <f aca="false">SUBSTITUTE($U69," ","")</f>
        <v>038222105</v>
      </c>
      <c r="U69" s="42" t="s">
        <v>137</v>
      </c>
      <c r="V69" s="39" t="n">
        <v>14900</v>
      </c>
    </row>
    <row r="70" customFormat="false" ht="15" hidden="false" customHeight="false" outlineLevel="0" collapsed="false">
      <c r="B70" s="70" t="s">
        <v>137</v>
      </c>
      <c r="C70" s="71" t="str">
        <f aca="false">IFERROR(INDEX('13F Data'!A:A,MATCH($B70,'13F Data'!A:A,0)),"No CUSIP Match")</f>
        <v>No CUSIP Match</v>
      </c>
      <c r="D70" s="71" t="str">
        <f aca="false">IFERROR(IF($B70=$C70,"Yes","No"),"No CUSIP Match")</f>
        <v>No</v>
      </c>
      <c r="E70" s="71"/>
      <c r="F70" s="71" t="str">
        <f aca="false">IFERROR(INDEX('13F Data'!C:C, MATCH($B70,'13F Data'!A:A,0)),"No CUSIP Match")</f>
        <v>No CUSIP Match</v>
      </c>
      <c r="G70" s="72" t="str">
        <f aca="false">IFERROR(INDEX('13F Data'!D:D,MATCH($B70,'13F Data'!A:A,0)),"No CUSIP Match")</f>
        <v>No CUSIP Match</v>
      </c>
      <c r="J70" s="73" t="n">
        <f aca="false">$V70</f>
        <v>14900</v>
      </c>
      <c r="K70" s="71" t="str">
        <f aca="false">IFERROR(INDEX('EOD Data'!G:G, MATCH($A70, 'EOD Data'!B:B,0)), "No TKR Match")</f>
        <v>No TKR Match</v>
      </c>
      <c r="L70" s="71" t="str">
        <f aca="false">IFERROR(ROUND($J70*$K70,0),"Error")</f>
        <v>Error</v>
      </c>
      <c r="M70" s="71" t="str">
        <f aca="false">IFERROR(IF(AND($J70&lt;10000,$L70&lt;200000),"Yes","No"),"Error")</f>
        <v>No</v>
      </c>
      <c r="P70" s="42" t="str">
        <f aca="false">IF($N70="SOLE",$J70,"")</f>
        <v/>
      </c>
      <c r="Q70" s="42" t="str">
        <f aca="false">IFERROR(IF($N70="Sole",0,IF(AND($N70="OTR",$R70=0),$J70-$P70,IF(AND($N70="OTR", $R70&gt;0), $J70-$P70-$Q70, ""))),"")</f>
        <v/>
      </c>
      <c r="R70" s="42" t="str">
        <f aca="false">IF($P70=$J70, "0","")</f>
        <v/>
      </c>
      <c r="S70" s="42" t="str">
        <f aca="false">IF(OR(ISBLANK($B70),ISBLANK($C70), ISBLANK($E70), ISBLANK($F70), AND(ISBLANK($G70),ISBLANK($H70)), ISBLANK($I70), ISBLANK($L70), AND(ISBLANK($N70), ISBLANK($O70)), AND(ISBLANK($P70), ISBLANK($Q70), ISBLANK($R70))), "No", "Yes")</f>
        <v>No</v>
      </c>
      <c r="T70" s="42" t="str">
        <f aca="false">SUBSTITUTE($U70," ","")</f>
        <v>038222105</v>
      </c>
      <c r="U70" s="42" t="s">
        <v>137</v>
      </c>
      <c r="V70" s="39" t="n">
        <v>14900</v>
      </c>
    </row>
    <row r="71" customFormat="false" ht="15" hidden="false" customHeight="false" outlineLevel="0" collapsed="false">
      <c r="B71" s="70" t="s">
        <v>139</v>
      </c>
      <c r="C71" s="71" t="str">
        <f aca="false">IFERROR(INDEX('13F Data'!A:A,MATCH($B71,'13F Data'!A:A,0)),"No CUSIP Match")</f>
        <v>No CUSIP Match</v>
      </c>
      <c r="D71" s="71" t="str">
        <f aca="false">IFERROR(IF($B71=$C71,"Yes","No"),"No CUSIP Match")</f>
        <v>No</v>
      </c>
      <c r="E71" s="71"/>
      <c r="F71" s="71" t="str">
        <f aca="false">IFERROR(INDEX('13F Data'!C:C, MATCH($B71,'13F Data'!A:A,0)),"No CUSIP Match")</f>
        <v>No CUSIP Match</v>
      </c>
      <c r="G71" s="72" t="str">
        <f aca="false">IFERROR(INDEX('13F Data'!D:D,MATCH($B71,'13F Data'!A:A,0)),"No CUSIP Match")</f>
        <v>No CUSIP Match</v>
      </c>
      <c r="J71" s="73" t="n">
        <f aca="false">$V71</f>
        <v>4200</v>
      </c>
      <c r="K71" s="71" t="str">
        <f aca="false">IFERROR(INDEX('EOD Data'!G:G, MATCH($A71, 'EOD Data'!B:B,0)), "No TKR Match")</f>
        <v>No TKR Match</v>
      </c>
      <c r="L71" s="71" t="str">
        <f aca="false">IFERROR(ROUND($J71*$K71,0),"Error")</f>
        <v>Error</v>
      </c>
      <c r="M71" s="71" t="str">
        <f aca="false">IFERROR(IF(AND($J71&lt;10000,$L71&lt;200000),"Yes","No"),"Error")</f>
        <v>No</v>
      </c>
      <c r="P71" s="42" t="str">
        <f aca="false">IF($N71="SOLE",$J71,"")</f>
        <v/>
      </c>
      <c r="Q71" s="42" t="str">
        <f aca="false">IFERROR(IF($N71="Sole",0,IF(AND($N71="OTR",$R71=0),$J71-$P71,IF(AND($N71="OTR", $R71&gt;0), $J71-$P71-$Q71, ""))),"")</f>
        <v/>
      </c>
      <c r="R71" s="42" t="str">
        <f aca="false">IF($P71=$J71, "0","")</f>
        <v/>
      </c>
      <c r="S71" s="42" t="str">
        <f aca="false">IF(OR(ISBLANK($B71),ISBLANK($C71), ISBLANK($E71), ISBLANK($F71), AND(ISBLANK($G71),ISBLANK($H71)), ISBLANK($I71), ISBLANK($L71), AND(ISBLANK($N71), ISBLANK($O71)), AND(ISBLANK($P71), ISBLANK($Q71), ISBLANK($R71))), "No", "Yes")</f>
        <v>No</v>
      </c>
      <c r="T71" s="42" t="str">
        <f aca="false">SUBSTITUTE($U71," ","")</f>
        <v>00B783TY6</v>
      </c>
      <c r="U71" s="42" t="s">
        <v>139</v>
      </c>
      <c r="V71" s="39" t="n">
        <v>4200</v>
      </c>
    </row>
    <row r="72" customFormat="false" ht="15" hidden="false" customHeight="false" outlineLevel="0" collapsed="false">
      <c r="B72" s="70" t="s">
        <v>141</v>
      </c>
      <c r="C72" s="71" t="str">
        <f aca="false">IFERROR(INDEX('13F Data'!A:A,MATCH($B72,'13F Data'!A:A,0)),"No CUSIP Match")</f>
        <v>No CUSIP Match</v>
      </c>
      <c r="D72" s="71" t="str">
        <f aca="false">IFERROR(IF($B72=$C72,"Yes","No"),"No CUSIP Match")</f>
        <v>No</v>
      </c>
      <c r="E72" s="71"/>
      <c r="F72" s="71" t="str">
        <f aca="false">IFERROR(INDEX('13F Data'!C:C, MATCH($B72,'13F Data'!A:A,0)),"No CUSIP Match")</f>
        <v>No CUSIP Match</v>
      </c>
      <c r="G72" s="72" t="str">
        <f aca="false">IFERROR(INDEX('13F Data'!D:D,MATCH($B72,'13F Data'!A:A,0)),"No CUSIP Match")</f>
        <v>No CUSIP Match</v>
      </c>
      <c r="J72" s="73" t="n">
        <f aca="false">$V72</f>
        <v>8899</v>
      </c>
      <c r="K72" s="71" t="str">
        <f aca="false">IFERROR(INDEX('EOD Data'!G:G, MATCH($A72, 'EOD Data'!B:B,0)), "No TKR Match")</f>
        <v>No TKR Match</v>
      </c>
      <c r="L72" s="71" t="str">
        <f aca="false">IFERROR(ROUND($J72*$K72,0),"Error")</f>
        <v>Error</v>
      </c>
      <c r="M72" s="71" t="str">
        <f aca="false">IFERROR(IF(AND($J72&lt;10000,$L72&lt;200000),"Yes","No"),"Error")</f>
        <v>No</v>
      </c>
      <c r="P72" s="42" t="str">
        <f aca="false">IF($N72="SOLE",$J72,"")</f>
        <v/>
      </c>
      <c r="Q72" s="42" t="str">
        <f aca="false">IFERROR(IF($N72="Sole",0,IF(AND($N72="OTR",$R72=0),$J72-$P72,IF(AND($N72="OTR", $R72&gt;0), $J72-$P72-$Q72, ""))),"")</f>
        <v/>
      </c>
      <c r="R72" s="42" t="str">
        <f aca="false">IF($P72=$J72, "0","")</f>
        <v/>
      </c>
      <c r="S72" s="42" t="str">
        <f aca="false">IF(OR(ISBLANK($B72),ISBLANK($C72), ISBLANK($E72), ISBLANK($F72), AND(ISBLANK($G72),ISBLANK($H72)), ISBLANK($I72), ISBLANK($L72), AND(ISBLANK($N72), ISBLANK($O72)), AND(ISBLANK($P72), ISBLANK($Q72), ISBLANK($R72))), "No", "Yes")</f>
        <v>No</v>
      </c>
      <c r="T72" s="42" t="str">
        <f aca="false">SUBSTITUTE($U72," ","")</f>
        <v>03940R107</v>
      </c>
      <c r="U72" s="42" t="s">
        <v>141</v>
      </c>
      <c r="V72" s="39" t="n">
        <v>8899</v>
      </c>
    </row>
    <row r="73" customFormat="false" ht="15" hidden="false" customHeight="false" outlineLevel="0" collapsed="false">
      <c r="B73" s="70" t="s">
        <v>143</v>
      </c>
      <c r="C73" s="71" t="str">
        <f aca="false">IFERROR(INDEX('13F Data'!A:A,MATCH($B73,'13F Data'!A:A,0)),"No CUSIP Match")</f>
        <v>No CUSIP Match</v>
      </c>
      <c r="D73" s="71" t="str">
        <f aca="false">IFERROR(IF($B73=$C73,"Yes","No"),"No CUSIP Match")</f>
        <v>No</v>
      </c>
      <c r="E73" s="71"/>
      <c r="F73" s="71" t="str">
        <f aca="false">IFERROR(INDEX('13F Data'!C:C, MATCH($B73,'13F Data'!A:A,0)),"No CUSIP Match")</f>
        <v>No CUSIP Match</v>
      </c>
      <c r="G73" s="72" t="str">
        <f aca="false">IFERROR(INDEX('13F Data'!D:D,MATCH($B73,'13F Data'!A:A,0)),"No CUSIP Match")</f>
        <v>No CUSIP Match</v>
      </c>
      <c r="J73" s="73" t="n">
        <f aca="false">$V73</f>
        <v>17000000</v>
      </c>
      <c r="K73" s="71" t="str">
        <f aca="false">IFERROR(INDEX('EOD Data'!G:G, MATCH($A73, 'EOD Data'!B:B,0)), "No TKR Match")</f>
        <v>No TKR Match</v>
      </c>
      <c r="L73" s="71" t="str">
        <f aca="false">IFERROR(ROUND($J73*$K73,0),"Error")</f>
        <v>Error</v>
      </c>
      <c r="M73" s="71" t="str">
        <f aca="false">IFERROR(IF(AND($J73&lt;10000,$L73&lt;200000),"Yes","No"),"Error")</f>
        <v>No</v>
      </c>
      <c r="P73" s="42" t="str">
        <f aca="false">IF($N73="SOLE",$J73,"")</f>
        <v/>
      </c>
      <c r="Q73" s="42" t="str">
        <f aca="false">IFERROR(IF($N73="Sole",0,IF(AND($N73="OTR",$R73=0),$J73-$P73,IF(AND($N73="OTR", $R73&gt;0), $J73-$P73-$Q73, ""))),"")</f>
        <v/>
      </c>
      <c r="R73" s="42" t="str">
        <f aca="false">IF($P73=$J73, "0","")</f>
        <v/>
      </c>
      <c r="S73" s="42" t="str">
        <f aca="false">IF(OR(ISBLANK($B73),ISBLANK($C73), ISBLANK($E73), ISBLANK($F73), AND(ISBLANK($G73),ISBLANK($H73)), ISBLANK($I73), ISBLANK($L73), AND(ISBLANK($N73), ISBLANK($O73)), AND(ISBLANK($P73), ISBLANK($Q73), ISBLANK($R73))), "No", "Yes")</f>
        <v>No</v>
      </c>
      <c r="T73" s="42" t="str">
        <f aca="false">SUBSTITUTE($U73," ","")</f>
        <v>04271TAB6</v>
      </c>
      <c r="U73" s="42" t="s">
        <v>143</v>
      </c>
      <c r="V73" s="39" t="n">
        <v>17000000</v>
      </c>
    </row>
    <row r="74" customFormat="false" ht="15" hidden="false" customHeight="false" outlineLevel="0" collapsed="false">
      <c r="B74" s="70" t="s">
        <v>145</v>
      </c>
      <c r="C74" s="71" t="str">
        <f aca="false">IFERROR(INDEX('13F Data'!A:A,MATCH($B74,'13F Data'!A:A,0)),"No CUSIP Match")</f>
        <v>No CUSIP Match</v>
      </c>
      <c r="D74" s="71" t="str">
        <f aca="false">IFERROR(IF($B74=$C74,"Yes","No"),"No CUSIP Match")</f>
        <v>No</v>
      </c>
      <c r="E74" s="71"/>
      <c r="F74" s="71" t="str">
        <f aca="false">IFERROR(INDEX('13F Data'!C:C, MATCH($B74,'13F Data'!A:A,0)),"No CUSIP Match")</f>
        <v>No CUSIP Match</v>
      </c>
      <c r="G74" s="72" t="str">
        <f aca="false">IFERROR(INDEX('13F Data'!D:D,MATCH($B74,'13F Data'!A:A,0)),"No CUSIP Match")</f>
        <v>No CUSIP Match</v>
      </c>
      <c r="J74" s="73" t="n">
        <f aca="false">$V74</f>
        <v>7025000</v>
      </c>
      <c r="K74" s="71" t="str">
        <f aca="false">IFERROR(INDEX('EOD Data'!G:G, MATCH($A74, 'EOD Data'!B:B,0)), "No TKR Match")</f>
        <v>No TKR Match</v>
      </c>
      <c r="L74" s="71" t="str">
        <f aca="false">IFERROR(ROUND($J74*$K74,0),"Error")</f>
        <v>Error</v>
      </c>
      <c r="M74" s="71" t="str">
        <f aca="false">IFERROR(IF(AND($J74&lt;10000,$L74&lt;200000),"Yes","No"),"Error")</f>
        <v>No</v>
      </c>
      <c r="P74" s="42" t="str">
        <f aca="false">IF($N74="SOLE",$J74,"")</f>
        <v/>
      </c>
      <c r="Q74" s="42" t="str">
        <f aca="false">IFERROR(IF($N74="Sole",0,IF(AND($N74="OTR",$R74=0),$J74-$P74,IF(AND($N74="OTR", $R74&gt;0), $J74-$P74-$Q74, ""))),"")</f>
        <v/>
      </c>
      <c r="R74" s="42" t="str">
        <f aca="false">IF($P74=$J74, "0","")</f>
        <v/>
      </c>
      <c r="S74" s="42" t="str">
        <f aca="false">IF(OR(ISBLANK($B74),ISBLANK($C74), ISBLANK($E74), ISBLANK($F74), AND(ISBLANK($G74),ISBLANK($H74)), ISBLANK($I74), ISBLANK($L74), AND(ISBLANK($N74), ISBLANK($O74)), AND(ISBLANK($P74), ISBLANK($Q74), ISBLANK($R74))), "No", "Yes")</f>
        <v>No</v>
      </c>
      <c r="T74" s="42" t="str">
        <f aca="false">SUBSTITUTE($U74," ","")</f>
        <v>228903AB6</v>
      </c>
      <c r="U74" s="42" t="s">
        <v>145</v>
      </c>
      <c r="V74" s="39" t="n">
        <v>7025000</v>
      </c>
    </row>
    <row r="75" customFormat="false" ht="15" hidden="false" customHeight="false" outlineLevel="0" collapsed="false">
      <c r="B75" s="70" t="s">
        <v>147</v>
      </c>
      <c r="C75" s="71" t="str">
        <f aca="false">IFERROR(INDEX('13F Data'!A:A,MATCH($B75,'13F Data'!A:A,0)),"No CUSIP Match")</f>
        <v>No CUSIP Match</v>
      </c>
      <c r="D75" s="71" t="str">
        <f aca="false">IFERROR(IF($B75=$C75,"Yes","No"),"No CUSIP Match")</f>
        <v>No</v>
      </c>
      <c r="E75" s="71"/>
      <c r="F75" s="71" t="str">
        <f aca="false">IFERROR(INDEX('13F Data'!C:C, MATCH($B75,'13F Data'!A:A,0)),"No CUSIP Match")</f>
        <v>No CUSIP Match</v>
      </c>
      <c r="G75" s="72" t="str">
        <f aca="false">IFERROR(INDEX('13F Data'!D:D,MATCH($B75,'13F Data'!A:A,0)),"No CUSIP Match")</f>
        <v>No CUSIP Match</v>
      </c>
      <c r="J75" s="73" t="n">
        <f aca="false">$V75</f>
        <v>25991000</v>
      </c>
      <c r="K75" s="71" t="str">
        <f aca="false">IFERROR(INDEX('EOD Data'!G:G, MATCH($A75, 'EOD Data'!B:B,0)), "No TKR Match")</f>
        <v>No TKR Match</v>
      </c>
      <c r="L75" s="71" t="str">
        <f aca="false">IFERROR(ROUND($J75*$K75,0),"Error")</f>
        <v>Error</v>
      </c>
      <c r="M75" s="71" t="str">
        <f aca="false">IFERROR(IF(AND($J75&lt;10000,$L75&lt;200000),"Yes","No"),"Error")</f>
        <v>No</v>
      </c>
      <c r="P75" s="42" t="str">
        <f aca="false">IF($N75="SOLE",$J75,"")</f>
        <v/>
      </c>
      <c r="Q75" s="42" t="str">
        <f aca="false">IFERROR(IF($N75="Sole",0,IF(AND($N75="OTR",$R75=0),$J75-$P75,IF(AND($N75="OTR", $R75&gt;0), $J75-$P75-$Q75, ""))),"")</f>
        <v/>
      </c>
      <c r="R75" s="42" t="str">
        <f aca="false">IF($P75=$J75, "0","")</f>
        <v/>
      </c>
      <c r="S75" s="42" t="str">
        <f aca="false">IF(OR(ISBLANK($B75),ISBLANK($C75), ISBLANK($E75), ISBLANK($F75), AND(ISBLANK($G75),ISBLANK($H75)), ISBLANK($I75), ISBLANK($L75), AND(ISBLANK($N75), ISBLANK($O75)), AND(ISBLANK($P75), ISBLANK($Q75), ISBLANK($R75))), "No", "Yes")</f>
        <v>No</v>
      </c>
      <c r="T75" s="42" t="str">
        <f aca="false">SUBSTITUTE($U75," ","")</f>
        <v>04351PAD3</v>
      </c>
      <c r="U75" s="42" t="s">
        <v>147</v>
      </c>
      <c r="V75" s="39" t="n">
        <v>25991000</v>
      </c>
    </row>
    <row r="76" customFormat="false" ht="15" hidden="false" customHeight="false" outlineLevel="0" collapsed="false">
      <c r="B76" s="70" t="s">
        <v>149</v>
      </c>
      <c r="C76" s="71" t="str">
        <f aca="false">IFERROR(INDEX('13F Data'!A:A,MATCH($B76,'13F Data'!A:A,0)),"No CUSIP Match")</f>
        <v>No CUSIP Match</v>
      </c>
      <c r="D76" s="71" t="str">
        <f aca="false">IFERROR(IF($B76=$C76,"Yes","No"),"No CUSIP Match")</f>
        <v>No</v>
      </c>
      <c r="E76" s="71"/>
      <c r="F76" s="71" t="str">
        <f aca="false">IFERROR(INDEX('13F Data'!C:C, MATCH($B76,'13F Data'!A:A,0)),"No CUSIP Match")</f>
        <v>No CUSIP Match</v>
      </c>
      <c r="G76" s="72" t="str">
        <f aca="false">IFERROR(INDEX('13F Data'!D:D,MATCH($B76,'13F Data'!A:A,0)),"No CUSIP Match")</f>
        <v>No CUSIP Match</v>
      </c>
      <c r="J76" s="73" t="n">
        <f aca="false">$V76</f>
        <v>1000</v>
      </c>
      <c r="K76" s="71" t="str">
        <f aca="false">IFERROR(INDEX('EOD Data'!G:G, MATCH($A76, 'EOD Data'!B:B,0)), "No TKR Match")</f>
        <v>No TKR Match</v>
      </c>
      <c r="L76" s="71" t="str">
        <f aca="false">IFERROR(ROUND($J76*$K76,0),"Error")</f>
        <v>Error</v>
      </c>
      <c r="M76" s="71" t="str">
        <f aca="false">IFERROR(IF(AND($J76&lt;10000,$L76&lt;200000),"Yes","No"),"Error")</f>
        <v>No</v>
      </c>
      <c r="P76" s="42" t="str">
        <f aca="false">IF($N76="SOLE",$J76,"")</f>
        <v/>
      </c>
      <c r="Q76" s="42" t="str">
        <f aca="false">IFERROR(IF($N76="Sole",0,IF(AND($N76="OTR",$R76=0),$J76-$P76,IF(AND($N76="OTR", $R76&gt;0), $J76-$P76-$Q76, ""))),"")</f>
        <v/>
      </c>
      <c r="R76" s="42" t="str">
        <f aca="false">IF($P76=$J76, "0","")</f>
        <v/>
      </c>
      <c r="S76" s="42" t="str">
        <f aca="false">IF(OR(ISBLANK($B76),ISBLANK($C76), ISBLANK($E76), ISBLANK($F76), AND(ISBLANK($G76),ISBLANK($H76)), ISBLANK($I76), ISBLANK($L76), AND(ISBLANK($N76), ISBLANK($O76)), AND(ISBLANK($P76), ISBLANK($Q76), ISBLANK($R76))), "No", "Yes")</f>
        <v>No</v>
      </c>
      <c r="T76" s="42" t="str">
        <f aca="false">SUBSTITUTE($U76," ","")</f>
        <v>N07059210</v>
      </c>
      <c r="U76" s="42" t="s">
        <v>149</v>
      </c>
      <c r="V76" s="39" t="n">
        <v>1000</v>
      </c>
    </row>
    <row r="77" customFormat="false" ht="15" hidden="false" customHeight="false" outlineLevel="0" collapsed="false">
      <c r="B77" s="70" t="s">
        <v>149</v>
      </c>
      <c r="C77" s="71" t="str">
        <f aca="false">IFERROR(INDEX('13F Data'!A:A,MATCH($B77,'13F Data'!A:A,0)),"No CUSIP Match")</f>
        <v>No CUSIP Match</v>
      </c>
      <c r="D77" s="71" t="str">
        <f aca="false">IFERROR(IF($B77=$C77,"Yes","No"),"No CUSIP Match")</f>
        <v>No</v>
      </c>
      <c r="E77" s="71"/>
      <c r="F77" s="71" t="str">
        <f aca="false">IFERROR(INDEX('13F Data'!C:C, MATCH($B77,'13F Data'!A:A,0)),"No CUSIP Match")</f>
        <v>No CUSIP Match</v>
      </c>
      <c r="G77" s="72" t="str">
        <f aca="false">IFERROR(INDEX('13F Data'!D:D,MATCH($B77,'13F Data'!A:A,0)),"No CUSIP Match")</f>
        <v>No CUSIP Match</v>
      </c>
      <c r="J77" s="73" t="n">
        <f aca="false">$V77</f>
        <v>1000</v>
      </c>
      <c r="K77" s="71" t="str">
        <f aca="false">IFERROR(INDEX('EOD Data'!G:G, MATCH($A77, 'EOD Data'!B:B,0)), "No TKR Match")</f>
        <v>No TKR Match</v>
      </c>
      <c r="L77" s="71" t="str">
        <f aca="false">IFERROR(ROUND($J77*$K77,0),"Error")</f>
        <v>Error</v>
      </c>
      <c r="M77" s="71" t="str">
        <f aca="false">IFERROR(IF(AND($J77&lt;10000,$L77&lt;200000),"Yes","No"),"Error")</f>
        <v>No</v>
      </c>
      <c r="P77" s="42" t="str">
        <f aca="false">IF($N77="SOLE",$J77,"")</f>
        <v/>
      </c>
      <c r="Q77" s="42" t="str">
        <f aca="false">IFERROR(IF($N77="Sole",0,IF(AND($N77="OTR",$R77=0),$J77-$P77,IF(AND($N77="OTR", $R77&gt;0), $J77-$P77-$Q77, ""))),"")</f>
        <v/>
      </c>
      <c r="R77" s="42" t="str">
        <f aca="false">IF($P77=$J77, "0","")</f>
        <v/>
      </c>
      <c r="S77" s="42" t="str">
        <f aca="false">IF(OR(ISBLANK($B77),ISBLANK($C77), ISBLANK($E77), ISBLANK($F77), AND(ISBLANK($G77),ISBLANK($H77)), ISBLANK($I77), ISBLANK($L77), AND(ISBLANK($N77), ISBLANK($O77)), AND(ISBLANK($P77), ISBLANK($Q77), ISBLANK($R77))), "No", "Yes")</f>
        <v>No</v>
      </c>
      <c r="T77" s="42" t="str">
        <f aca="false">SUBSTITUTE($U77," ","")</f>
        <v>N07059210</v>
      </c>
      <c r="U77" s="42" t="s">
        <v>149</v>
      </c>
      <c r="V77" s="39" t="n">
        <v>1000</v>
      </c>
    </row>
    <row r="78" customFormat="false" ht="15" hidden="false" customHeight="false" outlineLevel="0" collapsed="false">
      <c r="B78" s="70" t="s">
        <v>151</v>
      </c>
      <c r="C78" s="71" t="str">
        <f aca="false">IFERROR(INDEX('13F Data'!A:A,MATCH($B78,'13F Data'!A:A,0)),"No CUSIP Match")</f>
        <v>No CUSIP Match</v>
      </c>
      <c r="D78" s="71" t="str">
        <f aca="false">IFERROR(IF($B78=$C78,"Yes","No"),"No CUSIP Match")</f>
        <v>No</v>
      </c>
      <c r="E78" s="71"/>
      <c r="F78" s="71" t="str">
        <f aca="false">IFERROR(INDEX('13F Data'!C:C, MATCH($B78,'13F Data'!A:A,0)),"No CUSIP Match")</f>
        <v>No CUSIP Match</v>
      </c>
      <c r="G78" s="72" t="str">
        <f aca="false">IFERROR(INDEX('13F Data'!D:D,MATCH($B78,'13F Data'!A:A,0)),"No CUSIP Match")</f>
        <v>No CUSIP Match</v>
      </c>
      <c r="J78" s="73" t="n">
        <f aca="false">$V78</f>
        <v>4242</v>
      </c>
      <c r="K78" s="71" t="str">
        <f aca="false">IFERROR(INDEX('EOD Data'!G:G, MATCH($A78, 'EOD Data'!B:B,0)), "No TKR Match")</f>
        <v>No TKR Match</v>
      </c>
      <c r="L78" s="71" t="str">
        <f aca="false">IFERROR(ROUND($J78*$K78,0),"Error")</f>
        <v>Error</v>
      </c>
      <c r="M78" s="71" t="str">
        <f aca="false">IFERROR(IF(AND($J78&lt;10000,$L78&lt;200000),"Yes","No"),"Error")</f>
        <v>No</v>
      </c>
      <c r="P78" s="42" t="str">
        <f aca="false">IF($N78="SOLE",$J78,"")</f>
        <v/>
      </c>
      <c r="Q78" s="42" t="str">
        <f aca="false">IFERROR(IF($N78="Sole",0,IF(AND($N78="OTR",$R78=0),$J78-$P78,IF(AND($N78="OTR", $R78&gt;0), $J78-$P78-$Q78, ""))),"")</f>
        <v/>
      </c>
      <c r="R78" s="42" t="str">
        <f aca="false">IF($P78=$J78, "0","")</f>
        <v/>
      </c>
      <c r="S78" s="42" t="str">
        <f aca="false">IF(OR(ISBLANK($B78),ISBLANK($C78), ISBLANK($E78), ISBLANK($F78), AND(ISBLANK($G78),ISBLANK($H78)), ISBLANK($I78), ISBLANK($L78), AND(ISBLANK($N78), ISBLANK($O78)), AND(ISBLANK($P78), ISBLANK($Q78), ISBLANK($R78))), "No", "Yes")</f>
        <v>No</v>
      </c>
      <c r="T78" s="42" t="str">
        <f aca="false">SUBSTITUTE($U78," ","")</f>
        <v>046353108</v>
      </c>
      <c r="U78" s="42" t="s">
        <v>151</v>
      </c>
      <c r="V78" s="39" t="n">
        <v>4242</v>
      </c>
    </row>
    <row r="79" customFormat="false" ht="15" hidden="false" customHeight="false" outlineLevel="0" collapsed="false">
      <c r="B79" s="70" t="s">
        <v>151</v>
      </c>
      <c r="C79" s="71" t="str">
        <f aca="false">IFERROR(INDEX('13F Data'!A:A,MATCH($B79,'13F Data'!A:A,0)),"No CUSIP Match")</f>
        <v>No CUSIP Match</v>
      </c>
      <c r="D79" s="71" t="str">
        <f aca="false">IFERROR(IF($B79=$C79,"Yes","No"),"No CUSIP Match")</f>
        <v>No</v>
      </c>
      <c r="E79" s="71"/>
      <c r="F79" s="71" t="str">
        <f aca="false">IFERROR(INDEX('13F Data'!C:C, MATCH($B79,'13F Data'!A:A,0)),"No CUSIP Match")</f>
        <v>No CUSIP Match</v>
      </c>
      <c r="G79" s="72" t="str">
        <f aca="false">IFERROR(INDEX('13F Data'!D:D,MATCH($B79,'13F Data'!A:A,0)),"No CUSIP Match")</f>
        <v>No CUSIP Match</v>
      </c>
      <c r="J79" s="73" t="n">
        <f aca="false">$V79</f>
        <v>7900</v>
      </c>
      <c r="K79" s="71" t="str">
        <f aca="false">IFERROR(INDEX('EOD Data'!G:G, MATCH($A79, 'EOD Data'!B:B,0)), "No TKR Match")</f>
        <v>No TKR Match</v>
      </c>
      <c r="L79" s="71" t="str">
        <f aca="false">IFERROR(ROUND($J79*$K79,0),"Error")</f>
        <v>Error</v>
      </c>
      <c r="M79" s="71" t="str">
        <f aca="false">IFERROR(IF(AND($J79&lt;10000,$L79&lt;200000),"Yes","No"),"Error")</f>
        <v>No</v>
      </c>
      <c r="P79" s="42" t="str">
        <f aca="false">IF($N79="SOLE",$J79,"")</f>
        <v/>
      </c>
      <c r="Q79" s="42" t="str">
        <f aca="false">IFERROR(IF($N79="Sole",0,IF(AND($N79="OTR",$R79=0),$J79-$P79,IF(AND($N79="OTR", $R79&gt;0), $J79-$P79-$Q79, ""))),"")</f>
        <v/>
      </c>
      <c r="R79" s="42" t="str">
        <f aca="false">IF($P79=$J79, "0","")</f>
        <v/>
      </c>
      <c r="S79" s="42" t="str">
        <f aca="false">IF(OR(ISBLANK($B79),ISBLANK($C79), ISBLANK($E79), ISBLANK($F79), AND(ISBLANK($G79),ISBLANK($H79)), ISBLANK($I79), ISBLANK($L79), AND(ISBLANK($N79), ISBLANK($O79)), AND(ISBLANK($P79), ISBLANK($Q79), ISBLANK($R79))), "No", "Yes")</f>
        <v>No</v>
      </c>
      <c r="T79" s="42" t="str">
        <f aca="false">SUBSTITUTE($U79," ","")</f>
        <v>046353108</v>
      </c>
      <c r="U79" s="42" t="s">
        <v>151</v>
      </c>
      <c r="V79" s="39" t="n">
        <v>7900</v>
      </c>
    </row>
    <row r="80" customFormat="false" ht="15" hidden="false" customHeight="false" outlineLevel="0" collapsed="false">
      <c r="B80" s="70" t="s">
        <v>151</v>
      </c>
      <c r="C80" s="71" t="str">
        <f aca="false">IFERROR(INDEX('13F Data'!A:A,MATCH($B80,'13F Data'!A:A,0)),"No CUSIP Match")</f>
        <v>No CUSIP Match</v>
      </c>
      <c r="D80" s="71" t="str">
        <f aca="false">IFERROR(IF($B80=$C80,"Yes","No"),"No CUSIP Match")</f>
        <v>No</v>
      </c>
      <c r="E80" s="71"/>
      <c r="F80" s="71" t="str">
        <f aca="false">IFERROR(INDEX('13F Data'!C:C, MATCH($B80,'13F Data'!A:A,0)),"No CUSIP Match")</f>
        <v>No CUSIP Match</v>
      </c>
      <c r="G80" s="72" t="str">
        <f aca="false">IFERROR(INDEX('13F Data'!D:D,MATCH($B80,'13F Data'!A:A,0)),"No CUSIP Match")</f>
        <v>No CUSIP Match</v>
      </c>
      <c r="J80" s="73" t="n">
        <f aca="false">$V80</f>
        <v>7900</v>
      </c>
      <c r="K80" s="71" t="str">
        <f aca="false">IFERROR(INDEX('EOD Data'!G:G, MATCH($A80, 'EOD Data'!B:B,0)), "No TKR Match")</f>
        <v>No TKR Match</v>
      </c>
      <c r="L80" s="71" t="str">
        <f aca="false">IFERROR(ROUND($J80*$K80,0),"Error")</f>
        <v>Error</v>
      </c>
      <c r="M80" s="71" t="str">
        <f aca="false">IFERROR(IF(AND($J80&lt;10000,$L80&lt;200000),"Yes","No"),"Error")</f>
        <v>No</v>
      </c>
      <c r="P80" s="42" t="str">
        <f aca="false">IF($N80="SOLE",$J80,"")</f>
        <v/>
      </c>
      <c r="Q80" s="42" t="str">
        <f aca="false">IFERROR(IF($N80="Sole",0,IF(AND($N80="OTR",$R80=0),$J80-$P80,IF(AND($N80="OTR", $R80&gt;0), $J80-$P80-$Q80, ""))),"")</f>
        <v/>
      </c>
      <c r="R80" s="42" t="str">
        <f aca="false">IF($P80=$J80, "0","")</f>
        <v/>
      </c>
      <c r="S80" s="42" t="str">
        <f aca="false">IF(OR(ISBLANK($B80),ISBLANK($C80), ISBLANK($E80), ISBLANK($F80), AND(ISBLANK($G80),ISBLANK($H80)), ISBLANK($I80), ISBLANK($L80), AND(ISBLANK($N80), ISBLANK($O80)), AND(ISBLANK($P80), ISBLANK($Q80), ISBLANK($R80))), "No", "Yes")</f>
        <v>No</v>
      </c>
      <c r="T80" s="42" t="str">
        <f aca="false">SUBSTITUTE($U80," ","")</f>
        <v>046353108</v>
      </c>
      <c r="U80" s="42" t="s">
        <v>151</v>
      </c>
      <c r="V80" s="39" t="n">
        <v>7900</v>
      </c>
    </row>
    <row r="81" customFormat="false" ht="15" hidden="false" customHeight="false" outlineLevel="0" collapsed="false">
      <c r="B81" s="70" t="s">
        <v>153</v>
      </c>
      <c r="C81" s="71" t="str">
        <f aca="false">IFERROR(INDEX('13F Data'!A:A,MATCH($B81,'13F Data'!A:A,0)),"No CUSIP Match")</f>
        <v>No CUSIP Match</v>
      </c>
      <c r="D81" s="71" t="str">
        <f aca="false">IFERROR(IF($B81=$C81,"Yes","No"),"No CUSIP Match")</f>
        <v>No</v>
      </c>
      <c r="E81" s="71"/>
      <c r="F81" s="71" t="str">
        <f aca="false">IFERROR(INDEX('13F Data'!C:C, MATCH($B81,'13F Data'!A:A,0)),"No CUSIP Match")</f>
        <v>No CUSIP Match</v>
      </c>
      <c r="G81" s="72" t="str">
        <f aca="false">IFERROR(INDEX('13F Data'!D:D,MATCH($B81,'13F Data'!A:A,0)),"No CUSIP Match")</f>
        <v>No CUSIP Match</v>
      </c>
      <c r="J81" s="73" t="n">
        <f aca="false">$V81</f>
        <v>6400</v>
      </c>
      <c r="K81" s="71" t="str">
        <f aca="false">IFERROR(INDEX('EOD Data'!G:G, MATCH($A81, 'EOD Data'!B:B,0)), "No TKR Match")</f>
        <v>No TKR Match</v>
      </c>
      <c r="L81" s="71" t="str">
        <f aca="false">IFERROR(ROUND($J81*$K81,0),"Error")</f>
        <v>Error</v>
      </c>
      <c r="M81" s="71" t="str">
        <f aca="false">IFERROR(IF(AND($J81&lt;10000,$L81&lt;200000),"Yes","No"),"Error")</f>
        <v>No</v>
      </c>
      <c r="P81" s="42" t="str">
        <f aca="false">IF($N81="SOLE",$J81,"")</f>
        <v/>
      </c>
      <c r="Q81" s="42" t="str">
        <f aca="false">IFERROR(IF($N81="Sole",0,IF(AND($N81="OTR",$R81=0),$J81-$P81,IF(AND($N81="OTR", $R81&gt;0), $J81-$P81-$Q81, ""))),"")</f>
        <v/>
      </c>
      <c r="R81" s="42" t="str">
        <f aca="false">IF($P81=$J81, "0","")</f>
        <v/>
      </c>
      <c r="S81" s="42" t="str">
        <f aca="false">IF(OR(ISBLANK($B81),ISBLANK($C81), ISBLANK($E81), ISBLANK($F81), AND(ISBLANK($G81),ISBLANK($H81)), ISBLANK($I81), ISBLANK($L81), AND(ISBLANK($N81), ISBLANK($O81)), AND(ISBLANK($P81), ISBLANK($Q81), ISBLANK($R81))), "No", "Yes")</f>
        <v>No</v>
      </c>
      <c r="T81" s="42" t="str">
        <f aca="false">SUBSTITUTE($U81," ","")</f>
        <v>00206R102</v>
      </c>
      <c r="U81" s="42" t="s">
        <v>153</v>
      </c>
      <c r="V81" s="39" t="n">
        <v>6400</v>
      </c>
    </row>
    <row r="82" customFormat="false" ht="15" hidden="false" customHeight="false" outlineLevel="0" collapsed="false">
      <c r="B82" s="70" t="s">
        <v>153</v>
      </c>
      <c r="C82" s="71" t="str">
        <f aca="false">IFERROR(INDEX('13F Data'!A:A,MATCH($B82,'13F Data'!A:A,0)),"No CUSIP Match")</f>
        <v>No CUSIP Match</v>
      </c>
      <c r="D82" s="71" t="str">
        <f aca="false">IFERROR(IF($B82=$C82,"Yes","No"),"No CUSIP Match")</f>
        <v>No</v>
      </c>
      <c r="E82" s="71"/>
      <c r="F82" s="71" t="str">
        <f aca="false">IFERROR(INDEX('13F Data'!C:C, MATCH($B82,'13F Data'!A:A,0)),"No CUSIP Match")</f>
        <v>No CUSIP Match</v>
      </c>
      <c r="G82" s="72" t="str">
        <f aca="false">IFERROR(INDEX('13F Data'!D:D,MATCH($B82,'13F Data'!A:A,0)),"No CUSIP Match")</f>
        <v>No CUSIP Match</v>
      </c>
      <c r="J82" s="73" t="n">
        <f aca="false">$V82</f>
        <v>6400</v>
      </c>
      <c r="K82" s="71" t="str">
        <f aca="false">IFERROR(INDEX('EOD Data'!G:G, MATCH($A82, 'EOD Data'!B:B,0)), "No TKR Match")</f>
        <v>No TKR Match</v>
      </c>
      <c r="L82" s="71" t="str">
        <f aca="false">IFERROR(ROUND($J82*$K82,0),"Error")</f>
        <v>Error</v>
      </c>
      <c r="M82" s="71" t="str">
        <f aca="false">IFERROR(IF(AND($J82&lt;10000,$L82&lt;200000),"Yes","No"),"Error")</f>
        <v>No</v>
      </c>
      <c r="P82" s="42" t="str">
        <f aca="false">IF($N82="SOLE",$J82,"")</f>
        <v/>
      </c>
      <c r="Q82" s="42" t="str">
        <f aca="false">IFERROR(IF($N82="Sole",0,IF(AND($N82="OTR",$R82=0),$J82-$P82,IF(AND($N82="OTR", $R82&gt;0), $J82-$P82-$Q82, ""))),"")</f>
        <v/>
      </c>
      <c r="R82" s="42" t="str">
        <f aca="false">IF($P82=$J82, "0","")</f>
        <v/>
      </c>
      <c r="S82" s="42" t="str">
        <f aca="false">IF(OR(ISBLANK($B82),ISBLANK($C82), ISBLANK($E82), ISBLANK($F82), AND(ISBLANK($G82),ISBLANK($H82)), ISBLANK($I82), ISBLANK($L82), AND(ISBLANK($N82), ISBLANK($O82)), AND(ISBLANK($P82), ISBLANK($Q82), ISBLANK($R82))), "No", "Yes")</f>
        <v>No</v>
      </c>
      <c r="T82" s="42" t="str">
        <f aca="false">SUBSTITUTE($U82," ","")</f>
        <v>00206R102</v>
      </c>
      <c r="U82" s="42" t="s">
        <v>153</v>
      </c>
      <c r="V82" s="39" t="n">
        <v>6400</v>
      </c>
    </row>
    <row r="83" customFormat="false" ht="15" hidden="false" customHeight="false" outlineLevel="0" collapsed="false">
      <c r="B83" s="70" t="s">
        <v>155</v>
      </c>
      <c r="C83" s="71" t="str">
        <f aca="false">IFERROR(INDEX('13F Data'!A:A,MATCH($B83,'13F Data'!A:A,0)),"No CUSIP Match")</f>
        <v>No CUSIP Match</v>
      </c>
      <c r="D83" s="71" t="str">
        <f aca="false">IFERROR(IF($B83=$C83,"Yes","No"),"No CUSIP Match")</f>
        <v>No</v>
      </c>
      <c r="E83" s="71"/>
      <c r="F83" s="71" t="str">
        <f aca="false">IFERROR(INDEX('13F Data'!C:C, MATCH($B83,'13F Data'!A:A,0)),"No CUSIP Match")</f>
        <v>No CUSIP Match</v>
      </c>
      <c r="G83" s="72" t="str">
        <f aca="false">IFERROR(INDEX('13F Data'!D:D,MATCH($B83,'13F Data'!A:A,0)),"No CUSIP Match")</f>
        <v>No CUSIP Match</v>
      </c>
      <c r="J83" s="73" t="n">
        <f aca="false">$V83</f>
        <v>7700</v>
      </c>
      <c r="K83" s="71" t="str">
        <f aca="false">IFERROR(INDEX('EOD Data'!G:G, MATCH($A83, 'EOD Data'!B:B,0)), "No TKR Match")</f>
        <v>No TKR Match</v>
      </c>
      <c r="L83" s="71" t="str">
        <f aca="false">IFERROR(ROUND($J83*$K83,0),"Error")</f>
        <v>Error</v>
      </c>
      <c r="M83" s="71" t="str">
        <f aca="false">IFERROR(IF(AND($J83&lt;10000,$L83&lt;200000),"Yes","No"),"Error")</f>
        <v>No</v>
      </c>
      <c r="P83" s="42" t="str">
        <f aca="false">IF($N83="SOLE",$J83,"")</f>
        <v/>
      </c>
      <c r="Q83" s="42" t="str">
        <f aca="false">IFERROR(IF($N83="Sole",0,IF(AND($N83="OTR",$R83=0),$J83-$P83,IF(AND($N83="OTR", $R83&gt;0), $J83-$P83-$Q83, ""))),"")</f>
        <v/>
      </c>
      <c r="R83" s="42" t="str">
        <f aca="false">IF($P83=$J83, "0","")</f>
        <v/>
      </c>
      <c r="S83" s="42" t="str">
        <f aca="false">IF(OR(ISBLANK($B83),ISBLANK($C83), ISBLANK($E83), ISBLANK($F83), AND(ISBLANK($G83),ISBLANK($H83)), ISBLANK($I83), ISBLANK($L83), AND(ISBLANK($N83), ISBLANK($O83)), AND(ISBLANK($P83), ISBLANK($Q83), ISBLANK($R83))), "No", "Yes")</f>
        <v>No</v>
      </c>
      <c r="T83" s="42" t="str">
        <f aca="false">SUBSTITUTE($U83," ","")</f>
        <v>052769106</v>
      </c>
      <c r="U83" s="42" t="s">
        <v>155</v>
      </c>
      <c r="V83" s="39" t="n">
        <v>7700</v>
      </c>
    </row>
    <row r="84" customFormat="false" ht="15" hidden="false" customHeight="false" outlineLevel="0" collapsed="false">
      <c r="B84" s="70" t="s">
        <v>155</v>
      </c>
      <c r="C84" s="71" t="str">
        <f aca="false">IFERROR(INDEX('13F Data'!A:A,MATCH($B84,'13F Data'!A:A,0)),"No CUSIP Match")</f>
        <v>No CUSIP Match</v>
      </c>
      <c r="D84" s="71" t="str">
        <f aca="false">IFERROR(IF($B84=$C84,"Yes","No"),"No CUSIP Match")</f>
        <v>No</v>
      </c>
      <c r="E84" s="71"/>
      <c r="F84" s="71" t="str">
        <f aca="false">IFERROR(INDEX('13F Data'!C:C, MATCH($B84,'13F Data'!A:A,0)),"No CUSIP Match")</f>
        <v>No CUSIP Match</v>
      </c>
      <c r="G84" s="72" t="str">
        <f aca="false">IFERROR(INDEX('13F Data'!D:D,MATCH($B84,'13F Data'!A:A,0)),"No CUSIP Match")</f>
        <v>No CUSIP Match</v>
      </c>
      <c r="J84" s="73" t="n">
        <f aca="false">$V84</f>
        <v>7700</v>
      </c>
      <c r="K84" s="71" t="str">
        <f aca="false">IFERROR(INDEX('EOD Data'!G:G, MATCH($A84, 'EOD Data'!B:B,0)), "No TKR Match")</f>
        <v>No TKR Match</v>
      </c>
      <c r="L84" s="71" t="str">
        <f aca="false">IFERROR(ROUND($J84*$K84,0),"Error")</f>
        <v>Error</v>
      </c>
      <c r="M84" s="71" t="str">
        <f aca="false">IFERROR(IF(AND($J84&lt;10000,$L84&lt;200000),"Yes","No"),"Error")</f>
        <v>No</v>
      </c>
      <c r="P84" s="42" t="str">
        <f aca="false">IF($N84="SOLE",$J84,"")</f>
        <v/>
      </c>
      <c r="Q84" s="42" t="str">
        <f aca="false">IFERROR(IF($N84="Sole",0,IF(AND($N84="OTR",$R84=0),$J84-$P84,IF(AND($N84="OTR", $R84&gt;0), $J84-$P84-$Q84, ""))),"")</f>
        <v/>
      </c>
      <c r="R84" s="42" t="str">
        <f aca="false">IF($P84=$J84, "0","")</f>
        <v/>
      </c>
      <c r="S84" s="42" t="str">
        <f aca="false">IF(OR(ISBLANK($B84),ISBLANK($C84), ISBLANK($E84), ISBLANK($F84), AND(ISBLANK($G84),ISBLANK($H84)), ISBLANK($I84), ISBLANK($L84), AND(ISBLANK($N84), ISBLANK($O84)), AND(ISBLANK($P84), ISBLANK($Q84), ISBLANK($R84))), "No", "Yes")</f>
        <v>No</v>
      </c>
      <c r="T84" s="42" t="str">
        <f aca="false">SUBSTITUTE($U84," ","")</f>
        <v>052769106</v>
      </c>
      <c r="U84" s="42" t="s">
        <v>155</v>
      </c>
      <c r="V84" s="39" t="n">
        <v>7700</v>
      </c>
    </row>
    <row r="85" customFormat="false" ht="15" hidden="false" customHeight="false" outlineLevel="0" collapsed="false">
      <c r="B85" s="70" t="s">
        <v>157</v>
      </c>
      <c r="C85" s="71" t="str">
        <f aca="false">IFERROR(INDEX('13F Data'!A:A,MATCH($B85,'13F Data'!A:A,0)),"No CUSIP Match")</f>
        <v>No CUSIP Match</v>
      </c>
      <c r="D85" s="71" t="str">
        <f aca="false">IFERROR(IF($B85=$C85,"Yes","No"),"No CUSIP Match")</f>
        <v>No</v>
      </c>
      <c r="E85" s="71"/>
      <c r="F85" s="71" t="str">
        <f aca="false">IFERROR(INDEX('13F Data'!C:C, MATCH($B85,'13F Data'!A:A,0)),"No CUSIP Match")</f>
        <v>No CUSIP Match</v>
      </c>
      <c r="G85" s="72" t="str">
        <f aca="false">IFERROR(INDEX('13F Data'!D:D,MATCH($B85,'13F Data'!A:A,0)),"No CUSIP Match")</f>
        <v>No CUSIP Match</v>
      </c>
      <c r="J85" s="73" t="n">
        <f aca="false">$V85</f>
        <v>1300</v>
      </c>
      <c r="K85" s="71" t="str">
        <f aca="false">IFERROR(INDEX('EOD Data'!G:G, MATCH($A85, 'EOD Data'!B:B,0)), "No TKR Match")</f>
        <v>No TKR Match</v>
      </c>
      <c r="L85" s="71" t="str">
        <f aca="false">IFERROR(ROUND($J85*$K85,0),"Error")</f>
        <v>Error</v>
      </c>
      <c r="M85" s="71" t="str">
        <f aca="false">IFERROR(IF(AND($J85&lt;10000,$L85&lt;200000),"Yes","No"),"Error")</f>
        <v>No</v>
      </c>
      <c r="P85" s="42" t="str">
        <f aca="false">IF($N85="SOLE",$J85,"")</f>
        <v/>
      </c>
      <c r="Q85" s="42" t="str">
        <f aca="false">IFERROR(IF($N85="Sole",0,IF(AND($N85="OTR",$R85=0),$J85-$P85,IF(AND($N85="OTR", $R85&gt;0), $J85-$P85-$Q85, ""))),"")</f>
        <v/>
      </c>
      <c r="R85" s="42" t="str">
        <f aca="false">IF($P85=$J85, "0","")</f>
        <v/>
      </c>
      <c r="S85" s="42" t="str">
        <f aca="false">IF(OR(ISBLANK($B85),ISBLANK($C85), ISBLANK($E85), ISBLANK($F85), AND(ISBLANK($G85),ISBLANK($H85)), ISBLANK($I85), ISBLANK($L85), AND(ISBLANK($N85), ISBLANK($O85)), AND(ISBLANK($P85), ISBLANK($Q85), ISBLANK($R85))), "No", "Yes")</f>
        <v>No</v>
      </c>
      <c r="T85" s="42" t="str">
        <f aca="false">SUBSTITUTE($U85," ","")</f>
        <v>053015103</v>
      </c>
      <c r="U85" s="42" t="s">
        <v>157</v>
      </c>
      <c r="V85" s="39" t="n">
        <v>1300</v>
      </c>
    </row>
    <row r="86" customFormat="false" ht="15" hidden="false" customHeight="false" outlineLevel="0" collapsed="false">
      <c r="B86" s="70" t="s">
        <v>157</v>
      </c>
      <c r="C86" s="71" t="str">
        <f aca="false">IFERROR(INDEX('13F Data'!A:A,MATCH($B86,'13F Data'!A:A,0)),"No CUSIP Match")</f>
        <v>No CUSIP Match</v>
      </c>
      <c r="D86" s="71" t="str">
        <f aca="false">IFERROR(IF($B86=$C86,"Yes","No"),"No CUSIP Match")</f>
        <v>No</v>
      </c>
      <c r="E86" s="71"/>
      <c r="F86" s="71" t="str">
        <f aca="false">IFERROR(INDEX('13F Data'!C:C, MATCH($B86,'13F Data'!A:A,0)),"No CUSIP Match")</f>
        <v>No CUSIP Match</v>
      </c>
      <c r="G86" s="72" t="str">
        <f aca="false">IFERROR(INDEX('13F Data'!D:D,MATCH($B86,'13F Data'!A:A,0)),"No CUSIP Match")</f>
        <v>No CUSIP Match</v>
      </c>
      <c r="J86" s="73" t="n">
        <f aca="false">$V86</f>
        <v>1300</v>
      </c>
      <c r="K86" s="71" t="str">
        <f aca="false">IFERROR(INDEX('EOD Data'!G:G, MATCH($A86, 'EOD Data'!B:B,0)), "No TKR Match")</f>
        <v>No TKR Match</v>
      </c>
      <c r="L86" s="71" t="str">
        <f aca="false">IFERROR(ROUND($J86*$K86,0),"Error")</f>
        <v>Error</v>
      </c>
      <c r="M86" s="71" t="str">
        <f aca="false">IFERROR(IF(AND($J86&lt;10000,$L86&lt;200000),"Yes","No"),"Error")</f>
        <v>No</v>
      </c>
      <c r="P86" s="42" t="str">
        <f aca="false">IF($N86="SOLE",$J86,"")</f>
        <v/>
      </c>
      <c r="Q86" s="42" t="str">
        <f aca="false">IFERROR(IF($N86="Sole",0,IF(AND($N86="OTR",$R86=0),$J86-$P86,IF(AND($N86="OTR", $R86&gt;0), $J86-$P86-$Q86, ""))),"")</f>
        <v/>
      </c>
      <c r="R86" s="42" t="str">
        <f aca="false">IF($P86=$J86, "0","")</f>
        <v/>
      </c>
      <c r="S86" s="42" t="str">
        <f aca="false">IF(OR(ISBLANK($B86),ISBLANK($C86), ISBLANK($E86), ISBLANK($F86), AND(ISBLANK($G86),ISBLANK($H86)), ISBLANK($I86), ISBLANK($L86), AND(ISBLANK($N86), ISBLANK($O86)), AND(ISBLANK($P86), ISBLANK($Q86), ISBLANK($R86))), "No", "Yes")</f>
        <v>No</v>
      </c>
      <c r="T86" s="42" t="str">
        <f aca="false">SUBSTITUTE($U86," ","")</f>
        <v>053015103</v>
      </c>
      <c r="U86" s="42" t="s">
        <v>157</v>
      </c>
      <c r="V86" s="39" t="n">
        <v>1300</v>
      </c>
    </row>
    <row r="87" customFormat="false" ht="15" hidden="false" customHeight="false" outlineLevel="0" collapsed="false">
      <c r="B87" s="70" t="s">
        <v>159</v>
      </c>
      <c r="C87" s="71" t="str">
        <f aca="false">IFERROR(INDEX('13F Data'!A:A,MATCH($B87,'13F Data'!A:A,0)),"No CUSIP Match")</f>
        <v>No CUSIP Match</v>
      </c>
      <c r="D87" s="71" t="str">
        <f aca="false">IFERROR(IF($B87=$C87,"Yes","No"),"No CUSIP Match")</f>
        <v>No</v>
      </c>
      <c r="E87" s="71"/>
      <c r="F87" s="71" t="str">
        <f aca="false">IFERROR(INDEX('13F Data'!C:C, MATCH($B87,'13F Data'!A:A,0)),"No CUSIP Match")</f>
        <v>No CUSIP Match</v>
      </c>
      <c r="G87" s="72" t="str">
        <f aca="false">IFERROR(INDEX('13F Data'!D:D,MATCH($B87,'13F Data'!A:A,0)),"No CUSIP Match")</f>
        <v>No CUSIP Match</v>
      </c>
      <c r="J87" s="73" t="n">
        <f aca="false">$V87</f>
        <v>107</v>
      </c>
      <c r="K87" s="71" t="str">
        <f aca="false">IFERROR(INDEX('EOD Data'!G:G, MATCH($A87, 'EOD Data'!B:B,0)), "No TKR Match")</f>
        <v>No TKR Match</v>
      </c>
      <c r="L87" s="71" t="str">
        <f aca="false">IFERROR(ROUND($J87*$K87,0),"Error")</f>
        <v>Error</v>
      </c>
      <c r="M87" s="71" t="str">
        <f aca="false">IFERROR(IF(AND($J87&lt;10000,$L87&lt;200000),"Yes","No"),"Error")</f>
        <v>No</v>
      </c>
      <c r="P87" s="42" t="str">
        <f aca="false">IF($N87="SOLE",$J87,"")</f>
        <v/>
      </c>
      <c r="Q87" s="42" t="str">
        <f aca="false">IFERROR(IF($N87="Sole",0,IF(AND($N87="OTR",$R87=0),$J87-$P87,IF(AND($N87="OTR", $R87&gt;0), $J87-$P87-$Q87, ""))),"")</f>
        <v/>
      </c>
      <c r="R87" s="42" t="str">
        <f aca="false">IF($P87=$J87, "0","")</f>
        <v/>
      </c>
      <c r="S87" s="42" t="str">
        <f aca="false">IF(OR(ISBLANK($B87),ISBLANK($C87), ISBLANK($E87), ISBLANK($F87), AND(ISBLANK($G87),ISBLANK($H87)), ISBLANK($I87), ISBLANK($L87), AND(ISBLANK($N87), ISBLANK($O87)), AND(ISBLANK($P87), ISBLANK($Q87), ISBLANK($R87))), "No", "Yes")</f>
        <v>No</v>
      </c>
      <c r="T87" s="42" t="str">
        <f aca="false">SUBSTITUTE($U87," ","")</f>
        <v>053332102</v>
      </c>
      <c r="U87" s="42" t="s">
        <v>159</v>
      </c>
      <c r="V87" s="39" t="n">
        <v>107</v>
      </c>
    </row>
    <row r="88" customFormat="false" ht="15" hidden="false" customHeight="false" outlineLevel="0" collapsed="false">
      <c r="B88" s="70" t="s">
        <v>159</v>
      </c>
      <c r="C88" s="71" t="str">
        <f aca="false">IFERROR(INDEX('13F Data'!A:A,MATCH($B88,'13F Data'!A:A,0)),"No CUSIP Match")</f>
        <v>No CUSIP Match</v>
      </c>
      <c r="D88" s="71" t="str">
        <f aca="false">IFERROR(IF($B88=$C88,"Yes","No"),"No CUSIP Match")</f>
        <v>No</v>
      </c>
      <c r="E88" s="71"/>
      <c r="F88" s="71" t="str">
        <f aca="false">IFERROR(INDEX('13F Data'!C:C, MATCH($B88,'13F Data'!A:A,0)),"No CUSIP Match")</f>
        <v>No CUSIP Match</v>
      </c>
      <c r="G88" s="72" t="str">
        <f aca="false">IFERROR(INDEX('13F Data'!D:D,MATCH($B88,'13F Data'!A:A,0)),"No CUSIP Match")</f>
        <v>No CUSIP Match</v>
      </c>
      <c r="J88" s="73" t="n">
        <f aca="false">$V88</f>
        <v>800</v>
      </c>
      <c r="K88" s="71" t="str">
        <f aca="false">IFERROR(INDEX('EOD Data'!G:G, MATCH($A88, 'EOD Data'!B:B,0)), "No TKR Match")</f>
        <v>No TKR Match</v>
      </c>
      <c r="L88" s="71" t="str">
        <f aca="false">IFERROR(ROUND($J88*$K88,0),"Error")</f>
        <v>Error</v>
      </c>
      <c r="M88" s="71" t="str">
        <f aca="false">IFERROR(IF(AND($J88&lt;10000,$L88&lt;200000),"Yes","No"),"Error")</f>
        <v>No</v>
      </c>
      <c r="P88" s="42" t="str">
        <f aca="false">IF($N88="SOLE",$J88,"")</f>
        <v/>
      </c>
      <c r="Q88" s="42" t="str">
        <f aca="false">IFERROR(IF($N88="Sole",0,IF(AND($N88="OTR",$R88=0),$J88-$P88,IF(AND($N88="OTR", $R88&gt;0), $J88-$P88-$Q88, ""))),"")</f>
        <v/>
      </c>
      <c r="R88" s="42" t="str">
        <f aca="false">IF($P88=$J88, "0","")</f>
        <v/>
      </c>
      <c r="S88" s="42" t="str">
        <f aca="false">IF(OR(ISBLANK($B88),ISBLANK($C88), ISBLANK($E88), ISBLANK($F88), AND(ISBLANK($G88),ISBLANK($H88)), ISBLANK($I88), ISBLANK($L88), AND(ISBLANK($N88), ISBLANK($O88)), AND(ISBLANK($P88), ISBLANK($Q88), ISBLANK($R88))), "No", "Yes")</f>
        <v>No</v>
      </c>
      <c r="T88" s="42" t="str">
        <f aca="false">SUBSTITUTE($U88," ","")</f>
        <v>053332102</v>
      </c>
      <c r="U88" s="42" t="s">
        <v>159</v>
      </c>
      <c r="V88" s="39" t="n">
        <v>800</v>
      </c>
    </row>
    <row r="89" customFormat="false" ht="15" hidden="false" customHeight="false" outlineLevel="0" collapsed="false">
      <c r="B89" s="70" t="s">
        <v>159</v>
      </c>
      <c r="C89" s="71" t="str">
        <f aca="false">IFERROR(INDEX('13F Data'!A:A,MATCH($B89,'13F Data'!A:A,0)),"No CUSIP Match")</f>
        <v>No CUSIP Match</v>
      </c>
      <c r="D89" s="71" t="str">
        <f aca="false">IFERROR(IF($B89=$C89,"Yes","No"),"No CUSIP Match")</f>
        <v>No</v>
      </c>
      <c r="E89" s="71"/>
      <c r="F89" s="71" t="str">
        <f aca="false">IFERROR(INDEX('13F Data'!C:C, MATCH($B89,'13F Data'!A:A,0)),"No CUSIP Match")</f>
        <v>No CUSIP Match</v>
      </c>
      <c r="G89" s="72" t="str">
        <f aca="false">IFERROR(INDEX('13F Data'!D:D,MATCH($B89,'13F Data'!A:A,0)),"No CUSIP Match")</f>
        <v>No CUSIP Match</v>
      </c>
      <c r="J89" s="73" t="n">
        <f aca="false">$V89</f>
        <v>800</v>
      </c>
      <c r="K89" s="71" t="str">
        <f aca="false">IFERROR(INDEX('EOD Data'!G:G, MATCH($A89, 'EOD Data'!B:B,0)), "No TKR Match")</f>
        <v>No TKR Match</v>
      </c>
      <c r="L89" s="71" t="str">
        <f aca="false">IFERROR(ROUND($J89*$K89,0),"Error")</f>
        <v>Error</v>
      </c>
      <c r="M89" s="71" t="str">
        <f aca="false">IFERROR(IF(AND($J89&lt;10000,$L89&lt;200000),"Yes","No"),"Error")</f>
        <v>No</v>
      </c>
      <c r="P89" s="42" t="str">
        <f aca="false">IF($N89="SOLE",$J89,"")</f>
        <v/>
      </c>
      <c r="Q89" s="42" t="str">
        <f aca="false">IFERROR(IF($N89="Sole",0,IF(AND($N89="OTR",$R89=0),$J89-$P89,IF(AND($N89="OTR", $R89&gt;0), $J89-$P89-$Q89, ""))),"")</f>
        <v/>
      </c>
      <c r="R89" s="42" t="str">
        <f aca="false">IF($P89=$J89, "0","")</f>
        <v/>
      </c>
      <c r="S89" s="42" t="str">
        <f aca="false">IF(OR(ISBLANK($B89),ISBLANK($C89), ISBLANK($E89), ISBLANK($F89), AND(ISBLANK($G89),ISBLANK($H89)), ISBLANK($I89), ISBLANK($L89), AND(ISBLANK($N89), ISBLANK($O89)), AND(ISBLANK($P89), ISBLANK($Q89), ISBLANK($R89))), "No", "Yes")</f>
        <v>No</v>
      </c>
      <c r="T89" s="42" t="str">
        <f aca="false">SUBSTITUTE($U89," ","")</f>
        <v>053332102</v>
      </c>
      <c r="U89" s="42" t="s">
        <v>159</v>
      </c>
      <c r="V89" s="39" t="n">
        <v>800</v>
      </c>
    </row>
    <row r="90" customFormat="false" ht="15" hidden="false" customHeight="false" outlineLevel="0" collapsed="false">
      <c r="B90" s="70" t="s">
        <v>161</v>
      </c>
      <c r="C90" s="71" t="str">
        <f aca="false">IFERROR(INDEX('13F Data'!A:A,MATCH($B90,'13F Data'!A:A,0)),"No CUSIP Match")</f>
        <v>No CUSIP Match</v>
      </c>
      <c r="D90" s="71" t="str">
        <f aca="false">IFERROR(IF($B90=$C90,"Yes","No"),"No CUSIP Match")</f>
        <v>No</v>
      </c>
      <c r="E90" s="71"/>
      <c r="F90" s="71" t="str">
        <f aca="false">IFERROR(INDEX('13F Data'!C:C, MATCH($B90,'13F Data'!A:A,0)),"No CUSIP Match")</f>
        <v>No CUSIP Match</v>
      </c>
      <c r="G90" s="72" t="str">
        <f aca="false">IFERROR(INDEX('13F Data'!D:D,MATCH($B90,'13F Data'!A:A,0)),"No CUSIP Match")</f>
        <v>No CUSIP Match</v>
      </c>
      <c r="J90" s="73" t="n">
        <f aca="false">$V90</f>
        <v>588878</v>
      </c>
      <c r="K90" s="71" t="str">
        <f aca="false">IFERROR(INDEX('EOD Data'!G:G, MATCH($A90, 'EOD Data'!B:B,0)), "No TKR Match")</f>
        <v>No TKR Match</v>
      </c>
      <c r="L90" s="71" t="str">
        <f aca="false">IFERROR(ROUND($J90*$K90,0),"Error")</f>
        <v>Error</v>
      </c>
      <c r="M90" s="71" t="str">
        <f aca="false">IFERROR(IF(AND($J90&lt;10000,$L90&lt;200000),"Yes","No"),"Error")</f>
        <v>No</v>
      </c>
      <c r="P90" s="42" t="str">
        <f aca="false">IF($N90="SOLE",$J90,"")</f>
        <v/>
      </c>
      <c r="Q90" s="42" t="str">
        <f aca="false">IFERROR(IF($N90="Sole",0,IF(AND($N90="OTR",$R90=0),$J90-$P90,IF(AND($N90="OTR", $R90&gt;0), $J90-$P90-$Q90, ""))),"")</f>
        <v/>
      </c>
      <c r="R90" s="42" t="str">
        <f aca="false">IF($P90=$J90, "0","")</f>
        <v/>
      </c>
      <c r="S90" s="42" t="str">
        <f aca="false">IF(OR(ISBLANK($B90),ISBLANK($C90), ISBLANK($E90), ISBLANK($F90), AND(ISBLANK($G90),ISBLANK($H90)), ISBLANK($I90), ISBLANK($L90), AND(ISBLANK($N90), ISBLANK($O90)), AND(ISBLANK($P90), ISBLANK($Q90), ISBLANK($R90))), "No", "Yes")</f>
        <v>No</v>
      </c>
      <c r="T90" s="42" t="str">
        <f aca="false">SUBSTITUTE($U90," ","")</f>
        <v>05352A100</v>
      </c>
      <c r="U90" s="42" t="s">
        <v>161</v>
      </c>
      <c r="V90" s="39" t="n">
        <v>588878</v>
      </c>
    </row>
    <row r="91" customFormat="false" ht="15" hidden="false" customHeight="false" outlineLevel="0" collapsed="false">
      <c r="B91" s="70" t="s">
        <v>163</v>
      </c>
      <c r="C91" s="71" t="str">
        <f aca="false">IFERROR(INDEX('13F Data'!A:A,MATCH($B91,'13F Data'!A:A,0)),"No CUSIP Match")</f>
        <v>No CUSIP Match</v>
      </c>
      <c r="D91" s="71" t="str">
        <f aca="false">IFERROR(IF($B91=$C91,"Yes","No"),"No CUSIP Match")</f>
        <v>No</v>
      </c>
      <c r="E91" s="71"/>
      <c r="F91" s="71" t="str">
        <f aca="false">IFERROR(INDEX('13F Data'!C:C, MATCH($B91,'13F Data'!A:A,0)),"No CUSIP Match")</f>
        <v>No CUSIP Match</v>
      </c>
      <c r="G91" s="72" t="str">
        <f aca="false">IFERROR(INDEX('13F Data'!D:D,MATCH($B91,'13F Data'!A:A,0)),"No CUSIP Match")</f>
        <v>No CUSIP Match</v>
      </c>
      <c r="J91" s="73" t="n">
        <f aca="false">$V91</f>
        <v>110400</v>
      </c>
      <c r="K91" s="71" t="str">
        <f aca="false">IFERROR(INDEX('EOD Data'!G:G, MATCH($A91, 'EOD Data'!B:B,0)), "No TKR Match")</f>
        <v>No TKR Match</v>
      </c>
      <c r="L91" s="71" t="str">
        <f aca="false">IFERROR(ROUND($J91*$K91,0),"Error")</f>
        <v>Error</v>
      </c>
      <c r="M91" s="71" t="str">
        <f aca="false">IFERROR(IF(AND($J91&lt;10000,$L91&lt;200000),"Yes","No"),"Error")</f>
        <v>No</v>
      </c>
      <c r="P91" s="42" t="str">
        <f aca="false">IF($N91="SOLE",$J91,"")</f>
        <v/>
      </c>
      <c r="Q91" s="42" t="str">
        <f aca="false">IFERROR(IF($N91="Sole",0,IF(AND($N91="OTR",$R91=0),$J91-$P91,IF(AND($N91="OTR", $R91&gt;0), $J91-$P91-$Q91, ""))),"")</f>
        <v/>
      </c>
      <c r="R91" s="42" t="str">
        <f aca="false">IF($P91=$J91, "0","")</f>
        <v/>
      </c>
      <c r="S91" s="42" t="str">
        <f aca="false">IF(OR(ISBLANK($B91),ISBLANK($C91), ISBLANK($E91), ISBLANK($F91), AND(ISBLANK($G91),ISBLANK($H91)), ISBLANK($I91), ISBLANK($L91), AND(ISBLANK($N91), ISBLANK($O91)), AND(ISBLANK($P91), ISBLANK($Q91), ISBLANK($R91))), "No", "Yes")</f>
        <v>No</v>
      </c>
      <c r="T91" s="42" t="str">
        <f aca="false">SUBSTITUTE($U91," ","")</f>
        <v>05508R106</v>
      </c>
      <c r="U91" s="42" t="s">
        <v>163</v>
      </c>
      <c r="V91" s="39" t="n">
        <v>110400</v>
      </c>
    </row>
    <row r="92" customFormat="false" ht="15" hidden="false" customHeight="false" outlineLevel="0" collapsed="false">
      <c r="B92" s="70" t="s">
        <v>165</v>
      </c>
      <c r="C92" s="71" t="str">
        <f aca="false">IFERROR(INDEX('13F Data'!A:A,MATCH($B92,'13F Data'!A:A,0)),"No CUSIP Match")</f>
        <v>No CUSIP Match</v>
      </c>
      <c r="D92" s="71" t="str">
        <f aca="false">IFERROR(IF($B92=$C92,"Yes","No"),"No CUSIP Match")</f>
        <v>No</v>
      </c>
      <c r="E92" s="71"/>
      <c r="F92" s="71" t="str">
        <f aca="false">IFERROR(INDEX('13F Data'!C:C, MATCH($B92,'13F Data'!A:A,0)),"No CUSIP Match")</f>
        <v>No CUSIP Match</v>
      </c>
      <c r="G92" s="72" t="str">
        <f aca="false">IFERROR(INDEX('13F Data'!D:D,MATCH($B92,'13F Data'!A:A,0)),"No CUSIP Match")</f>
        <v>No CUSIP Match</v>
      </c>
      <c r="J92" s="73" t="n">
        <f aca="false">$V92</f>
        <v>76000</v>
      </c>
      <c r="K92" s="71" t="str">
        <f aca="false">IFERROR(INDEX('EOD Data'!G:G, MATCH($A92, 'EOD Data'!B:B,0)), "No TKR Match")</f>
        <v>No TKR Match</v>
      </c>
      <c r="L92" s="71" t="str">
        <f aca="false">IFERROR(ROUND($J92*$K92,0),"Error")</f>
        <v>Error</v>
      </c>
      <c r="M92" s="71" t="str">
        <f aca="false">IFERROR(IF(AND($J92&lt;10000,$L92&lt;200000),"Yes","No"),"Error")</f>
        <v>No</v>
      </c>
      <c r="P92" s="42" t="str">
        <f aca="false">IF($N92="SOLE",$J92,"")</f>
        <v/>
      </c>
      <c r="Q92" s="42" t="str">
        <f aca="false">IFERROR(IF($N92="Sole",0,IF(AND($N92="OTR",$R92=0),$J92-$P92,IF(AND($N92="OTR", $R92&gt;0), $J92-$P92-$Q92, ""))),"")</f>
        <v/>
      </c>
      <c r="R92" s="42" t="str">
        <f aca="false">IF($P92=$J92, "0","")</f>
        <v/>
      </c>
      <c r="S92" s="42" t="str">
        <f aca="false">IF(OR(ISBLANK($B92),ISBLANK($C92), ISBLANK($E92), ISBLANK($F92), AND(ISBLANK($G92),ISBLANK($H92)), ISBLANK($I92), ISBLANK($L92), AND(ISBLANK($N92), ISBLANK($O92)), AND(ISBLANK($P92), ISBLANK($Q92), ISBLANK($R92))), "No", "Yes")</f>
        <v>No</v>
      </c>
      <c r="T92" s="42" t="str">
        <f aca="false">SUBSTITUTE($U92," ","")</f>
        <v>05722G100</v>
      </c>
      <c r="U92" s="42" t="s">
        <v>165</v>
      </c>
      <c r="V92" s="39" t="n">
        <v>76000</v>
      </c>
    </row>
    <row r="93" customFormat="false" ht="15" hidden="false" customHeight="false" outlineLevel="0" collapsed="false">
      <c r="B93" s="70" t="s">
        <v>167</v>
      </c>
      <c r="C93" s="71" t="str">
        <f aca="false">IFERROR(INDEX('13F Data'!A:A,MATCH($B93,'13F Data'!A:A,0)),"No CUSIP Match")</f>
        <v>No CUSIP Match</v>
      </c>
      <c r="D93" s="71" t="str">
        <f aca="false">IFERROR(IF($B93=$C93,"Yes","No"),"No CUSIP Match")</f>
        <v>No</v>
      </c>
      <c r="E93" s="71"/>
      <c r="F93" s="71" t="str">
        <f aca="false">IFERROR(INDEX('13F Data'!C:C, MATCH($B93,'13F Data'!A:A,0)),"No CUSIP Match")</f>
        <v>No CUSIP Match</v>
      </c>
      <c r="G93" s="72" t="str">
        <f aca="false">IFERROR(INDEX('13F Data'!D:D,MATCH($B93,'13F Data'!A:A,0)),"No CUSIP Match")</f>
        <v>No CUSIP Match</v>
      </c>
      <c r="J93" s="73" t="n">
        <f aca="false">$V93</f>
        <v>102550</v>
      </c>
      <c r="K93" s="71" t="str">
        <f aca="false">IFERROR(INDEX('EOD Data'!G:G, MATCH($A93, 'EOD Data'!B:B,0)), "No TKR Match")</f>
        <v>No TKR Match</v>
      </c>
      <c r="L93" s="71" t="str">
        <f aca="false">IFERROR(ROUND($J93*$K93,0),"Error")</f>
        <v>Error</v>
      </c>
      <c r="M93" s="71" t="str">
        <f aca="false">IFERROR(IF(AND($J93&lt;10000,$L93&lt;200000),"Yes","No"),"Error")</f>
        <v>No</v>
      </c>
      <c r="P93" s="42" t="str">
        <f aca="false">IF($N93="SOLE",$J93,"")</f>
        <v/>
      </c>
      <c r="Q93" s="42" t="str">
        <f aca="false">IFERROR(IF($N93="Sole",0,IF(AND($N93="OTR",$R93=0),$J93-$P93,IF(AND($N93="OTR", $R93&gt;0), $J93-$P93-$Q93, ""))),"")</f>
        <v/>
      </c>
      <c r="R93" s="42" t="str">
        <f aca="false">IF($P93=$J93, "0","")</f>
        <v/>
      </c>
      <c r="S93" s="42" t="str">
        <f aca="false">IF(OR(ISBLANK($B93),ISBLANK($C93), ISBLANK($E93), ISBLANK($F93), AND(ISBLANK($G93),ISBLANK($H93)), ISBLANK($I93), ISBLANK($L93), AND(ISBLANK($N93), ISBLANK($O93)), AND(ISBLANK($P93), ISBLANK($Q93), ISBLANK($R93))), "No", "Yes")</f>
        <v>No</v>
      </c>
      <c r="T93" s="42" t="str">
        <f aca="false">SUBSTITUTE($U93," ","")</f>
        <v>05875B106</v>
      </c>
      <c r="U93" s="42" t="s">
        <v>167</v>
      </c>
      <c r="V93" s="39" t="n">
        <v>102550</v>
      </c>
    </row>
    <row r="94" customFormat="false" ht="15" hidden="false" customHeight="false" outlineLevel="0" collapsed="false">
      <c r="B94" s="70" t="s">
        <v>169</v>
      </c>
      <c r="C94" s="71" t="str">
        <f aca="false">IFERROR(INDEX('13F Data'!A:A,MATCH($B94,'13F Data'!A:A,0)),"No CUSIP Match")</f>
        <v>No CUSIP Match</v>
      </c>
      <c r="D94" s="71" t="str">
        <f aca="false">IFERROR(IF($B94=$C94,"Yes","No"),"No CUSIP Match")</f>
        <v>No</v>
      </c>
      <c r="E94" s="71"/>
      <c r="F94" s="71" t="str">
        <f aca="false">IFERROR(INDEX('13F Data'!C:C, MATCH($B94,'13F Data'!A:A,0)),"No CUSIP Match")</f>
        <v>No CUSIP Match</v>
      </c>
      <c r="G94" s="72" t="str">
        <f aca="false">IFERROR(INDEX('13F Data'!D:D,MATCH($B94,'13F Data'!A:A,0)),"No CUSIP Match")</f>
        <v>No CUSIP Match</v>
      </c>
      <c r="J94" s="73" t="n">
        <f aca="false">$V94</f>
        <v>58800</v>
      </c>
      <c r="K94" s="71" t="str">
        <f aca="false">IFERROR(INDEX('EOD Data'!G:G, MATCH($A94, 'EOD Data'!B:B,0)), "No TKR Match")</f>
        <v>No TKR Match</v>
      </c>
      <c r="L94" s="71" t="str">
        <f aca="false">IFERROR(ROUND($J94*$K94,0),"Error")</f>
        <v>Error</v>
      </c>
      <c r="M94" s="71" t="str">
        <f aca="false">IFERROR(IF(AND($J94&lt;10000,$L94&lt;200000),"Yes","No"),"Error")</f>
        <v>No</v>
      </c>
      <c r="P94" s="42" t="str">
        <f aca="false">IF($N94="SOLE",$J94,"")</f>
        <v/>
      </c>
      <c r="Q94" s="42" t="str">
        <f aca="false">IFERROR(IF($N94="Sole",0,IF(AND($N94="OTR",$R94=0),$J94-$P94,IF(AND($N94="OTR", $R94&gt;0), $J94-$P94-$Q94, ""))),"")</f>
        <v/>
      </c>
      <c r="R94" s="42" t="str">
        <f aca="false">IF($P94=$J94, "0","")</f>
        <v/>
      </c>
      <c r="S94" s="42" t="str">
        <f aca="false">IF(OR(ISBLANK($B94),ISBLANK($C94), ISBLANK($E94), ISBLANK($F94), AND(ISBLANK($G94),ISBLANK($H94)), ISBLANK($I94), ISBLANK($L94), AND(ISBLANK($N94), ISBLANK($O94)), AND(ISBLANK($P94), ISBLANK($Q94), ISBLANK($R94))), "No", "Yes")</f>
        <v>No</v>
      </c>
      <c r="T94" s="42" t="str">
        <f aca="false">SUBSTITUTE($U94," ","")</f>
        <v>060505104</v>
      </c>
      <c r="U94" s="42" t="s">
        <v>169</v>
      </c>
      <c r="V94" s="39" t="n">
        <v>58800</v>
      </c>
    </row>
    <row r="95" customFormat="false" ht="15" hidden="false" customHeight="false" outlineLevel="0" collapsed="false">
      <c r="B95" s="70" t="s">
        <v>169</v>
      </c>
      <c r="C95" s="71" t="str">
        <f aca="false">IFERROR(INDEX('13F Data'!A:A,MATCH($B95,'13F Data'!A:A,0)),"No CUSIP Match")</f>
        <v>No CUSIP Match</v>
      </c>
      <c r="D95" s="71" t="str">
        <f aca="false">IFERROR(IF($B95=$C95,"Yes","No"),"No CUSIP Match")</f>
        <v>No</v>
      </c>
      <c r="E95" s="71"/>
      <c r="F95" s="71" t="str">
        <f aca="false">IFERROR(INDEX('13F Data'!C:C, MATCH($B95,'13F Data'!A:A,0)),"No CUSIP Match")</f>
        <v>No CUSIP Match</v>
      </c>
      <c r="G95" s="72" t="str">
        <f aca="false">IFERROR(INDEX('13F Data'!D:D,MATCH($B95,'13F Data'!A:A,0)),"No CUSIP Match")</f>
        <v>No CUSIP Match</v>
      </c>
      <c r="J95" s="73" t="n">
        <f aca="false">$V95</f>
        <v>308800</v>
      </c>
      <c r="K95" s="71" t="str">
        <f aca="false">IFERROR(INDEX('EOD Data'!G:G, MATCH($A95, 'EOD Data'!B:B,0)), "No TKR Match")</f>
        <v>No TKR Match</v>
      </c>
      <c r="L95" s="71" t="str">
        <f aca="false">IFERROR(ROUND($J95*$K95,0),"Error")</f>
        <v>Error</v>
      </c>
      <c r="M95" s="71" t="str">
        <f aca="false">IFERROR(IF(AND($J95&lt;10000,$L95&lt;200000),"Yes","No"),"Error")</f>
        <v>No</v>
      </c>
      <c r="P95" s="42" t="str">
        <f aca="false">IF($N95="SOLE",$J95,"")</f>
        <v/>
      </c>
      <c r="Q95" s="42" t="str">
        <f aca="false">IFERROR(IF($N95="Sole",0,IF(AND($N95="OTR",$R95=0),$J95-$P95,IF(AND($N95="OTR", $R95&gt;0), $J95-$P95-$Q95, ""))),"")</f>
        <v/>
      </c>
      <c r="R95" s="42" t="str">
        <f aca="false">IF($P95=$J95, "0","")</f>
        <v/>
      </c>
      <c r="S95" s="42" t="str">
        <f aca="false">IF(OR(ISBLANK($B95),ISBLANK($C95), ISBLANK($E95), ISBLANK($F95), AND(ISBLANK($G95),ISBLANK($H95)), ISBLANK($I95), ISBLANK($L95), AND(ISBLANK($N95), ISBLANK($O95)), AND(ISBLANK($P95), ISBLANK($Q95), ISBLANK($R95))), "No", "Yes")</f>
        <v>No</v>
      </c>
      <c r="T95" s="42" t="str">
        <f aca="false">SUBSTITUTE($U95," ","")</f>
        <v>060505104</v>
      </c>
      <c r="U95" s="42" t="s">
        <v>169</v>
      </c>
      <c r="V95" s="39" t="n">
        <v>308800</v>
      </c>
    </row>
    <row r="96" customFormat="false" ht="15" hidden="false" customHeight="false" outlineLevel="0" collapsed="false">
      <c r="B96" s="70" t="s">
        <v>171</v>
      </c>
      <c r="C96" s="71" t="str">
        <f aca="false">IFERROR(INDEX('13F Data'!A:A,MATCH($B96,'13F Data'!A:A,0)),"No CUSIP Match")</f>
        <v>No CUSIP Match</v>
      </c>
      <c r="D96" s="71" t="str">
        <f aca="false">IFERROR(IF($B96=$C96,"Yes","No"),"No CUSIP Match")</f>
        <v>No</v>
      </c>
      <c r="E96" s="71"/>
      <c r="F96" s="71" t="str">
        <f aca="false">IFERROR(INDEX('13F Data'!C:C, MATCH($B96,'13F Data'!A:A,0)),"No CUSIP Match")</f>
        <v>No CUSIP Match</v>
      </c>
      <c r="G96" s="72" t="str">
        <f aca="false">IFERROR(INDEX('13F Data'!D:D,MATCH($B96,'13F Data'!A:A,0)),"No CUSIP Match")</f>
        <v>No CUSIP Match</v>
      </c>
      <c r="J96" s="73" t="n">
        <f aca="false">$V96</f>
        <v>365761</v>
      </c>
      <c r="K96" s="71" t="str">
        <f aca="false">IFERROR(INDEX('EOD Data'!G:G, MATCH($A96, 'EOD Data'!B:B,0)), "No TKR Match")</f>
        <v>No TKR Match</v>
      </c>
      <c r="L96" s="71" t="str">
        <f aca="false">IFERROR(ROUND($J96*$K96,0),"Error")</f>
        <v>Error</v>
      </c>
      <c r="M96" s="71" t="str">
        <f aca="false">IFERROR(IF(AND($J96&lt;10000,$L96&lt;200000),"Yes","No"),"Error")</f>
        <v>No</v>
      </c>
      <c r="P96" s="42" t="str">
        <f aca="false">IF($N96="SOLE",$J96,"")</f>
        <v/>
      </c>
      <c r="Q96" s="42" t="str">
        <f aca="false">IFERROR(IF($N96="Sole",0,IF(AND($N96="OTR",$R96=0),$J96-$P96,IF(AND($N96="OTR", $R96&gt;0), $J96-$P96-$Q96, ""))),"")</f>
        <v/>
      </c>
      <c r="R96" s="42" t="str">
        <f aca="false">IF($P96=$J96, "0","")</f>
        <v/>
      </c>
      <c r="S96" s="42" t="str">
        <f aca="false">IF(OR(ISBLANK($B96),ISBLANK($C96), ISBLANK($E96), ISBLANK($F96), AND(ISBLANK($G96),ISBLANK($H96)), ISBLANK($I96), ISBLANK($L96), AND(ISBLANK($N96), ISBLANK($O96)), AND(ISBLANK($P96), ISBLANK($Q96), ISBLANK($R96))), "No", "Yes")</f>
        <v>No</v>
      </c>
      <c r="T96" s="42" t="str">
        <f aca="false">SUBSTITUTE($U96," ","")</f>
        <v>071734107</v>
      </c>
      <c r="U96" s="42" t="s">
        <v>171</v>
      </c>
      <c r="V96" s="39" t="n">
        <v>365761</v>
      </c>
    </row>
    <row r="97" customFormat="false" ht="15" hidden="false" customHeight="false" outlineLevel="0" collapsed="false">
      <c r="B97" s="70" t="s">
        <v>173</v>
      </c>
      <c r="C97" s="71" t="str">
        <f aca="false">IFERROR(INDEX('13F Data'!A:A,MATCH($B97,'13F Data'!A:A,0)),"No CUSIP Match")</f>
        <v>No CUSIP Match</v>
      </c>
      <c r="D97" s="71" t="str">
        <f aca="false">IFERROR(IF($B97=$C97,"Yes","No"),"No CUSIP Match")</f>
        <v>No</v>
      </c>
      <c r="E97" s="71"/>
      <c r="F97" s="71" t="str">
        <f aca="false">IFERROR(INDEX('13F Data'!C:C, MATCH($B97,'13F Data'!A:A,0)),"No CUSIP Match")</f>
        <v>No CUSIP Match</v>
      </c>
      <c r="G97" s="72" t="str">
        <f aca="false">IFERROR(INDEX('13F Data'!D:D,MATCH($B97,'13F Data'!A:A,0)),"No CUSIP Match")</f>
        <v>No CUSIP Match</v>
      </c>
      <c r="J97" s="73" t="n">
        <f aca="false">$V97</f>
        <v>26858</v>
      </c>
      <c r="K97" s="71" t="str">
        <f aca="false">IFERROR(INDEX('EOD Data'!G:G, MATCH($A97, 'EOD Data'!B:B,0)), "No TKR Match")</f>
        <v>No TKR Match</v>
      </c>
      <c r="L97" s="71" t="str">
        <f aca="false">IFERROR(ROUND($J97*$K97,0),"Error")</f>
        <v>Error</v>
      </c>
      <c r="M97" s="71" t="str">
        <f aca="false">IFERROR(IF(AND($J97&lt;10000,$L97&lt;200000),"Yes","No"),"Error")</f>
        <v>No</v>
      </c>
      <c r="P97" s="42" t="str">
        <f aca="false">IF($N97="SOLE",$J97,"")</f>
        <v/>
      </c>
      <c r="Q97" s="42" t="str">
        <f aca="false">IFERROR(IF($N97="Sole",0,IF(AND($N97="OTR",$R97=0),$J97-$P97,IF(AND($N97="OTR", $R97&gt;0), $J97-$P97-$Q97, ""))),"")</f>
        <v/>
      </c>
      <c r="R97" s="42" t="str">
        <f aca="false">IF($P97=$J97, "0","")</f>
        <v/>
      </c>
      <c r="S97" s="42" t="str">
        <f aca="false">IF(OR(ISBLANK($B97),ISBLANK($C97), ISBLANK($E97), ISBLANK($F97), AND(ISBLANK($G97),ISBLANK($H97)), ISBLANK($I97), ISBLANK($L97), AND(ISBLANK($N97), ISBLANK($O97)), AND(ISBLANK($P97), ISBLANK($Q97), ISBLANK($R97))), "No", "Yes")</f>
        <v>No</v>
      </c>
      <c r="T97" s="42" t="str">
        <f aca="false">SUBSTITUTE($U97," ","")</f>
        <v>07831C103</v>
      </c>
      <c r="U97" s="42" t="s">
        <v>173</v>
      </c>
      <c r="V97" s="39" t="n">
        <v>26858</v>
      </c>
    </row>
    <row r="98" customFormat="false" ht="15" hidden="false" customHeight="false" outlineLevel="0" collapsed="false">
      <c r="B98" s="70" t="s">
        <v>175</v>
      </c>
      <c r="C98" s="71" t="str">
        <f aca="false">IFERROR(INDEX('13F Data'!A:A,MATCH($B98,'13F Data'!A:A,0)),"No CUSIP Match")</f>
        <v>No CUSIP Match</v>
      </c>
      <c r="D98" s="71" t="str">
        <f aca="false">IFERROR(IF($B98=$C98,"Yes","No"),"No CUSIP Match")</f>
        <v>No</v>
      </c>
      <c r="E98" s="71"/>
      <c r="F98" s="71" t="str">
        <f aca="false">IFERROR(INDEX('13F Data'!C:C, MATCH($B98,'13F Data'!A:A,0)),"No CUSIP Match")</f>
        <v>No CUSIP Match</v>
      </c>
      <c r="G98" s="72" t="str">
        <f aca="false">IFERROR(INDEX('13F Data'!D:D,MATCH($B98,'13F Data'!A:A,0)),"No CUSIP Match")</f>
        <v>No CUSIP Match</v>
      </c>
      <c r="J98" s="73" t="n">
        <f aca="false">$V98</f>
        <v>29000000</v>
      </c>
      <c r="K98" s="71" t="str">
        <f aca="false">IFERROR(INDEX('EOD Data'!G:G, MATCH($A98, 'EOD Data'!B:B,0)), "No TKR Match")</f>
        <v>No TKR Match</v>
      </c>
      <c r="L98" s="71" t="str">
        <f aca="false">IFERROR(ROUND($J98*$K98,0),"Error")</f>
        <v>Error</v>
      </c>
      <c r="M98" s="71" t="str">
        <f aca="false">IFERROR(IF(AND($J98&lt;10000,$L98&lt;200000),"Yes","No"),"Error")</f>
        <v>No</v>
      </c>
      <c r="P98" s="42" t="str">
        <f aca="false">IF($N98="SOLE",$J98,"")</f>
        <v/>
      </c>
      <c r="Q98" s="42" t="str">
        <f aca="false">IFERROR(IF($N98="Sole",0,IF(AND($N98="OTR",$R98=0),$J98-$P98,IF(AND($N98="OTR", $R98&gt;0), $J98-$P98-$Q98, ""))),"")</f>
        <v/>
      </c>
      <c r="R98" s="42" t="str">
        <f aca="false">IF($P98=$J98, "0","")</f>
        <v/>
      </c>
      <c r="S98" s="42" t="str">
        <f aca="false">IF(OR(ISBLANK($B98),ISBLANK($C98), ISBLANK($E98), ISBLANK($F98), AND(ISBLANK($G98),ISBLANK($H98)), ISBLANK($I98), ISBLANK($L98), AND(ISBLANK($N98), ISBLANK($O98)), AND(ISBLANK($P98), ISBLANK($Q98), ISBLANK($R98))), "No", "Yes")</f>
        <v>No</v>
      </c>
      <c r="T98" s="42" t="str">
        <f aca="false">SUBSTITUTE($U98," ","")</f>
        <v>08265TAD1</v>
      </c>
      <c r="U98" s="42" t="s">
        <v>175</v>
      </c>
      <c r="V98" s="39" t="n">
        <v>29000000</v>
      </c>
    </row>
    <row r="99" customFormat="false" ht="15" hidden="false" customHeight="false" outlineLevel="0" collapsed="false">
      <c r="B99" s="70" t="s">
        <v>177</v>
      </c>
      <c r="C99" s="71" t="str">
        <f aca="false">IFERROR(INDEX('13F Data'!A:A,MATCH($B99,'13F Data'!A:A,0)),"No CUSIP Match")</f>
        <v>No CUSIP Match</v>
      </c>
      <c r="D99" s="71" t="str">
        <f aca="false">IFERROR(IF($B99=$C99,"Yes","No"),"No CUSIP Match")</f>
        <v>No</v>
      </c>
      <c r="E99" s="71"/>
      <c r="F99" s="71" t="str">
        <f aca="false">IFERROR(INDEX('13F Data'!C:C, MATCH($B99,'13F Data'!A:A,0)),"No CUSIP Match")</f>
        <v>No CUSIP Match</v>
      </c>
      <c r="G99" s="72" t="str">
        <f aca="false">IFERROR(INDEX('13F Data'!D:D,MATCH($B99,'13F Data'!A:A,0)),"No CUSIP Match")</f>
        <v>No CUSIP Match</v>
      </c>
      <c r="J99" s="73" t="n">
        <f aca="false">$V99</f>
        <v>7300</v>
      </c>
      <c r="K99" s="71" t="str">
        <f aca="false">IFERROR(INDEX('EOD Data'!G:G, MATCH($A99, 'EOD Data'!B:B,0)), "No TKR Match")</f>
        <v>No TKR Match</v>
      </c>
      <c r="L99" s="71" t="str">
        <f aca="false">IFERROR(ROUND($J99*$K99,0),"Error")</f>
        <v>Error</v>
      </c>
      <c r="M99" s="71" t="str">
        <f aca="false">IFERROR(IF(AND($J99&lt;10000,$L99&lt;200000),"Yes","No"),"Error")</f>
        <v>No</v>
      </c>
      <c r="P99" s="42" t="str">
        <f aca="false">IF($N99="SOLE",$J99,"")</f>
        <v/>
      </c>
      <c r="Q99" s="42" t="str">
        <f aca="false">IFERROR(IF($N99="Sole",0,IF(AND($N99="OTR",$R99=0),$J99-$P99,IF(AND($N99="OTR", $R99&gt;0), $J99-$P99-$Q99, ""))),"")</f>
        <v/>
      </c>
      <c r="R99" s="42" t="str">
        <f aca="false">IF($P99=$J99, "0","")</f>
        <v/>
      </c>
      <c r="S99" s="42" t="str">
        <f aca="false">IF(OR(ISBLANK($B99),ISBLANK($C99), ISBLANK($E99), ISBLANK($F99), AND(ISBLANK($G99),ISBLANK($H99)), ISBLANK($I99), ISBLANK($L99), AND(ISBLANK($N99), ISBLANK($O99)), AND(ISBLANK($P99), ISBLANK($Q99), ISBLANK($R99))), "No", "Yes")</f>
        <v>No</v>
      </c>
      <c r="T99" s="42" t="str">
        <f aca="false">SUBSTITUTE($U99," ","")</f>
        <v>084670702</v>
      </c>
      <c r="U99" s="42" t="s">
        <v>177</v>
      </c>
      <c r="V99" s="39" t="n">
        <v>7300</v>
      </c>
    </row>
    <row r="100" customFormat="false" ht="15" hidden="false" customHeight="false" outlineLevel="0" collapsed="false">
      <c r="B100" s="70" t="s">
        <v>177</v>
      </c>
      <c r="C100" s="71" t="str">
        <f aca="false">IFERROR(INDEX('13F Data'!A:A,MATCH($B100,'13F Data'!A:A,0)),"No CUSIP Match")</f>
        <v>No CUSIP Match</v>
      </c>
      <c r="D100" s="71" t="str">
        <f aca="false">IFERROR(IF($B100=$C100,"Yes","No"),"No CUSIP Match")</f>
        <v>No</v>
      </c>
      <c r="E100" s="71"/>
      <c r="F100" s="71" t="str">
        <f aca="false">IFERROR(INDEX('13F Data'!C:C, MATCH($B100,'13F Data'!A:A,0)),"No CUSIP Match")</f>
        <v>No CUSIP Match</v>
      </c>
      <c r="G100" s="72" t="str">
        <f aca="false">IFERROR(INDEX('13F Data'!D:D,MATCH($B100,'13F Data'!A:A,0)),"No CUSIP Match")</f>
        <v>No CUSIP Match</v>
      </c>
      <c r="J100" s="73" t="n">
        <f aca="false">$V100</f>
        <v>7300</v>
      </c>
      <c r="K100" s="71" t="str">
        <f aca="false">IFERROR(INDEX('EOD Data'!G:G, MATCH($A100, 'EOD Data'!B:B,0)), "No TKR Match")</f>
        <v>No TKR Match</v>
      </c>
      <c r="L100" s="71" t="str">
        <f aca="false">IFERROR(ROUND($J100*$K100,0),"Error")</f>
        <v>Error</v>
      </c>
      <c r="M100" s="71" t="str">
        <f aca="false">IFERROR(IF(AND($J100&lt;10000,$L100&lt;200000),"Yes","No"),"Error")</f>
        <v>No</v>
      </c>
      <c r="P100" s="42" t="str">
        <f aca="false">IF($N100="SOLE",$J100,"")</f>
        <v/>
      </c>
      <c r="Q100" s="42" t="str">
        <f aca="false">IFERROR(IF($N100="Sole",0,IF(AND($N100="OTR",$R100=0),$J100-$P100,IF(AND($N100="OTR", $R100&gt;0), $J100-$P100-$Q100, ""))),"")</f>
        <v/>
      </c>
      <c r="R100" s="42" t="str">
        <f aca="false">IF($P100=$J100, "0","")</f>
        <v/>
      </c>
      <c r="S100" s="42" t="str">
        <f aca="false">IF(OR(ISBLANK($B100),ISBLANK($C100), ISBLANK($E100), ISBLANK($F100), AND(ISBLANK($G100),ISBLANK($H100)), ISBLANK($I100), ISBLANK($L100), AND(ISBLANK($N100), ISBLANK($O100)), AND(ISBLANK($P100), ISBLANK($Q100), ISBLANK($R100))), "No", "Yes")</f>
        <v>No</v>
      </c>
      <c r="T100" s="42" t="str">
        <f aca="false">SUBSTITUTE($U100," ","")</f>
        <v>084670702</v>
      </c>
      <c r="U100" s="42" t="s">
        <v>177</v>
      </c>
      <c r="V100" s="39" t="n">
        <v>7300</v>
      </c>
    </row>
    <row r="101" customFormat="false" ht="15" hidden="false" customHeight="false" outlineLevel="0" collapsed="false">
      <c r="B101" s="70" t="s">
        <v>179</v>
      </c>
      <c r="C101" s="71" t="str">
        <f aca="false">IFERROR(INDEX('13F Data'!A:A,MATCH($B101,'13F Data'!A:A,0)),"No CUSIP Match")</f>
        <v>No CUSIP Match</v>
      </c>
      <c r="D101" s="71" t="str">
        <f aca="false">IFERROR(IF($B101=$C101,"Yes","No"),"No CUSIP Match")</f>
        <v>No</v>
      </c>
      <c r="E101" s="71"/>
      <c r="F101" s="71" t="str">
        <f aca="false">IFERROR(INDEX('13F Data'!C:C, MATCH($B101,'13F Data'!A:A,0)),"No CUSIP Match")</f>
        <v>No CUSIP Match</v>
      </c>
      <c r="G101" s="72" t="str">
        <f aca="false">IFERROR(INDEX('13F Data'!D:D,MATCH($B101,'13F Data'!A:A,0)),"No CUSIP Match")</f>
        <v>No CUSIP Match</v>
      </c>
      <c r="J101" s="73" t="n">
        <f aca="false">$V101</f>
        <v>420</v>
      </c>
      <c r="K101" s="71" t="str">
        <f aca="false">IFERROR(INDEX('EOD Data'!G:G, MATCH($A101, 'EOD Data'!B:B,0)), "No TKR Match")</f>
        <v>No TKR Match</v>
      </c>
      <c r="L101" s="71" t="str">
        <f aca="false">IFERROR(ROUND($J101*$K101,0),"Error")</f>
        <v>Error</v>
      </c>
      <c r="M101" s="71" t="str">
        <f aca="false">IFERROR(IF(AND($J101&lt;10000,$L101&lt;200000),"Yes","No"),"Error")</f>
        <v>No</v>
      </c>
      <c r="P101" s="42" t="str">
        <f aca="false">IF($N101="SOLE",$J101,"")</f>
        <v/>
      </c>
      <c r="Q101" s="42" t="str">
        <f aca="false">IFERROR(IF($N101="Sole",0,IF(AND($N101="OTR",$R101=0),$J101-$P101,IF(AND($N101="OTR", $R101&gt;0), $J101-$P101-$Q101, ""))),"")</f>
        <v/>
      </c>
      <c r="R101" s="42" t="str">
        <f aca="false">IF($P101=$J101, "0","")</f>
        <v/>
      </c>
      <c r="S101" s="42" t="str">
        <f aca="false">IF(OR(ISBLANK($B101),ISBLANK($C101), ISBLANK($E101), ISBLANK($F101), AND(ISBLANK($G101),ISBLANK($H101)), ISBLANK($I101), ISBLANK($L101), AND(ISBLANK($N101), ISBLANK($O101)), AND(ISBLANK($P101), ISBLANK($Q101), ISBLANK($R101))), "No", "Yes")</f>
        <v>No</v>
      </c>
      <c r="T101" s="42" t="str">
        <f aca="false">SUBSTITUTE($U101," ","")</f>
        <v>086516101</v>
      </c>
      <c r="U101" s="42" t="s">
        <v>179</v>
      </c>
      <c r="V101" s="39" t="n">
        <v>420</v>
      </c>
    </row>
    <row r="102" customFormat="false" ht="15" hidden="false" customHeight="false" outlineLevel="0" collapsed="false">
      <c r="B102" s="70" t="s">
        <v>179</v>
      </c>
      <c r="C102" s="71" t="str">
        <f aca="false">IFERROR(INDEX('13F Data'!A:A,MATCH($B102,'13F Data'!A:A,0)),"No CUSIP Match")</f>
        <v>No CUSIP Match</v>
      </c>
      <c r="D102" s="71" t="str">
        <f aca="false">IFERROR(IF($B102=$C102,"Yes","No"),"No CUSIP Match")</f>
        <v>No</v>
      </c>
      <c r="E102" s="71"/>
      <c r="F102" s="71" t="str">
        <f aca="false">IFERROR(INDEX('13F Data'!C:C, MATCH($B102,'13F Data'!A:A,0)),"No CUSIP Match")</f>
        <v>No CUSIP Match</v>
      </c>
      <c r="G102" s="72" t="str">
        <f aca="false">IFERROR(INDEX('13F Data'!D:D,MATCH($B102,'13F Data'!A:A,0)),"No CUSIP Match")</f>
        <v>No CUSIP Match</v>
      </c>
      <c r="J102" s="73" t="n">
        <f aca="false">$V102</f>
        <v>5400</v>
      </c>
      <c r="K102" s="71" t="str">
        <f aca="false">IFERROR(INDEX('EOD Data'!G:G, MATCH($A102, 'EOD Data'!B:B,0)), "No TKR Match")</f>
        <v>No TKR Match</v>
      </c>
      <c r="L102" s="71" t="str">
        <f aca="false">IFERROR(ROUND($J102*$K102,0),"Error")</f>
        <v>Error</v>
      </c>
      <c r="M102" s="71" t="str">
        <f aca="false">IFERROR(IF(AND($J102&lt;10000,$L102&lt;200000),"Yes","No"),"Error")</f>
        <v>No</v>
      </c>
      <c r="P102" s="42" t="str">
        <f aca="false">IF($N102="SOLE",$J102,"")</f>
        <v/>
      </c>
      <c r="Q102" s="42" t="str">
        <f aca="false">IFERROR(IF($N102="Sole",0,IF(AND($N102="OTR",$R102=0),$J102-$P102,IF(AND($N102="OTR", $R102&gt;0), $J102-$P102-$Q102, ""))),"")</f>
        <v/>
      </c>
      <c r="R102" s="42" t="str">
        <f aca="false">IF($P102=$J102, "0","")</f>
        <v/>
      </c>
      <c r="S102" s="42" t="str">
        <f aca="false">IF(OR(ISBLANK($B102),ISBLANK($C102), ISBLANK($E102), ISBLANK($F102), AND(ISBLANK($G102),ISBLANK($H102)), ISBLANK($I102), ISBLANK($L102), AND(ISBLANK($N102), ISBLANK($O102)), AND(ISBLANK($P102), ISBLANK($Q102), ISBLANK($R102))), "No", "Yes")</f>
        <v>No</v>
      </c>
      <c r="T102" s="42" t="str">
        <f aca="false">SUBSTITUTE($U102," ","")</f>
        <v>086516101</v>
      </c>
      <c r="U102" s="42" t="s">
        <v>179</v>
      </c>
      <c r="V102" s="39" t="n">
        <v>5400</v>
      </c>
    </row>
    <row r="103" customFormat="false" ht="15" hidden="false" customHeight="false" outlineLevel="0" collapsed="false">
      <c r="B103" s="70" t="s">
        <v>179</v>
      </c>
      <c r="C103" s="71" t="str">
        <f aca="false">IFERROR(INDEX('13F Data'!A:A,MATCH($B103,'13F Data'!A:A,0)),"No CUSIP Match")</f>
        <v>No CUSIP Match</v>
      </c>
      <c r="D103" s="71" t="str">
        <f aca="false">IFERROR(IF($B103=$C103,"Yes","No"),"No CUSIP Match")</f>
        <v>No</v>
      </c>
      <c r="E103" s="71"/>
      <c r="F103" s="71" t="str">
        <f aca="false">IFERROR(INDEX('13F Data'!C:C, MATCH($B103,'13F Data'!A:A,0)),"No CUSIP Match")</f>
        <v>No CUSIP Match</v>
      </c>
      <c r="G103" s="72" t="str">
        <f aca="false">IFERROR(INDEX('13F Data'!D:D,MATCH($B103,'13F Data'!A:A,0)),"No CUSIP Match")</f>
        <v>No CUSIP Match</v>
      </c>
      <c r="J103" s="73" t="n">
        <f aca="false">$V103</f>
        <v>5400</v>
      </c>
      <c r="K103" s="71" t="str">
        <f aca="false">IFERROR(INDEX('EOD Data'!G:G, MATCH($A103, 'EOD Data'!B:B,0)), "No TKR Match")</f>
        <v>No TKR Match</v>
      </c>
      <c r="L103" s="71" t="str">
        <f aca="false">IFERROR(ROUND($J103*$K103,0),"Error")</f>
        <v>Error</v>
      </c>
      <c r="M103" s="71" t="str">
        <f aca="false">IFERROR(IF(AND($J103&lt;10000,$L103&lt;200000),"Yes","No"),"Error")</f>
        <v>No</v>
      </c>
      <c r="P103" s="42" t="str">
        <f aca="false">IF($N103="SOLE",$J103,"")</f>
        <v/>
      </c>
      <c r="Q103" s="42" t="str">
        <f aca="false">IFERROR(IF($N103="Sole",0,IF(AND($N103="OTR",$R103=0),$J103-$P103,IF(AND($N103="OTR", $R103&gt;0), $J103-$P103-$Q103, ""))),"")</f>
        <v/>
      </c>
      <c r="R103" s="42" t="str">
        <f aca="false">IF($P103=$J103, "0","")</f>
        <v/>
      </c>
      <c r="S103" s="42" t="str">
        <f aca="false">IF(OR(ISBLANK($B103),ISBLANK($C103), ISBLANK($E103), ISBLANK($F103), AND(ISBLANK($G103),ISBLANK($H103)), ISBLANK($I103), ISBLANK($L103), AND(ISBLANK($N103), ISBLANK($O103)), AND(ISBLANK($P103), ISBLANK($Q103), ISBLANK($R103))), "No", "Yes")</f>
        <v>No</v>
      </c>
      <c r="T103" s="42" t="str">
        <f aca="false">SUBSTITUTE($U103," ","")</f>
        <v>086516101</v>
      </c>
      <c r="U103" s="42" t="s">
        <v>179</v>
      </c>
      <c r="V103" s="39" t="n">
        <v>5400</v>
      </c>
    </row>
    <row r="104" customFormat="false" ht="15" hidden="false" customHeight="false" outlineLevel="0" collapsed="false">
      <c r="B104" s="70" t="s">
        <v>181</v>
      </c>
      <c r="C104" s="71" t="str">
        <f aca="false">IFERROR(INDEX('13F Data'!A:A,MATCH($B104,'13F Data'!A:A,0)),"No CUSIP Match")</f>
        <v>No CUSIP Match</v>
      </c>
      <c r="D104" s="71" t="str">
        <f aca="false">IFERROR(IF($B104=$C104,"Yes","No"),"No CUSIP Match")</f>
        <v>No</v>
      </c>
      <c r="E104" s="71"/>
      <c r="F104" s="71" t="str">
        <f aca="false">IFERROR(INDEX('13F Data'!C:C, MATCH($B104,'13F Data'!A:A,0)),"No CUSIP Match")</f>
        <v>No CUSIP Match</v>
      </c>
      <c r="G104" s="72" t="str">
        <f aca="false">IFERROR(INDEX('13F Data'!D:D,MATCH($B104,'13F Data'!A:A,0)),"No CUSIP Match")</f>
        <v>No CUSIP Match</v>
      </c>
      <c r="J104" s="73" t="n">
        <f aca="false">$V104</f>
        <v>58300</v>
      </c>
      <c r="K104" s="71" t="str">
        <f aca="false">IFERROR(INDEX('EOD Data'!G:G, MATCH($A104, 'EOD Data'!B:B,0)), "No TKR Match")</f>
        <v>No TKR Match</v>
      </c>
      <c r="L104" s="71" t="str">
        <f aca="false">IFERROR(ROUND($J104*$K104,0),"Error")</f>
        <v>Error</v>
      </c>
      <c r="M104" s="71" t="str">
        <f aca="false">IFERROR(IF(AND($J104&lt;10000,$L104&lt;200000),"Yes","No"),"Error")</f>
        <v>No</v>
      </c>
      <c r="P104" s="42" t="str">
        <f aca="false">IF($N104="SOLE",$J104,"")</f>
        <v/>
      </c>
      <c r="Q104" s="42" t="str">
        <f aca="false">IFERROR(IF($N104="Sole",0,IF(AND($N104="OTR",$R104=0),$J104-$P104,IF(AND($N104="OTR", $R104&gt;0), $J104-$P104-$Q104, ""))),"")</f>
        <v/>
      </c>
      <c r="R104" s="42" t="str">
        <f aca="false">IF($P104=$J104, "0","")</f>
        <v/>
      </c>
      <c r="S104" s="42" t="str">
        <f aca="false">IF(OR(ISBLANK($B104),ISBLANK($C104), ISBLANK($E104), ISBLANK($F104), AND(ISBLANK($G104),ISBLANK($H104)), ISBLANK($I104), ISBLANK($L104), AND(ISBLANK($N104), ISBLANK($O104)), AND(ISBLANK($P104), ISBLANK($Q104), ISBLANK($R104))), "No", "Yes")</f>
        <v>No</v>
      </c>
      <c r="T104" s="42" t="str">
        <f aca="false">SUBSTITUTE($U104," ","")</f>
        <v>090043100</v>
      </c>
      <c r="U104" s="42" t="s">
        <v>181</v>
      </c>
      <c r="V104" s="39" t="n">
        <v>58300</v>
      </c>
    </row>
    <row r="105" customFormat="false" ht="15" hidden="false" customHeight="false" outlineLevel="0" collapsed="false">
      <c r="B105" s="70" t="s">
        <v>183</v>
      </c>
      <c r="C105" s="71" t="str">
        <f aca="false">IFERROR(INDEX('13F Data'!A:A,MATCH($B105,'13F Data'!A:A,0)),"No CUSIP Match")</f>
        <v>No CUSIP Match</v>
      </c>
      <c r="D105" s="71" t="str">
        <f aca="false">IFERROR(IF($B105=$C105,"Yes","No"),"No CUSIP Match")</f>
        <v>No</v>
      </c>
      <c r="E105" s="71"/>
      <c r="F105" s="71" t="str">
        <f aca="false">IFERROR(INDEX('13F Data'!C:C, MATCH($B105,'13F Data'!A:A,0)),"No CUSIP Match")</f>
        <v>No CUSIP Match</v>
      </c>
      <c r="G105" s="72" t="str">
        <f aca="false">IFERROR(INDEX('13F Data'!D:D,MATCH($B105,'13F Data'!A:A,0)),"No CUSIP Match")</f>
        <v>No CUSIP Match</v>
      </c>
      <c r="J105" s="73" t="n">
        <f aca="false">$V105</f>
        <v>12726</v>
      </c>
      <c r="K105" s="71" t="str">
        <f aca="false">IFERROR(INDEX('EOD Data'!G:G, MATCH($A105, 'EOD Data'!B:B,0)), "No TKR Match")</f>
        <v>No TKR Match</v>
      </c>
      <c r="L105" s="71" t="str">
        <f aca="false">IFERROR(ROUND($J105*$K105,0),"Error")</f>
        <v>Error</v>
      </c>
      <c r="M105" s="71" t="str">
        <f aca="false">IFERROR(IF(AND($J105&lt;10000,$L105&lt;200000),"Yes","No"),"Error")</f>
        <v>No</v>
      </c>
      <c r="P105" s="42" t="str">
        <f aca="false">IF($N105="SOLE",$J105,"")</f>
        <v/>
      </c>
      <c r="Q105" s="42" t="str">
        <f aca="false">IFERROR(IF($N105="Sole",0,IF(AND($N105="OTR",$R105=0),$J105-$P105,IF(AND($N105="OTR", $R105&gt;0), $J105-$P105-$Q105, ""))),"")</f>
        <v/>
      </c>
      <c r="R105" s="42" t="str">
        <f aca="false">IF($P105=$J105, "0","")</f>
        <v/>
      </c>
      <c r="S105" s="42" t="str">
        <f aca="false">IF(OR(ISBLANK($B105),ISBLANK($C105), ISBLANK($E105), ISBLANK($F105), AND(ISBLANK($G105),ISBLANK($H105)), ISBLANK($I105), ISBLANK($L105), AND(ISBLANK($N105), ISBLANK($O105)), AND(ISBLANK($P105), ISBLANK($Q105), ISBLANK($R105))), "No", "Yes")</f>
        <v>No</v>
      </c>
      <c r="T105" s="42" t="str">
        <f aca="false">SUBSTITUTE($U105," ","")</f>
        <v>09061G101</v>
      </c>
      <c r="U105" s="42" t="s">
        <v>183</v>
      </c>
      <c r="V105" s="39" t="n">
        <v>12726</v>
      </c>
    </row>
    <row r="106" customFormat="false" ht="15" hidden="false" customHeight="false" outlineLevel="0" collapsed="false">
      <c r="B106" s="70" t="s">
        <v>185</v>
      </c>
      <c r="C106" s="71" t="str">
        <f aca="false">IFERROR(INDEX('13F Data'!A:A,MATCH($B106,'13F Data'!A:A,0)),"No CUSIP Match")</f>
        <v>No CUSIP Match</v>
      </c>
      <c r="D106" s="71" t="str">
        <f aca="false">IFERROR(IF($B106=$C106,"Yes","No"),"No CUSIP Match")</f>
        <v>No</v>
      </c>
      <c r="E106" s="71"/>
      <c r="F106" s="71" t="str">
        <f aca="false">IFERROR(INDEX('13F Data'!C:C, MATCH($B106,'13F Data'!A:A,0)),"No CUSIP Match")</f>
        <v>No CUSIP Match</v>
      </c>
      <c r="G106" s="72" t="str">
        <f aca="false">IFERROR(INDEX('13F Data'!D:D,MATCH($B106,'13F Data'!A:A,0)),"No CUSIP Match")</f>
        <v>No CUSIP Match</v>
      </c>
      <c r="J106" s="73" t="n">
        <f aca="false">$V106</f>
        <v>18000000</v>
      </c>
      <c r="K106" s="71" t="str">
        <f aca="false">IFERROR(INDEX('EOD Data'!G:G, MATCH($A106, 'EOD Data'!B:B,0)), "No TKR Match")</f>
        <v>No TKR Match</v>
      </c>
      <c r="L106" s="71" t="str">
        <f aca="false">IFERROR(ROUND($J106*$K106,0),"Error")</f>
        <v>Error</v>
      </c>
      <c r="M106" s="71" t="str">
        <f aca="false">IFERROR(IF(AND($J106&lt;10000,$L106&lt;200000),"Yes","No"),"Error")</f>
        <v>No</v>
      </c>
      <c r="P106" s="42" t="str">
        <f aca="false">IF($N106="SOLE",$J106,"")</f>
        <v/>
      </c>
      <c r="Q106" s="42" t="str">
        <f aca="false">IFERROR(IF($N106="Sole",0,IF(AND($N106="OTR",$R106=0),$J106-$P106,IF(AND($N106="OTR", $R106&gt;0), $J106-$P106-$Q106, ""))),"")</f>
        <v/>
      </c>
      <c r="R106" s="42" t="str">
        <f aca="false">IF($P106=$J106, "0","")</f>
        <v/>
      </c>
      <c r="S106" s="42" t="str">
        <f aca="false">IF(OR(ISBLANK($B106),ISBLANK($C106), ISBLANK($E106), ISBLANK($F106), AND(ISBLANK($G106),ISBLANK($H106)), ISBLANK($I106), ISBLANK($L106), AND(ISBLANK($N106), ISBLANK($O106)), AND(ISBLANK($P106), ISBLANK($Q106), ISBLANK($R106))), "No", "Yes")</f>
        <v>No</v>
      </c>
      <c r="T106" s="42" t="str">
        <f aca="false">SUBSTITUTE($U106," ","")</f>
        <v>09239BAD1</v>
      </c>
      <c r="U106" s="42" t="s">
        <v>185</v>
      </c>
      <c r="V106" s="39" t="n">
        <v>18000000</v>
      </c>
    </row>
    <row r="107" customFormat="false" ht="15" hidden="false" customHeight="false" outlineLevel="0" collapsed="false">
      <c r="B107" s="70" t="s">
        <v>186</v>
      </c>
      <c r="C107" s="71" t="str">
        <f aca="false">IFERROR(INDEX('13F Data'!A:A,MATCH($B107,'13F Data'!A:A,0)),"No CUSIP Match")</f>
        <v>No CUSIP Match</v>
      </c>
      <c r="D107" s="71" t="str">
        <f aca="false">IFERROR(IF($B107=$C107,"Yes","No"),"No CUSIP Match")</f>
        <v>No</v>
      </c>
      <c r="E107" s="71"/>
      <c r="F107" s="71" t="str">
        <f aca="false">IFERROR(INDEX('13F Data'!C:C, MATCH($B107,'13F Data'!A:A,0)),"No CUSIP Match")</f>
        <v>No CUSIP Match</v>
      </c>
      <c r="G107" s="72" t="str">
        <f aca="false">IFERROR(INDEX('13F Data'!D:D,MATCH($B107,'13F Data'!A:A,0)),"No CUSIP Match")</f>
        <v>No CUSIP Match</v>
      </c>
      <c r="J107" s="73" t="n">
        <f aca="false">$V107</f>
        <v>218449</v>
      </c>
      <c r="K107" s="71" t="str">
        <f aca="false">IFERROR(INDEX('EOD Data'!G:G, MATCH($A107, 'EOD Data'!B:B,0)), "No TKR Match")</f>
        <v>No TKR Match</v>
      </c>
      <c r="L107" s="71" t="str">
        <f aca="false">IFERROR(ROUND($J107*$K107,0),"Error")</f>
        <v>Error</v>
      </c>
      <c r="M107" s="71" t="str">
        <f aca="false">IFERROR(IF(AND($J107&lt;10000,$L107&lt;200000),"Yes","No"),"Error")</f>
        <v>No</v>
      </c>
      <c r="P107" s="42" t="str">
        <f aca="false">IF($N107="SOLE",$J107,"")</f>
        <v/>
      </c>
      <c r="Q107" s="42" t="str">
        <f aca="false">IFERROR(IF($N107="Sole",0,IF(AND($N107="OTR",$R107=0),$J107-$P107,IF(AND($N107="OTR", $R107&gt;0), $J107-$P107-$Q107, ""))),"")</f>
        <v/>
      </c>
      <c r="R107" s="42" t="str">
        <f aca="false">IF($P107=$J107, "0","")</f>
        <v/>
      </c>
      <c r="S107" s="42" t="str">
        <f aca="false">IF(OR(ISBLANK($B107),ISBLANK($C107), ISBLANK($E107), ISBLANK($F107), AND(ISBLANK($G107),ISBLANK($H107)), ISBLANK($I107), ISBLANK($L107), AND(ISBLANK($N107), ISBLANK($O107)), AND(ISBLANK($P107), ISBLANK($Q107), ISBLANK($R107))), "No", "Yes")</f>
        <v>No</v>
      </c>
      <c r="T107" s="42" t="str">
        <f aca="false">SUBSTITUTE($U107," ","")</f>
        <v>09239B109</v>
      </c>
      <c r="U107" s="42" t="s">
        <v>186</v>
      </c>
      <c r="V107" s="39" t="n">
        <v>218449</v>
      </c>
    </row>
    <row r="108" customFormat="false" ht="15" hidden="false" customHeight="false" outlineLevel="0" collapsed="false">
      <c r="B108" s="70" t="s">
        <v>188</v>
      </c>
      <c r="C108" s="71" t="str">
        <f aca="false">IFERROR(INDEX('13F Data'!A:A,MATCH($B108,'13F Data'!A:A,0)),"No CUSIP Match")</f>
        <v>No CUSIP Match</v>
      </c>
      <c r="D108" s="71" t="str">
        <f aca="false">IFERROR(IF($B108=$C108,"Yes","No"),"No CUSIP Match")</f>
        <v>No</v>
      </c>
      <c r="E108" s="71"/>
      <c r="F108" s="71" t="str">
        <f aca="false">IFERROR(INDEX('13F Data'!C:C, MATCH($B108,'13F Data'!A:A,0)),"No CUSIP Match")</f>
        <v>No CUSIP Match</v>
      </c>
      <c r="G108" s="72" t="str">
        <f aca="false">IFERROR(INDEX('13F Data'!D:D,MATCH($B108,'13F Data'!A:A,0)),"No CUSIP Match")</f>
        <v>No CUSIP Match</v>
      </c>
      <c r="J108" s="73" t="n">
        <f aca="false">$V108</f>
        <v>100</v>
      </c>
      <c r="K108" s="71" t="str">
        <f aca="false">IFERROR(INDEX('EOD Data'!G:G, MATCH($A108, 'EOD Data'!B:B,0)), "No TKR Match")</f>
        <v>No TKR Match</v>
      </c>
      <c r="L108" s="71" t="str">
        <f aca="false">IFERROR(ROUND($J108*$K108,0),"Error")</f>
        <v>Error</v>
      </c>
      <c r="M108" s="71" t="str">
        <f aca="false">IFERROR(IF(AND($J108&lt;10000,$L108&lt;200000),"Yes","No"),"Error")</f>
        <v>No</v>
      </c>
      <c r="P108" s="42" t="str">
        <f aca="false">IF($N108="SOLE",$J108,"")</f>
        <v/>
      </c>
      <c r="Q108" s="42" t="str">
        <f aca="false">IFERROR(IF($N108="Sole",0,IF(AND($N108="OTR",$R108=0),$J108-$P108,IF(AND($N108="OTR", $R108&gt;0), $J108-$P108-$Q108, ""))),"")</f>
        <v/>
      </c>
      <c r="R108" s="42" t="str">
        <f aca="false">IF($P108=$J108, "0","")</f>
        <v/>
      </c>
      <c r="S108" s="42" t="str">
        <f aca="false">IF(OR(ISBLANK($B108),ISBLANK($C108), ISBLANK($E108), ISBLANK($F108), AND(ISBLANK($G108),ISBLANK($H108)), ISBLANK($I108), ISBLANK($L108), AND(ISBLANK($N108), ISBLANK($O108)), AND(ISBLANK($P108), ISBLANK($Q108), ISBLANK($R108))), "No", "Yes")</f>
        <v>No</v>
      </c>
      <c r="T108" s="42" t="str">
        <f aca="false">SUBSTITUTE($U108," ","")</f>
        <v>09247X101</v>
      </c>
      <c r="U108" s="42" t="s">
        <v>188</v>
      </c>
      <c r="V108" s="39" t="n">
        <v>100</v>
      </c>
    </row>
    <row r="109" customFormat="false" ht="15" hidden="false" customHeight="false" outlineLevel="0" collapsed="false">
      <c r="B109" s="70" t="s">
        <v>188</v>
      </c>
      <c r="C109" s="71" t="str">
        <f aca="false">IFERROR(INDEX('13F Data'!A:A,MATCH($B109,'13F Data'!A:A,0)),"No CUSIP Match")</f>
        <v>No CUSIP Match</v>
      </c>
      <c r="D109" s="71" t="str">
        <f aca="false">IFERROR(IF($B109=$C109,"Yes","No"),"No CUSIP Match")</f>
        <v>No</v>
      </c>
      <c r="E109" s="71"/>
      <c r="F109" s="71" t="str">
        <f aca="false">IFERROR(INDEX('13F Data'!C:C, MATCH($B109,'13F Data'!A:A,0)),"No CUSIP Match")</f>
        <v>No CUSIP Match</v>
      </c>
      <c r="G109" s="72" t="str">
        <f aca="false">IFERROR(INDEX('13F Data'!D:D,MATCH($B109,'13F Data'!A:A,0)),"No CUSIP Match")</f>
        <v>No CUSIP Match</v>
      </c>
      <c r="J109" s="73" t="n">
        <f aca="false">$V109</f>
        <v>100</v>
      </c>
      <c r="K109" s="71" t="str">
        <f aca="false">IFERROR(INDEX('EOD Data'!G:G, MATCH($A109, 'EOD Data'!B:B,0)), "No TKR Match")</f>
        <v>No TKR Match</v>
      </c>
      <c r="L109" s="71" t="str">
        <f aca="false">IFERROR(ROUND($J109*$K109,0),"Error")</f>
        <v>Error</v>
      </c>
      <c r="M109" s="71" t="str">
        <f aca="false">IFERROR(IF(AND($J109&lt;10000,$L109&lt;200000),"Yes","No"),"Error")</f>
        <v>No</v>
      </c>
      <c r="P109" s="42" t="str">
        <f aca="false">IF($N109="SOLE",$J109,"")</f>
        <v/>
      </c>
      <c r="Q109" s="42" t="str">
        <f aca="false">IFERROR(IF($N109="Sole",0,IF(AND($N109="OTR",$R109=0),$J109-$P109,IF(AND($N109="OTR", $R109&gt;0), $J109-$P109-$Q109, ""))),"")</f>
        <v/>
      </c>
      <c r="R109" s="42" t="str">
        <f aca="false">IF($P109=$J109, "0","")</f>
        <v/>
      </c>
      <c r="S109" s="42" t="str">
        <f aca="false">IF(OR(ISBLANK($B109),ISBLANK($C109), ISBLANK($E109), ISBLANK($F109), AND(ISBLANK($G109),ISBLANK($H109)), ISBLANK($I109), ISBLANK($L109), AND(ISBLANK($N109), ISBLANK($O109)), AND(ISBLANK($P109), ISBLANK($Q109), ISBLANK($R109))), "No", "Yes")</f>
        <v>No</v>
      </c>
      <c r="T109" s="42" t="str">
        <f aca="false">SUBSTITUTE($U109," ","")</f>
        <v>09247X101</v>
      </c>
      <c r="U109" s="42" t="s">
        <v>188</v>
      </c>
      <c r="V109" s="39" t="n">
        <v>100</v>
      </c>
    </row>
    <row r="110" customFormat="false" ht="15" hidden="false" customHeight="false" outlineLevel="0" collapsed="false">
      <c r="B110" s="70" t="s">
        <v>190</v>
      </c>
      <c r="C110" s="71" t="str">
        <f aca="false">IFERROR(INDEX('13F Data'!A:A,MATCH($B110,'13F Data'!A:A,0)),"No CUSIP Match")</f>
        <v>No CUSIP Match</v>
      </c>
      <c r="D110" s="71" t="str">
        <f aca="false">IFERROR(IF($B110=$C110,"Yes","No"),"No CUSIP Match")</f>
        <v>No</v>
      </c>
      <c r="E110" s="71"/>
      <c r="F110" s="71" t="str">
        <f aca="false">IFERROR(INDEX('13F Data'!C:C, MATCH($B110,'13F Data'!A:A,0)),"No CUSIP Match")</f>
        <v>No CUSIP Match</v>
      </c>
      <c r="G110" s="72" t="str">
        <f aca="false">IFERROR(INDEX('13F Data'!D:D,MATCH($B110,'13F Data'!A:A,0)),"No CUSIP Match")</f>
        <v>No CUSIP Match</v>
      </c>
      <c r="J110" s="73" t="n">
        <f aca="false">$V110</f>
        <v>35300</v>
      </c>
      <c r="K110" s="71" t="str">
        <f aca="false">IFERROR(INDEX('EOD Data'!G:G, MATCH($A110, 'EOD Data'!B:B,0)), "No TKR Match")</f>
        <v>No TKR Match</v>
      </c>
      <c r="L110" s="71" t="str">
        <f aca="false">IFERROR(ROUND($J110*$K110,0),"Error")</f>
        <v>Error</v>
      </c>
      <c r="M110" s="71" t="str">
        <f aca="false">IFERROR(IF(AND($J110&lt;10000,$L110&lt;200000),"Yes","No"),"Error")</f>
        <v>No</v>
      </c>
      <c r="P110" s="42" t="str">
        <f aca="false">IF($N110="SOLE",$J110,"")</f>
        <v/>
      </c>
      <c r="Q110" s="42" t="str">
        <f aca="false">IFERROR(IF($N110="Sole",0,IF(AND($N110="OTR",$R110=0),$J110-$P110,IF(AND($N110="OTR", $R110&gt;0), $J110-$P110-$Q110, ""))),"")</f>
        <v/>
      </c>
      <c r="R110" s="42" t="str">
        <f aca="false">IF($P110=$J110, "0","")</f>
        <v/>
      </c>
      <c r="S110" s="42" t="str">
        <f aca="false">IF(OR(ISBLANK($B110),ISBLANK($C110), ISBLANK($E110), ISBLANK($F110), AND(ISBLANK($G110),ISBLANK($H110)), ISBLANK($I110), ISBLANK($L110), AND(ISBLANK($N110), ISBLANK($O110)), AND(ISBLANK($P110), ISBLANK($Q110), ISBLANK($R110))), "No", "Yes")</f>
        <v>No</v>
      </c>
      <c r="T110" s="42" t="str">
        <f aca="false">SUBSTITUTE($U110," ","")</f>
        <v>09260D107</v>
      </c>
      <c r="U110" s="42" t="s">
        <v>190</v>
      </c>
      <c r="V110" s="39" t="n">
        <v>35300</v>
      </c>
    </row>
    <row r="111" customFormat="false" ht="15" hidden="false" customHeight="false" outlineLevel="0" collapsed="false">
      <c r="B111" s="70" t="s">
        <v>190</v>
      </c>
      <c r="C111" s="71" t="str">
        <f aca="false">IFERROR(INDEX('13F Data'!A:A,MATCH($B111,'13F Data'!A:A,0)),"No CUSIP Match")</f>
        <v>No CUSIP Match</v>
      </c>
      <c r="D111" s="71" t="str">
        <f aca="false">IFERROR(IF($B111=$C111,"Yes","No"),"No CUSIP Match")</f>
        <v>No</v>
      </c>
      <c r="E111" s="71"/>
      <c r="F111" s="71" t="str">
        <f aca="false">IFERROR(INDEX('13F Data'!C:C, MATCH($B111,'13F Data'!A:A,0)),"No CUSIP Match")</f>
        <v>No CUSIP Match</v>
      </c>
      <c r="G111" s="72" t="str">
        <f aca="false">IFERROR(INDEX('13F Data'!D:D,MATCH($B111,'13F Data'!A:A,0)),"No CUSIP Match")</f>
        <v>No CUSIP Match</v>
      </c>
      <c r="J111" s="73" t="n">
        <f aca="false">$V111</f>
        <v>35300</v>
      </c>
      <c r="K111" s="71" t="str">
        <f aca="false">IFERROR(INDEX('EOD Data'!G:G, MATCH($A111, 'EOD Data'!B:B,0)), "No TKR Match")</f>
        <v>No TKR Match</v>
      </c>
      <c r="L111" s="71" t="str">
        <f aca="false">IFERROR(ROUND($J111*$K111,0),"Error")</f>
        <v>Error</v>
      </c>
      <c r="M111" s="71" t="str">
        <f aca="false">IFERROR(IF(AND($J111&lt;10000,$L111&lt;200000),"Yes","No"),"Error")</f>
        <v>No</v>
      </c>
      <c r="P111" s="42" t="str">
        <f aca="false">IF($N111="SOLE",$J111,"")</f>
        <v/>
      </c>
      <c r="Q111" s="42" t="str">
        <f aca="false">IFERROR(IF($N111="Sole",0,IF(AND($N111="OTR",$R111=0),$J111-$P111,IF(AND($N111="OTR", $R111&gt;0), $J111-$P111-$Q111, ""))),"")</f>
        <v/>
      </c>
      <c r="R111" s="42" t="str">
        <f aca="false">IF($P111=$J111, "0","")</f>
        <v/>
      </c>
      <c r="S111" s="42" t="str">
        <f aca="false">IF(OR(ISBLANK($B111),ISBLANK($C111), ISBLANK($E111), ISBLANK($F111), AND(ISBLANK($G111),ISBLANK($H111)), ISBLANK($I111), ISBLANK($L111), AND(ISBLANK($N111), ISBLANK($O111)), AND(ISBLANK($P111), ISBLANK($Q111), ISBLANK($R111))), "No", "Yes")</f>
        <v>No</v>
      </c>
      <c r="T111" s="42" t="str">
        <f aca="false">SUBSTITUTE($U111," ","")</f>
        <v>09260D107</v>
      </c>
      <c r="U111" s="42" t="s">
        <v>190</v>
      </c>
      <c r="V111" s="39" t="n">
        <v>35300</v>
      </c>
    </row>
    <row r="112" customFormat="false" ht="15" hidden="false" customHeight="false" outlineLevel="0" collapsed="false">
      <c r="B112" s="70" t="s">
        <v>192</v>
      </c>
      <c r="C112" s="71" t="str">
        <f aca="false">IFERROR(INDEX('13F Data'!A:A,MATCH($B112,'13F Data'!A:A,0)),"No CUSIP Match")</f>
        <v>No CUSIP Match</v>
      </c>
      <c r="D112" s="71" t="str">
        <f aca="false">IFERROR(IF($B112=$C112,"Yes","No"),"No CUSIP Match")</f>
        <v>No</v>
      </c>
      <c r="E112" s="71"/>
      <c r="F112" s="71" t="str">
        <f aca="false">IFERROR(INDEX('13F Data'!C:C, MATCH($B112,'13F Data'!A:A,0)),"No CUSIP Match")</f>
        <v>No CUSIP Match</v>
      </c>
      <c r="G112" s="72" t="str">
        <f aca="false">IFERROR(INDEX('13F Data'!D:D,MATCH($B112,'13F Data'!A:A,0)),"No CUSIP Match")</f>
        <v>No CUSIP Match</v>
      </c>
      <c r="J112" s="73" t="n">
        <f aca="false">$V112</f>
        <v>40028</v>
      </c>
      <c r="K112" s="71" t="str">
        <f aca="false">IFERROR(INDEX('EOD Data'!G:G, MATCH($A112, 'EOD Data'!B:B,0)), "No TKR Match")</f>
        <v>No TKR Match</v>
      </c>
      <c r="L112" s="71" t="str">
        <f aca="false">IFERROR(ROUND($J112*$K112,0),"Error")</f>
        <v>Error</v>
      </c>
      <c r="M112" s="71" t="str">
        <f aca="false">IFERROR(IF(AND($J112&lt;10000,$L112&lt;200000),"Yes","No"),"Error")</f>
        <v>No</v>
      </c>
      <c r="P112" s="42" t="str">
        <f aca="false">IF($N112="SOLE",$J112,"")</f>
        <v/>
      </c>
      <c r="Q112" s="42" t="str">
        <f aca="false">IFERROR(IF($N112="Sole",0,IF(AND($N112="OTR",$R112=0),$J112-$P112,IF(AND($N112="OTR", $R112&gt;0), $J112-$P112-$Q112, ""))),"")</f>
        <v/>
      </c>
      <c r="R112" s="42" t="str">
        <f aca="false">IF($P112=$J112, "0","")</f>
        <v/>
      </c>
      <c r="S112" s="42" t="str">
        <f aca="false">IF(OR(ISBLANK($B112),ISBLANK($C112), ISBLANK($E112), ISBLANK($F112), AND(ISBLANK($G112),ISBLANK($H112)), ISBLANK($I112), ISBLANK($L112), AND(ISBLANK($N112), ISBLANK($O112)), AND(ISBLANK($P112), ISBLANK($Q112), ISBLANK($R112))), "No", "Yes")</f>
        <v>No</v>
      </c>
      <c r="T112" s="42" t="str">
        <f aca="false">SUBSTITUTE($U112," ","")</f>
        <v>09627Y109</v>
      </c>
      <c r="U112" s="42" t="s">
        <v>192</v>
      </c>
      <c r="V112" s="39" t="n">
        <v>40028</v>
      </c>
    </row>
    <row r="113" customFormat="false" ht="15" hidden="false" customHeight="false" outlineLevel="0" collapsed="false">
      <c r="B113" s="70" t="s">
        <v>194</v>
      </c>
      <c r="C113" s="71" t="str">
        <f aca="false">IFERROR(INDEX('13F Data'!A:A,MATCH($B113,'13F Data'!A:A,0)),"No CUSIP Match")</f>
        <v>No CUSIP Match</v>
      </c>
      <c r="D113" s="71" t="str">
        <f aca="false">IFERROR(IF($B113=$C113,"Yes","No"),"No CUSIP Match")</f>
        <v>No</v>
      </c>
      <c r="E113" s="71"/>
      <c r="F113" s="71" t="str">
        <f aca="false">IFERROR(INDEX('13F Data'!C:C, MATCH($B113,'13F Data'!A:A,0)),"No CUSIP Match")</f>
        <v>No CUSIP Match</v>
      </c>
      <c r="G113" s="72" t="str">
        <f aca="false">IFERROR(INDEX('13F Data'!D:D,MATCH($B113,'13F Data'!A:A,0)),"No CUSIP Match")</f>
        <v>No CUSIP Match</v>
      </c>
      <c r="J113" s="73" t="n">
        <f aca="false">$V113</f>
        <v>600</v>
      </c>
      <c r="K113" s="71" t="str">
        <f aca="false">IFERROR(INDEX('EOD Data'!G:G, MATCH($A113, 'EOD Data'!B:B,0)), "No TKR Match")</f>
        <v>No TKR Match</v>
      </c>
      <c r="L113" s="71" t="str">
        <f aca="false">IFERROR(ROUND($J113*$K113,0),"Error")</f>
        <v>Error</v>
      </c>
      <c r="M113" s="71" t="str">
        <f aca="false">IFERROR(IF(AND($J113&lt;10000,$L113&lt;200000),"Yes","No"),"Error")</f>
        <v>No</v>
      </c>
      <c r="P113" s="42" t="str">
        <f aca="false">IF($N113="SOLE",$J113,"")</f>
        <v/>
      </c>
      <c r="Q113" s="42" t="str">
        <f aca="false">IFERROR(IF($N113="Sole",0,IF(AND($N113="OTR",$R113=0),$J113-$P113,IF(AND($N113="OTR", $R113&gt;0), $J113-$P113-$Q113, ""))),"")</f>
        <v/>
      </c>
      <c r="R113" s="42" t="str">
        <f aca="false">IF($P113=$J113, "0","")</f>
        <v/>
      </c>
      <c r="S113" s="42" t="str">
        <f aca="false">IF(OR(ISBLANK($B113),ISBLANK($C113), ISBLANK($E113), ISBLANK($F113), AND(ISBLANK($G113),ISBLANK($H113)), ISBLANK($I113), ISBLANK($L113), AND(ISBLANK($N113), ISBLANK($O113)), AND(ISBLANK($P113), ISBLANK($Q113), ISBLANK($R113))), "No", "Yes")</f>
        <v>No</v>
      </c>
      <c r="T113" s="42" t="str">
        <f aca="false">SUBSTITUTE($U113," ","")</f>
        <v>097023105</v>
      </c>
      <c r="U113" s="42" t="s">
        <v>194</v>
      </c>
      <c r="V113" s="39" t="n">
        <v>600</v>
      </c>
    </row>
    <row r="114" customFormat="false" ht="15" hidden="false" customHeight="false" outlineLevel="0" collapsed="false">
      <c r="B114" s="70" t="s">
        <v>194</v>
      </c>
      <c r="C114" s="71" t="str">
        <f aca="false">IFERROR(INDEX('13F Data'!A:A,MATCH($B114,'13F Data'!A:A,0)),"No CUSIP Match")</f>
        <v>No CUSIP Match</v>
      </c>
      <c r="D114" s="71" t="str">
        <f aca="false">IFERROR(IF($B114=$C114,"Yes","No"),"No CUSIP Match")</f>
        <v>No</v>
      </c>
      <c r="E114" s="71"/>
      <c r="F114" s="71" t="str">
        <f aca="false">IFERROR(INDEX('13F Data'!C:C, MATCH($B114,'13F Data'!A:A,0)),"No CUSIP Match")</f>
        <v>No CUSIP Match</v>
      </c>
      <c r="G114" s="72" t="str">
        <f aca="false">IFERROR(INDEX('13F Data'!D:D,MATCH($B114,'13F Data'!A:A,0)),"No CUSIP Match")</f>
        <v>No CUSIP Match</v>
      </c>
      <c r="J114" s="73" t="n">
        <f aca="false">$V114</f>
        <v>600</v>
      </c>
      <c r="K114" s="71" t="str">
        <f aca="false">IFERROR(INDEX('EOD Data'!G:G, MATCH($A114, 'EOD Data'!B:B,0)), "No TKR Match")</f>
        <v>No TKR Match</v>
      </c>
      <c r="L114" s="71" t="str">
        <f aca="false">IFERROR(ROUND($J114*$K114,0),"Error")</f>
        <v>Error</v>
      </c>
      <c r="M114" s="71" t="str">
        <f aca="false">IFERROR(IF(AND($J114&lt;10000,$L114&lt;200000),"Yes","No"),"Error")</f>
        <v>No</v>
      </c>
      <c r="P114" s="42" t="str">
        <f aca="false">IF($N114="SOLE",$J114,"")</f>
        <v/>
      </c>
      <c r="Q114" s="42" t="str">
        <f aca="false">IFERROR(IF($N114="Sole",0,IF(AND($N114="OTR",$R114=0),$J114-$P114,IF(AND($N114="OTR", $R114&gt;0), $J114-$P114-$Q114, ""))),"")</f>
        <v/>
      </c>
      <c r="R114" s="42" t="str">
        <f aca="false">IF($P114=$J114, "0","")</f>
        <v/>
      </c>
      <c r="S114" s="42" t="str">
        <f aca="false">IF(OR(ISBLANK($B114),ISBLANK($C114), ISBLANK($E114), ISBLANK($F114), AND(ISBLANK($G114),ISBLANK($H114)), ISBLANK($I114), ISBLANK($L114), AND(ISBLANK($N114), ISBLANK($O114)), AND(ISBLANK($P114), ISBLANK($Q114), ISBLANK($R114))), "No", "Yes")</f>
        <v>No</v>
      </c>
      <c r="T114" s="42" t="str">
        <f aca="false">SUBSTITUTE($U114," ","")</f>
        <v>097023105</v>
      </c>
      <c r="U114" s="42" t="s">
        <v>194</v>
      </c>
      <c r="V114" s="39" t="n">
        <v>600</v>
      </c>
    </row>
    <row r="115" customFormat="false" ht="15" hidden="false" customHeight="false" outlineLevel="0" collapsed="false">
      <c r="B115" s="70" t="s">
        <v>196</v>
      </c>
      <c r="C115" s="71" t="str">
        <f aca="false">IFERROR(INDEX('13F Data'!A:A,MATCH($B115,'13F Data'!A:A,0)),"No CUSIP Match")</f>
        <v>No CUSIP Match</v>
      </c>
      <c r="D115" s="71" t="str">
        <f aca="false">IFERROR(IF($B115=$C115,"Yes","No"),"No CUSIP Match")</f>
        <v>No</v>
      </c>
      <c r="E115" s="71"/>
      <c r="F115" s="71" t="str">
        <f aca="false">IFERROR(INDEX('13F Data'!C:C, MATCH($B115,'13F Data'!A:A,0)),"No CUSIP Match")</f>
        <v>No CUSIP Match</v>
      </c>
      <c r="G115" s="72" t="str">
        <f aca="false">IFERROR(INDEX('13F Data'!D:D,MATCH($B115,'13F Data'!A:A,0)),"No CUSIP Match")</f>
        <v>No CUSIP Match</v>
      </c>
      <c r="J115" s="73" t="n">
        <f aca="false">$V115</f>
        <v>300</v>
      </c>
      <c r="K115" s="71" t="str">
        <f aca="false">IFERROR(INDEX('EOD Data'!G:G, MATCH($A115, 'EOD Data'!B:B,0)), "No TKR Match")</f>
        <v>No TKR Match</v>
      </c>
      <c r="L115" s="71" t="str">
        <f aca="false">IFERROR(ROUND($J115*$K115,0),"Error")</f>
        <v>Error</v>
      </c>
      <c r="M115" s="71" t="str">
        <f aca="false">IFERROR(IF(AND($J115&lt;10000,$L115&lt;200000),"Yes","No"),"Error")</f>
        <v>No</v>
      </c>
      <c r="P115" s="42" t="str">
        <f aca="false">IF($N115="SOLE",$J115,"")</f>
        <v/>
      </c>
      <c r="Q115" s="42" t="str">
        <f aca="false">IFERROR(IF($N115="Sole",0,IF(AND($N115="OTR",$R115=0),$J115-$P115,IF(AND($N115="OTR", $R115&gt;0), $J115-$P115-$Q115, ""))),"")</f>
        <v/>
      </c>
      <c r="R115" s="42" t="str">
        <f aca="false">IF($P115=$J115, "0","")</f>
        <v/>
      </c>
      <c r="S115" s="42" t="str">
        <f aca="false">IF(OR(ISBLANK($B115),ISBLANK($C115), ISBLANK($E115), ISBLANK($F115), AND(ISBLANK($G115),ISBLANK($H115)), ISBLANK($I115), ISBLANK($L115), AND(ISBLANK($N115), ISBLANK($O115)), AND(ISBLANK($P115), ISBLANK($Q115), ISBLANK($R115))), "No", "Yes")</f>
        <v>No</v>
      </c>
      <c r="T115" s="42" t="str">
        <f aca="false">SUBSTITUTE($U115," ","")</f>
        <v>09857L108</v>
      </c>
      <c r="U115" s="42" t="s">
        <v>196</v>
      </c>
      <c r="V115" s="39" t="n">
        <v>300</v>
      </c>
    </row>
    <row r="116" customFormat="false" ht="15" hidden="false" customHeight="false" outlineLevel="0" collapsed="false">
      <c r="B116" s="70" t="s">
        <v>196</v>
      </c>
      <c r="C116" s="71" t="str">
        <f aca="false">IFERROR(INDEX('13F Data'!A:A,MATCH($B116,'13F Data'!A:A,0)),"No CUSIP Match")</f>
        <v>No CUSIP Match</v>
      </c>
      <c r="D116" s="71" t="str">
        <f aca="false">IFERROR(IF($B116=$C116,"Yes","No"),"No CUSIP Match")</f>
        <v>No</v>
      </c>
      <c r="E116" s="71"/>
      <c r="F116" s="71" t="str">
        <f aca="false">IFERROR(INDEX('13F Data'!C:C, MATCH($B116,'13F Data'!A:A,0)),"No CUSIP Match")</f>
        <v>No CUSIP Match</v>
      </c>
      <c r="G116" s="72" t="str">
        <f aca="false">IFERROR(INDEX('13F Data'!D:D,MATCH($B116,'13F Data'!A:A,0)),"No CUSIP Match")</f>
        <v>No CUSIP Match</v>
      </c>
      <c r="J116" s="73" t="n">
        <f aca="false">$V116</f>
        <v>300</v>
      </c>
      <c r="K116" s="71" t="str">
        <f aca="false">IFERROR(INDEX('EOD Data'!G:G, MATCH($A116, 'EOD Data'!B:B,0)), "No TKR Match")</f>
        <v>No TKR Match</v>
      </c>
      <c r="L116" s="71" t="str">
        <f aca="false">IFERROR(ROUND($J116*$K116,0),"Error")</f>
        <v>Error</v>
      </c>
      <c r="M116" s="71" t="str">
        <f aca="false">IFERROR(IF(AND($J116&lt;10000,$L116&lt;200000),"Yes","No"),"Error")</f>
        <v>No</v>
      </c>
      <c r="P116" s="42" t="str">
        <f aca="false">IF($N116="SOLE",$J116,"")</f>
        <v/>
      </c>
      <c r="Q116" s="42" t="str">
        <f aca="false">IFERROR(IF($N116="Sole",0,IF(AND($N116="OTR",$R116=0),$J116-$P116,IF(AND($N116="OTR", $R116&gt;0), $J116-$P116-$Q116, ""))),"")</f>
        <v/>
      </c>
      <c r="R116" s="42" t="str">
        <f aca="false">IF($P116=$J116, "0","")</f>
        <v/>
      </c>
      <c r="S116" s="42" t="str">
        <f aca="false">IF(OR(ISBLANK($B116),ISBLANK($C116), ISBLANK($E116), ISBLANK($F116), AND(ISBLANK($G116),ISBLANK($H116)), ISBLANK($I116), ISBLANK($L116), AND(ISBLANK($N116), ISBLANK($O116)), AND(ISBLANK($P116), ISBLANK($Q116), ISBLANK($R116))), "No", "Yes")</f>
        <v>No</v>
      </c>
      <c r="T116" s="42" t="str">
        <f aca="false">SUBSTITUTE($U116," ","")</f>
        <v>09857L108</v>
      </c>
      <c r="U116" s="42" t="s">
        <v>196</v>
      </c>
      <c r="V116" s="39" t="n">
        <v>300</v>
      </c>
    </row>
    <row r="117" customFormat="false" ht="15" hidden="false" customHeight="false" outlineLevel="0" collapsed="false">
      <c r="B117" s="70" t="s">
        <v>198</v>
      </c>
      <c r="C117" s="71" t="str">
        <f aca="false">IFERROR(INDEX('13F Data'!A:A,MATCH($B117,'13F Data'!A:A,0)),"No CUSIP Match")</f>
        <v>No CUSIP Match</v>
      </c>
      <c r="D117" s="71" t="str">
        <f aca="false">IFERROR(IF($B117=$C117,"Yes","No"),"No CUSIP Match")</f>
        <v>No</v>
      </c>
      <c r="E117" s="71"/>
      <c r="F117" s="71" t="str">
        <f aca="false">IFERROR(INDEX('13F Data'!C:C, MATCH($B117,'13F Data'!A:A,0)),"No CUSIP Match")</f>
        <v>No CUSIP Match</v>
      </c>
      <c r="G117" s="72" t="str">
        <f aca="false">IFERROR(INDEX('13F Data'!D:D,MATCH($B117,'13F Data'!A:A,0)),"No CUSIP Match")</f>
        <v>No CUSIP Match</v>
      </c>
      <c r="J117" s="73" t="n">
        <f aca="false">$V117</f>
        <v>2469</v>
      </c>
      <c r="K117" s="71" t="str">
        <f aca="false">IFERROR(INDEX('EOD Data'!G:G, MATCH($A117, 'EOD Data'!B:B,0)), "No TKR Match")</f>
        <v>No TKR Match</v>
      </c>
      <c r="L117" s="71" t="str">
        <f aca="false">IFERROR(ROUND($J117*$K117,0),"Error")</f>
        <v>Error</v>
      </c>
      <c r="M117" s="71" t="str">
        <f aca="false">IFERROR(IF(AND($J117&lt;10000,$L117&lt;200000),"Yes","No"),"Error")</f>
        <v>No</v>
      </c>
      <c r="P117" s="42" t="str">
        <f aca="false">IF($N117="SOLE",$J117,"")</f>
        <v/>
      </c>
      <c r="Q117" s="42" t="str">
        <f aca="false">IFERROR(IF($N117="Sole",0,IF(AND($N117="OTR",$R117=0),$J117-$P117,IF(AND($N117="OTR", $R117&gt;0), $J117-$P117-$Q117, ""))),"")</f>
        <v/>
      </c>
      <c r="R117" s="42" t="str">
        <f aca="false">IF($P117=$J117, "0","")</f>
        <v/>
      </c>
      <c r="S117" s="42" t="str">
        <f aca="false">IF(OR(ISBLANK($B117),ISBLANK($C117), ISBLANK($E117), ISBLANK($F117), AND(ISBLANK($G117),ISBLANK($H117)), ISBLANK($I117), ISBLANK($L117), AND(ISBLANK($N117), ISBLANK($O117)), AND(ISBLANK($P117), ISBLANK($Q117), ISBLANK($R117))), "No", "Yes")</f>
        <v>No</v>
      </c>
      <c r="T117" s="42" t="str">
        <f aca="false">SUBSTITUTE($U117," ","")</f>
        <v>018581108</v>
      </c>
      <c r="U117" s="42" t="s">
        <v>198</v>
      </c>
      <c r="V117" s="39" t="n">
        <v>2469</v>
      </c>
    </row>
    <row r="118" customFormat="false" ht="15" hidden="false" customHeight="false" outlineLevel="0" collapsed="false">
      <c r="B118" s="70" t="s">
        <v>200</v>
      </c>
      <c r="C118" s="71" t="str">
        <f aca="false">IFERROR(INDEX('13F Data'!A:A,MATCH($B118,'13F Data'!A:A,0)),"No CUSIP Match")</f>
        <v>No CUSIP Match</v>
      </c>
      <c r="D118" s="71" t="str">
        <f aca="false">IFERROR(IF($B118=$C118,"Yes","No"),"No CUSIP Match")</f>
        <v>No</v>
      </c>
      <c r="E118" s="71"/>
      <c r="F118" s="71" t="str">
        <f aca="false">IFERROR(INDEX('13F Data'!C:C, MATCH($B118,'13F Data'!A:A,0)),"No CUSIP Match")</f>
        <v>No CUSIP Match</v>
      </c>
      <c r="G118" s="72" t="str">
        <f aca="false">IFERROR(INDEX('13F Data'!D:D,MATCH($B118,'13F Data'!A:A,0)),"No CUSIP Match")</f>
        <v>No CUSIP Match</v>
      </c>
      <c r="J118" s="73" t="n">
        <f aca="false">$V118</f>
        <v>139</v>
      </c>
      <c r="K118" s="71" t="str">
        <f aca="false">IFERROR(INDEX('EOD Data'!G:G, MATCH($A118, 'EOD Data'!B:B,0)), "No TKR Match")</f>
        <v>No TKR Match</v>
      </c>
      <c r="L118" s="71" t="str">
        <f aca="false">IFERROR(ROUND($J118*$K118,0),"Error")</f>
        <v>Error</v>
      </c>
      <c r="M118" s="71" t="str">
        <f aca="false">IFERROR(IF(AND($J118&lt;10000,$L118&lt;200000),"Yes","No"),"Error")</f>
        <v>No</v>
      </c>
      <c r="P118" s="42" t="str">
        <f aca="false">IF($N118="SOLE",$J118,"")</f>
        <v/>
      </c>
      <c r="Q118" s="42" t="str">
        <f aca="false">IFERROR(IF($N118="Sole",0,IF(AND($N118="OTR",$R118=0),$J118-$P118,IF(AND($N118="OTR", $R118&gt;0), $J118-$P118-$Q118, ""))),"")</f>
        <v/>
      </c>
      <c r="R118" s="42" t="str">
        <f aca="false">IF($P118=$J118, "0","")</f>
        <v/>
      </c>
      <c r="S118" s="42" t="str">
        <f aca="false">IF(OR(ISBLANK($B118),ISBLANK($C118), ISBLANK($E118), ISBLANK($F118), AND(ISBLANK($G118),ISBLANK($H118)), ISBLANK($I118), ISBLANK($L118), AND(ISBLANK($N118), ISBLANK($O118)), AND(ISBLANK($P118), ISBLANK($Q118), ISBLANK($R118))), "No", "Yes")</f>
        <v>No</v>
      </c>
      <c r="T118" s="42" t="str">
        <f aca="false">SUBSTITUTE($U118," ","")</f>
        <v>110122108</v>
      </c>
      <c r="U118" s="42" t="s">
        <v>200</v>
      </c>
      <c r="V118" s="39" t="n">
        <v>139</v>
      </c>
    </row>
    <row r="119" customFormat="false" ht="15" hidden="false" customHeight="false" outlineLevel="0" collapsed="false">
      <c r="B119" s="70" t="s">
        <v>200</v>
      </c>
      <c r="C119" s="71" t="str">
        <f aca="false">IFERROR(INDEX('13F Data'!A:A,MATCH($B119,'13F Data'!A:A,0)),"No CUSIP Match")</f>
        <v>No CUSIP Match</v>
      </c>
      <c r="D119" s="71" t="str">
        <f aca="false">IFERROR(IF($B119=$C119,"Yes","No"),"No CUSIP Match")</f>
        <v>No</v>
      </c>
      <c r="E119" s="71"/>
      <c r="F119" s="71" t="str">
        <f aca="false">IFERROR(INDEX('13F Data'!C:C, MATCH($B119,'13F Data'!A:A,0)),"No CUSIP Match")</f>
        <v>No CUSIP Match</v>
      </c>
      <c r="G119" s="72" t="str">
        <f aca="false">IFERROR(INDEX('13F Data'!D:D,MATCH($B119,'13F Data'!A:A,0)),"No CUSIP Match")</f>
        <v>No CUSIP Match</v>
      </c>
      <c r="J119" s="73" t="n">
        <f aca="false">$V119</f>
        <v>2200</v>
      </c>
      <c r="K119" s="71" t="str">
        <f aca="false">IFERROR(INDEX('EOD Data'!G:G, MATCH($A119, 'EOD Data'!B:B,0)), "No TKR Match")</f>
        <v>No TKR Match</v>
      </c>
      <c r="L119" s="71" t="str">
        <f aca="false">IFERROR(ROUND($J119*$K119,0),"Error")</f>
        <v>Error</v>
      </c>
      <c r="M119" s="71" t="str">
        <f aca="false">IFERROR(IF(AND($J119&lt;10000,$L119&lt;200000),"Yes","No"),"Error")</f>
        <v>No</v>
      </c>
      <c r="P119" s="42" t="str">
        <f aca="false">IF($N119="SOLE",$J119,"")</f>
        <v/>
      </c>
      <c r="Q119" s="42" t="str">
        <f aca="false">IFERROR(IF($N119="Sole",0,IF(AND($N119="OTR",$R119=0),$J119-$P119,IF(AND($N119="OTR", $R119&gt;0), $J119-$P119-$Q119, ""))),"")</f>
        <v/>
      </c>
      <c r="R119" s="42" t="str">
        <f aca="false">IF($P119=$J119, "0","")</f>
        <v/>
      </c>
      <c r="S119" s="42" t="str">
        <f aca="false">IF(OR(ISBLANK($B119),ISBLANK($C119), ISBLANK($E119), ISBLANK($F119), AND(ISBLANK($G119),ISBLANK($H119)), ISBLANK($I119), ISBLANK($L119), AND(ISBLANK($N119), ISBLANK($O119)), AND(ISBLANK($P119), ISBLANK($Q119), ISBLANK($R119))), "No", "Yes")</f>
        <v>No</v>
      </c>
      <c r="T119" s="42" t="str">
        <f aca="false">SUBSTITUTE($U119," ","")</f>
        <v>110122108</v>
      </c>
      <c r="U119" s="42" t="s">
        <v>200</v>
      </c>
      <c r="V119" s="39" t="n">
        <v>2200</v>
      </c>
    </row>
    <row r="120" customFormat="false" ht="15" hidden="false" customHeight="false" outlineLevel="0" collapsed="false">
      <c r="B120" s="70" t="s">
        <v>200</v>
      </c>
      <c r="C120" s="71" t="str">
        <f aca="false">IFERROR(INDEX('13F Data'!A:A,MATCH($B120,'13F Data'!A:A,0)),"No CUSIP Match")</f>
        <v>No CUSIP Match</v>
      </c>
      <c r="D120" s="71" t="str">
        <f aca="false">IFERROR(IF($B120=$C120,"Yes","No"),"No CUSIP Match")</f>
        <v>No</v>
      </c>
      <c r="E120" s="71"/>
      <c r="F120" s="71" t="str">
        <f aca="false">IFERROR(INDEX('13F Data'!C:C, MATCH($B120,'13F Data'!A:A,0)),"No CUSIP Match")</f>
        <v>No CUSIP Match</v>
      </c>
      <c r="G120" s="72" t="str">
        <f aca="false">IFERROR(INDEX('13F Data'!D:D,MATCH($B120,'13F Data'!A:A,0)),"No CUSIP Match")</f>
        <v>No CUSIP Match</v>
      </c>
      <c r="J120" s="73" t="n">
        <f aca="false">$V120</f>
        <v>2200</v>
      </c>
      <c r="K120" s="71" t="str">
        <f aca="false">IFERROR(INDEX('EOD Data'!G:G, MATCH($A120, 'EOD Data'!B:B,0)), "No TKR Match")</f>
        <v>No TKR Match</v>
      </c>
      <c r="L120" s="71" t="str">
        <f aca="false">IFERROR(ROUND($J120*$K120,0),"Error")</f>
        <v>Error</v>
      </c>
      <c r="M120" s="71" t="str">
        <f aca="false">IFERROR(IF(AND($J120&lt;10000,$L120&lt;200000),"Yes","No"),"Error")</f>
        <v>No</v>
      </c>
      <c r="P120" s="42" t="str">
        <f aca="false">IF($N120="SOLE",$J120,"")</f>
        <v/>
      </c>
      <c r="Q120" s="42" t="str">
        <f aca="false">IFERROR(IF($N120="Sole",0,IF(AND($N120="OTR",$R120=0),$J120-$P120,IF(AND($N120="OTR", $R120&gt;0), $J120-$P120-$Q120, ""))),"")</f>
        <v/>
      </c>
      <c r="R120" s="42" t="str">
        <f aca="false">IF($P120=$J120, "0","")</f>
        <v/>
      </c>
      <c r="S120" s="42" t="str">
        <f aca="false">IF(OR(ISBLANK($B120),ISBLANK($C120), ISBLANK($E120), ISBLANK($F120), AND(ISBLANK($G120),ISBLANK($H120)), ISBLANK($I120), ISBLANK($L120), AND(ISBLANK($N120), ISBLANK($O120)), AND(ISBLANK($P120), ISBLANK($Q120), ISBLANK($R120))), "No", "Yes")</f>
        <v>No</v>
      </c>
      <c r="T120" s="42" t="str">
        <f aca="false">SUBSTITUTE($U120," ","")</f>
        <v>110122108</v>
      </c>
      <c r="U120" s="42" t="s">
        <v>200</v>
      </c>
      <c r="V120" s="39" t="n">
        <v>2200</v>
      </c>
    </row>
    <row r="121" customFormat="false" ht="15" hidden="false" customHeight="false" outlineLevel="0" collapsed="false">
      <c r="B121" s="70" t="s">
        <v>202</v>
      </c>
      <c r="C121" s="71" t="str">
        <f aca="false">IFERROR(INDEX('13F Data'!A:A,MATCH($B121,'13F Data'!A:A,0)),"No CUSIP Match")</f>
        <v>No CUSIP Match</v>
      </c>
      <c r="D121" s="71" t="str">
        <f aca="false">IFERROR(IF($B121=$C121,"Yes","No"),"No CUSIP Match")</f>
        <v>No</v>
      </c>
      <c r="E121" s="71"/>
      <c r="F121" s="71" t="str">
        <f aca="false">IFERROR(INDEX('13F Data'!C:C, MATCH($B121,'13F Data'!A:A,0)),"No CUSIP Match")</f>
        <v>No CUSIP Match</v>
      </c>
      <c r="G121" s="72" t="str">
        <f aca="false">IFERROR(INDEX('13F Data'!D:D,MATCH($B121,'13F Data'!A:A,0)),"No CUSIP Match")</f>
        <v>No CUSIP Match</v>
      </c>
      <c r="J121" s="73" t="n">
        <f aca="false">$V121</f>
        <v>5900</v>
      </c>
      <c r="K121" s="71" t="str">
        <f aca="false">IFERROR(INDEX('EOD Data'!G:G, MATCH($A121, 'EOD Data'!B:B,0)), "No TKR Match")</f>
        <v>No TKR Match</v>
      </c>
      <c r="L121" s="71" t="str">
        <f aca="false">IFERROR(ROUND($J121*$K121,0),"Error")</f>
        <v>Error</v>
      </c>
      <c r="M121" s="71" t="str">
        <f aca="false">IFERROR(IF(AND($J121&lt;10000,$L121&lt;200000),"Yes","No"),"Error")</f>
        <v>No</v>
      </c>
      <c r="P121" s="42" t="str">
        <f aca="false">IF($N121="SOLE",$J121,"")</f>
        <v/>
      </c>
      <c r="Q121" s="42" t="str">
        <f aca="false">IFERROR(IF($N121="Sole",0,IF(AND($N121="OTR",$R121=0),$J121-$P121,IF(AND($N121="OTR", $R121&gt;0), $J121-$P121-$Q121, ""))),"")</f>
        <v/>
      </c>
      <c r="R121" s="42" t="str">
        <f aca="false">IF($P121=$J121, "0","")</f>
        <v/>
      </c>
      <c r="S121" s="42" t="str">
        <f aca="false">IF(OR(ISBLANK($B121),ISBLANK($C121), ISBLANK($E121), ISBLANK($F121), AND(ISBLANK($G121),ISBLANK($H121)), ISBLANK($I121), ISBLANK($L121), AND(ISBLANK($N121), ISBLANK($O121)), AND(ISBLANK($P121), ISBLANK($Q121), ISBLANK($R121))), "No", "Yes")</f>
        <v>No</v>
      </c>
      <c r="T121" s="42" t="str">
        <f aca="false">SUBSTITUTE($U121," ","")</f>
        <v>11135F101</v>
      </c>
      <c r="U121" s="42" t="s">
        <v>202</v>
      </c>
      <c r="V121" s="39" t="n">
        <v>5900</v>
      </c>
    </row>
    <row r="122" customFormat="false" ht="15" hidden="false" customHeight="false" outlineLevel="0" collapsed="false">
      <c r="B122" s="70" t="s">
        <v>202</v>
      </c>
      <c r="C122" s="71" t="str">
        <f aca="false">IFERROR(INDEX('13F Data'!A:A,MATCH($B122,'13F Data'!A:A,0)),"No CUSIP Match")</f>
        <v>No CUSIP Match</v>
      </c>
      <c r="D122" s="71" t="str">
        <f aca="false">IFERROR(IF($B122=$C122,"Yes","No"),"No CUSIP Match")</f>
        <v>No</v>
      </c>
      <c r="E122" s="71"/>
      <c r="F122" s="71" t="str">
        <f aca="false">IFERROR(INDEX('13F Data'!C:C, MATCH($B122,'13F Data'!A:A,0)),"No CUSIP Match")</f>
        <v>No CUSIP Match</v>
      </c>
      <c r="G122" s="72" t="str">
        <f aca="false">IFERROR(INDEX('13F Data'!D:D,MATCH($B122,'13F Data'!A:A,0)),"No CUSIP Match")</f>
        <v>No CUSIP Match</v>
      </c>
      <c r="J122" s="73" t="n">
        <f aca="false">$V122</f>
        <v>9600</v>
      </c>
      <c r="K122" s="71" t="str">
        <f aca="false">IFERROR(INDEX('EOD Data'!G:G, MATCH($A122, 'EOD Data'!B:B,0)), "No TKR Match")</f>
        <v>No TKR Match</v>
      </c>
      <c r="L122" s="71" t="str">
        <f aca="false">IFERROR(ROUND($J122*$K122,0),"Error")</f>
        <v>Error</v>
      </c>
      <c r="M122" s="71" t="str">
        <f aca="false">IFERROR(IF(AND($J122&lt;10000,$L122&lt;200000),"Yes","No"),"Error")</f>
        <v>No</v>
      </c>
      <c r="P122" s="42" t="str">
        <f aca="false">IF($N122="SOLE",$J122,"")</f>
        <v/>
      </c>
      <c r="Q122" s="42" t="str">
        <f aca="false">IFERROR(IF($N122="Sole",0,IF(AND($N122="OTR",$R122=0),$J122-$P122,IF(AND($N122="OTR", $R122&gt;0), $J122-$P122-$Q122, ""))),"")</f>
        <v/>
      </c>
      <c r="R122" s="42" t="str">
        <f aca="false">IF($P122=$J122, "0","")</f>
        <v/>
      </c>
      <c r="S122" s="42" t="str">
        <f aca="false">IF(OR(ISBLANK($B122),ISBLANK($C122), ISBLANK($E122), ISBLANK($F122), AND(ISBLANK($G122),ISBLANK($H122)), ISBLANK($I122), ISBLANK($L122), AND(ISBLANK($N122), ISBLANK($O122)), AND(ISBLANK($P122), ISBLANK($Q122), ISBLANK($R122))), "No", "Yes")</f>
        <v>No</v>
      </c>
      <c r="T122" s="42" t="str">
        <f aca="false">SUBSTITUTE($U122," ","")</f>
        <v>11135F101</v>
      </c>
      <c r="U122" s="42" t="s">
        <v>202</v>
      </c>
      <c r="V122" s="39" t="n">
        <v>9600</v>
      </c>
    </row>
    <row r="123" customFormat="false" ht="15" hidden="false" customHeight="false" outlineLevel="0" collapsed="false">
      <c r="B123" s="70" t="s">
        <v>204</v>
      </c>
      <c r="C123" s="71" t="str">
        <f aca="false">IFERROR(INDEX('13F Data'!A:A,MATCH($B123,'13F Data'!A:A,0)),"No CUSIP Match")</f>
        <v>No CUSIP Match</v>
      </c>
      <c r="D123" s="71" t="str">
        <f aca="false">IFERROR(IF($B123=$C123,"Yes","No"),"No CUSIP Match")</f>
        <v>No</v>
      </c>
      <c r="E123" s="71"/>
      <c r="F123" s="71" t="str">
        <f aca="false">IFERROR(INDEX('13F Data'!C:C, MATCH($B123,'13F Data'!A:A,0)),"No CUSIP Match")</f>
        <v>No CUSIP Match</v>
      </c>
      <c r="G123" s="72" t="str">
        <f aca="false">IFERROR(INDEX('13F Data'!D:D,MATCH($B123,'13F Data'!A:A,0)),"No CUSIP Match")</f>
        <v>No CUSIP Match</v>
      </c>
      <c r="J123" s="73" t="n">
        <f aca="false">$V123</f>
        <v>9005</v>
      </c>
      <c r="K123" s="71" t="str">
        <f aca="false">IFERROR(INDEX('EOD Data'!G:G, MATCH($A123, 'EOD Data'!B:B,0)), "No TKR Match")</f>
        <v>No TKR Match</v>
      </c>
      <c r="L123" s="71" t="str">
        <f aca="false">IFERROR(ROUND($J123*$K123,0),"Error")</f>
        <v>Error</v>
      </c>
      <c r="M123" s="71" t="str">
        <f aca="false">IFERROR(IF(AND($J123&lt;10000,$L123&lt;200000),"Yes","No"),"Error")</f>
        <v>No</v>
      </c>
      <c r="P123" s="42" t="str">
        <f aca="false">IF($N123="SOLE",$J123,"")</f>
        <v/>
      </c>
      <c r="Q123" s="42" t="str">
        <f aca="false">IFERROR(IF($N123="Sole",0,IF(AND($N123="OTR",$R123=0),$J123-$P123,IF(AND($N123="OTR", $R123&gt;0), $J123-$P123-$Q123, ""))),"")</f>
        <v/>
      </c>
      <c r="R123" s="42" t="str">
        <f aca="false">IF($P123=$J123, "0","")</f>
        <v/>
      </c>
      <c r="S123" s="42" t="str">
        <f aca="false">IF(OR(ISBLANK($B123),ISBLANK($C123), ISBLANK($E123), ISBLANK($F123), AND(ISBLANK($G123),ISBLANK($H123)), ISBLANK($I123), ISBLANK($L123), AND(ISBLANK($N123), ISBLANK($O123)), AND(ISBLANK($P123), ISBLANK($Q123), ISBLANK($R123))), "No", "Yes")</f>
        <v>No</v>
      </c>
      <c r="T123" s="42" t="str">
        <f aca="false">SUBSTITUTE($U123," ","")</f>
        <v>12008R107</v>
      </c>
      <c r="U123" s="42" t="s">
        <v>204</v>
      </c>
      <c r="V123" s="39" t="n">
        <v>9005</v>
      </c>
    </row>
    <row r="124" customFormat="false" ht="15" hidden="false" customHeight="false" outlineLevel="0" collapsed="false">
      <c r="B124" s="70" t="s">
        <v>204</v>
      </c>
      <c r="C124" s="71" t="str">
        <f aca="false">IFERROR(INDEX('13F Data'!A:A,MATCH($B124,'13F Data'!A:A,0)),"No CUSIP Match")</f>
        <v>No CUSIP Match</v>
      </c>
      <c r="D124" s="71" t="str">
        <f aca="false">IFERROR(IF($B124=$C124,"Yes","No"),"No CUSIP Match")</f>
        <v>No</v>
      </c>
      <c r="E124" s="71"/>
      <c r="F124" s="71" t="str">
        <f aca="false">IFERROR(INDEX('13F Data'!C:C, MATCH($B124,'13F Data'!A:A,0)),"No CUSIP Match")</f>
        <v>No CUSIP Match</v>
      </c>
      <c r="G124" s="72" t="str">
        <f aca="false">IFERROR(INDEX('13F Data'!D:D,MATCH($B124,'13F Data'!A:A,0)),"No CUSIP Match")</f>
        <v>No CUSIP Match</v>
      </c>
      <c r="J124" s="73" t="n">
        <f aca="false">$V124</f>
        <v>217700</v>
      </c>
      <c r="K124" s="71" t="str">
        <f aca="false">IFERROR(INDEX('EOD Data'!G:G, MATCH($A124, 'EOD Data'!B:B,0)), "No TKR Match")</f>
        <v>No TKR Match</v>
      </c>
      <c r="L124" s="71" t="str">
        <f aca="false">IFERROR(ROUND($J124*$K124,0),"Error")</f>
        <v>Error</v>
      </c>
      <c r="M124" s="71" t="str">
        <f aca="false">IFERROR(IF(AND($J124&lt;10000,$L124&lt;200000),"Yes","No"),"Error")</f>
        <v>No</v>
      </c>
      <c r="P124" s="42" t="str">
        <f aca="false">IF($N124="SOLE",$J124,"")</f>
        <v/>
      </c>
      <c r="Q124" s="42" t="str">
        <f aca="false">IFERROR(IF($N124="Sole",0,IF(AND($N124="OTR",$R124=0),$J124-$P124,IF(AND($N124="OTR", $R124&gt;0), $J124-$P124-$Q124, ""))),"")</f>
        <v/>
      </c>
      <c r="R124" s="42" t="str">
        <f aca="false">IF($P124=$J124, "0","")</f>
        <v/>
      </c>
      <c r="S124" s="42" t="str">
        <f aca="false">IF(OR(ISBLANK($B124),ISBLANK($C124), ISBLANK($E124), ISBLANK($F124), AND(ISBLANK($G124),ISBLANK($H124)), ISBLANK($I124), ISBLANK($L124), AND(ISBLANK($N124), ISBLANK($O124)), AND(ISBLANK($P124), ISBLANK($Q124), ISBLANK($R124))), "No", "Yes")</f>
        <v>No</v>
      </c>
      <c r="T124" s="42" t="str">
        <f aca="false">SUBSTITUTE($U124," ","")</f>
        <v>12008R107</v>
      </c>
      <c r="U124" s="42" t="s">
        <v>204</v>
      </c>
      <c r="V124" s="39" t="n">
        <v>217700</v>
      </c>
    </row>
    <row r="125" customFormat="false" ht="15" hidden="false" customHeight="false" outlineLevel="0" collapsed="false">
      <c r="B125" s="70" t="s">
        <v>206</v>
      </c>
      <c r="C125" s="71" t="str">
        <f aca="false">IFERROR(INDEX('13F Data'!A:A,MATCH($B125,'13F Data'!A:A,0)),"No CUSIP Match")</f>
        <v>No CUSIP Match</v>
      </c>
      <c r="D125" s="71" t="str">
        <f aca="false">IFERROR(IF($B125=$C125,"Yes","No"),"No CUSIP Match")</f>
        <v>No</v>
      </c>
      <c r="E125" s="71"/>
      <c r="F125" s="71" t="str">
        <f aca="false">IFERROR(INDEX('13F Data'!C:C, MATCH($B125,'13F Data'!A:A,0)),"No CUSIP Match")</f>
        <v>No CUSIP Match</v>
      </c>
      <c r="G125" s="72" t="str">
        <f aca="false">IFERROR(INDEX('13F Data'!D:D,MATCH($B125,'13F Data'!A:A,0)),"No CUSIP Match")</f>
        <v>No CUSIP Match</v>
      </c>
      <c r="J125" s="73" t="n">
        <f aca="false">$V125</f>
        <v>600</v>
      </c>
      <c r="K125" s="71" t="str">
        <f aca="false">IFERROR(INDEX('EOD Data'!G:G, MATCH($A125, 'EOD Data'!B:B,0)), "No TKR Match")</f>
        <v>No TKR Match</v>
      </c>
      <c r="L125" s="71" t="str">
        <f aca="false">IFERROR(ROUND($J125*$K125,0),"Error")</f>
        <v>Error</v>
      </c>
      <c r="M125" s="71" t="str">
        <f aca="false">IFERROR(IF(AND($J125&lt;10000,$L125&lt;200000),"Yes","No"),"Error")</f>
        <v>No</v>
      </c>
      <c r="P125" s="42" t="str">
        <f aca="false">IF($N125="SOLE",$J125,"")</f>
        <v/>
      </c>
      <c r="Q125" s="42" t="str">
        <f aca="false">IFERROR(IF($N125="Sole",0,IF(AND($N125="OTR",$R125=0),$J125-$P125,IF(AND($N125="OTR", $R125&gt;0), $J125-$P125-$Q125, ""))),"")</f>
        <v/>
      </c>
      <c r="R125" s="42" t="str">
        <f aca="false">IF($P125=$J125, "0","")</f>
        <v/>
      </c>
      <c r="S125" s="42" t="str">
        <f aca="false">IF(OR(ISBLANK($B125),ISBLANK($C125), ISBLANK($E125), ISBLANK($F125), AND(ISBLANK($G125),ISBLANK($H125)), ISBLANK($I125), ISBLANK($L125), AND(ISBLANK($N125), ISBLANK($O125)), AND(ISBLANK($P125), ISBLANK($Q125), ISBLANK($R125))), "No", "Yes")</f>
        <v>No</v>
      </c>
      <c r="T125" s="42" t="str">
        <f aca="false">SUBSTITUTE($U125," ","")</f>
        <v>127387108</v>
      </c>
      <c r="U125" s="42" t="s">
        <v>206</v>
      </c>
      <c r="V125" s="39" t="n">
        <v>600</v>
      </c>
    </row>
    <row r="126" customFormat="false" ht="15" hidden="false" customHeight="false" outlineLevel="0" collapsed="false">
      <c r="B126" s="70" t="s">
        <v>206</v>
      </c>
      <c r="C126" s="71" t="str">
        <f aca="false">IFERROR(INDEX('13F Data'!A:A,MATCH($B126,'13F Data'!A:A,0)),"No CUSIP Match")</f>
        <v>No CUSIP Match</v>
      </c>
      <c r="D126" s="71" t="str">
        <f aca="false">IFERROR(IF($B126=$C126,"Yes","No"),"No CUSIP Match")</f>
        <v>No</v>
      </c>
      <c r="E126" s="71"/>
      <c r="F126" s="71" t="str">
        <f aca="false">IFERROR(INDEX('13F Data'!C:C, MATCH($B126,'13F Data'!A:A,0)),"No CUSIP Match")</f>
        <v>No CUSIP Match</v>
      </c>
      <c r="G126" s="72" t="str">
        <f aca="false">IFERROR(INDEX('13F Data'!D:D,MATCH($B126,'13F Data'!A:A,0)),"No CUSIP Match")</f>
        <v>No CUSIP Match</v>
      </c>
      <c r="J126" s="73" t="n">
        <f aca="false">$V126</f>
        <v>600</v>
      </c>
      <c r="K126" s="71" t="str">
        <f aca="false">IFERROR(INDEX('EOD Data'!G:G, MATCH($A126, 'EOD Data'!B:B,0)), "No TKR Match")</f>
        <v>No TKR Match</v>
      </c>
      <c r="L126" s="71" t="str">
        <f aca="false">IFERROR(ROUND($J126*$K126,0),"Error")</f>
        <v>Error</v>
      </c>
      <c r="M126" s="71" t="str">
        <f aca="false">IFERROR(IF(AND($J126&lt;10000,$L126&lt;200000),"Yes","No"),"Error")</f>
        <v>No</v>
      </c>
      <c r="P126" s="42" t="str">
        <f aca="false">IF($N126="SOLE",$J126,"")</f>
        <v/>
      </c>
      <c r="Q126" s="42" t="str">
        <f aca="false">IFERROR(IF($N126="Sole",0,IF(AND($N126="OTR",$R126=0),$J126-$P126,IF(AND($N126="OTR", $R126&gt;0), $J126-$P126-$Q126, ""))),"")</f>
        <v/>
      </c>
      <c r="R126" s="42" t="str">
        <f aca="false">IF($P126=$J126, "0","")</f>
        <v/>
      </c>
      <c r="S126" s="42" t="str">
        <f aca="false">IF(OR(ISBLANK($B126),ISBLANK($C126), ISBLANK($E126), ISBLANK($F126), AND(ISBLANK($G126),ISBLANK($H126)), ISBLANK($I126), ISBLANK($L126), AND(ISBLANK($N126), ISBLANK($O126)), AND(ISBLANK($P126), ISBLANK($Q126), ISBLANK($R126))), "No", "Yes")</f>
        <v>No</v>
      </c>
      <c r="T126" s="42" t="str">
        <f aca="false">SUBSTITUTE($U126," ","")</f>
        <v>127387108</v>
      </c>
      <c r="U126" s="42" t="s">
        <v>206</v>
      </c>
      <c r="V126" s="39" t="n">
        <v>600</v>
      </c>
    </row>
    <row r="127" customFormat="false" ht="15" hidden="false" customHeight="false" outlineLevel="0" collapsed="false">
      <c r="B127" s="70" t="s">
        <v>208</v>
      </c>
      <c r="C127" s="71" t="str">
        <f aca="false">IFERROR(INDEX('13F Data'!A:A,MATCH($B127,'13F Data'!A:A,0)),"No CUSIP Match")</f>
        <v>No CUSIP Match</v>
      </c>
      <c r="D127" s="71" t="str">
        <f aca="false">IFERROR(IF($B127=$C127,"Yes","No"),"No CUSIP Match")</f>
        <v>No</v>
      </c>
      <c r="E127" s="71"/>
      <c r="F127" s="71" t="str">
        <f aca="false">IFERROR(INDEX('13F Data'!C:C, MATCH($B127,'13F Data'!A:A,0)),"No CUSIP Match")</f>
        <v>No CUSIP Match</v>
      </c>
      <c r="G127" s="72" t="str">
        <f aca="false">IFERROR(INDEX('13F Data'!D:D,MATCH($B127,'13F Data'!A:A,0)),"No CUSIP Match")</f>
        <v>No CUSIP Match</v>
      </c>
      <c r="J127" s="73" t="n">
        <f aca="false">$V127</f>
        <v>56252</v>
      </c>
      <c r="K127" s="71" t="str">
        <f aca="false">IFERROR(INDEX('EOD Data'!G:G, MATCH($A127, 'EOD Data'!B:B,0)), "No TKR Match")</f>
        <v>No TKR Match</v>
      </c>
      <c r="L127" s="71" t="str">
        <f aca="false">IFERROR(ROUND($J127*$K127,0),"Error")</f>
        <v>Error</v>
      </c>
      <c r="M127" s="71" t="str">
        <f aca="false">IFERROR(IF(AND($J127&lt;10000,$L127&lt;200000),"Yes","No"),"Error")</f>
        <v>No</v>
      </c>
      <c r="P127" s="42" t="str">
        <f aca="false">IF($N127="SOLE",$J127,"")</f>
        <v/>
      </c>
      <c r="Q127" s="42" t="str">
        <f aca="false">IFERROR(IF($N127="Sole",0,IF(AND($N127="OTR",$R127=0),$J127-$P127,IF(AND($N127="OTR", $R127&gt;0), $J127-$P127-$Q127, ""))),"")</f>
        <v/>
      </c>
      <c r="R127" s="42" t="str">
        <f aca="false">IF($P127=$J127, "0","")</f>
        <v/>
      </c>
      <c r="S127" s="42" t="str">
        <f aca="false">IF(OR(ISBLANK($B127),ISBLANK($C127), ISBLANK($E127), ISBLANK($F127), AND(ISBLANK($G127),ISBLANK($H127)), ISBLANK($I127), ISBLANK($L127), AND(ISBLANK($N127), ISBLANK($O127)), AND(ISBLANK($P127), ISBLANK($Q127), ISBLANK($R127))), "No", "Yes")</f>
        <v>No</v>
      </c>
      <c r="T127" s="42" t="str">
        <f aca="false">SUBSTITUTE($U127," ","")</f>
        <v>12769G100</v>
      </c>
      <c r="U127" s="42" t="s">
        <v>208</v>
      </c>
      <c r="V127" s="39" t="n">
        <v>56252</v>
      </c>
    </row>
    <row r="128" customFormat="false" ht="15" hidden="false" customHeight="false" outlineLevel="0" collapsed="false">
      <c r="B128" s="70" t="s">
        <v>208</v>
      </c>
      <c r="C128" s="71" t="str">
        <f aca="false">IFERROR(INDEX('13F Data'!A:A,MATCH($B128,'13F Data'!A:A,0)),"No CUSIP Match")</f>
        <v>No CUSIP Match</v>
      </c>
      <c r="D128" s="71" t="str">
        <f aca="false">IFERROR(IF($B128=$C128,"Yes","No"),"No CUSIP Match")</f>
        <v>No</v>
      </c>
      <c r="E128" s="71"/>
      <c r="F128" s="71" t="str">
        <f aca="false">IFERROR(INDEX('13F Data'!C:C, MATCH($B128,'13F Data'!A:A,0)),"No CUSIP Match")</f>
        <v>No CUSIP Match</v>
      </c>
      <c r="G128" s="72" t="str">
        <f aca="false">IFERROR(INDEX('13F Data'!D:D,MATCH($B128,'13F Data'!A:A,0)),"No CUSIP Match")</f>
        <v>No CUSIP Match</v>
      </c>
      <c r="J128" s="73" t="n">
        <f aca="false">$V128</f>
        <v>7600</v>
      </c>
      <c r="K128" s="71" t="str">
        <f aca="false">IFERROR(INDEX('EOD Data'!G:G, MATCH($A128, 'EOD Data'!B:B,0)), "No TKR Match")</f>
        <v>No TKR Match</v>
      </c>
      <c r="L128" s="71" t="str">
        <f aca="false">IFERROR(ROUND($J128*$K128,0),"Error")</f>
        <v>Error</v>
      </c>
      <c r="M128" s="71" t="str">
        <f aca="false">IFERROR(IF(AND($J128&lt;10000,$L128&lt;200000),"Yes","No"),"Error")</f>
        <v>No</v>
      </c>
      <c r="P128" s="42" t="str">
        <f aca="false">IF($N128="SOLE",$J128,"")</f>
        <v/>
      </c>
      <c r="Q128" s="42" t="str">
        <f aca="false">IFERROR(IF($N128="Sole",0,IF(AND($N128="OTR",$R128=0),$J128-$P128,IF(AND($N128="OTR", $R128&gt;0), $J128-$P128-$Q128, ""))),"")</f>
        <v/>
      </c>
      <c r="R128" s="42" t="str">
        <f aca="false">IF($P128=$J128, "0","")</f>
        <v/>
      </c>
      <c r="S128" s="42" t="str">
        <f aca="false">IF(OR(ISBLANK($B128),ISBLANK($C128), ISBLANK($E128), ISBLANK($F128), AND(ISBLANK($G128),ISBLANK($H128)), ISBLANK($I128), ISBLANK($L128), AND(ISBLANK($N128), ISBLANK($O128)), AND(ISBLANK($P128), ISBLANK($Q128), ISBLANK($R128))), "No", "Yes")</f>
        <v>No</v>
      </c>
      <c r="T128" s="42" t="str">
        <f aca="false">SUBSTITUTE($U128," ","")</f>
        <v>12769G100</v>
      </c>
      <c r="U128" s="42" t="s">
        <v>208</v>
      </c>
      <c r="V128" s="39" t="n">
        <v>7600</v>
      </c>
    </row>
    <row r="129" customFormat="false" ht="15" hidden="false" customHeight="false" outlineLevel="0" collapsed="false">
      <c r="B129" s="70" t="s">
        <v>208</v>
      </c>
      <c r="C129" s="71" t="str">
        <f aca="false">IFERROR(INDEX('13F Data'!A:A,MATCH($B129,'13F Data'!A:A,0)),"No CUSIP Match")</f>
        <v>No CUSIP Match</v>
      </c>
      <c r="D129" s="71" t="str">
        <f aca="false">IFERROR(IF($B129=$C129,"Yes","No"),"No CUSIP Match")</f>
        <v>No</v>
      </c>
      <c r="E129" s="71"/>
      <c r="F129" s="71" t="str">
        <f aca="false">IFERROR(INDEX('13F Data'!C:C, MATCH($B129,'13F Data'!A:A,0)),"No CUSIP Match")</f>
        <v>No CUSIP Match</v>
      </c>
      <c r="G129" s="72" t="str">
        <f aca="false">IFERROR(INDEX('13F Data'!D:D,MATCH($B129,'13F Data'!A:A,0)),"No CUSIP Match")</f>
        <v>No CUSIP Match</v>
      </c>
      <c r="J129" s="73" t="n">
        <f aca="false">$V129</f>
        <v>7600</v>
      </c>
      <c r="K129" s="71" t="str">
        <f aca="false">IFERROR(INDEX('EOD Data'!G:G, MATCH($A129, 'EOD Data'!B:B,0)), "No TKR Match")</f>
        <v>No TKR Match</v>
      </c>
      <c r="L129" s="71" t="str">
        <f aca="false">IFERROR(ROUND($J129*$K129,0),"Error")</f>
        <v>Error</v>
      </c>
      <c r="M129" s="71" t="str">
        <f aca="false">IFERROR(IF(AND($J129&lt;10000,$L129&lt;200000),"Yes","No"),"Error")</f>
        <v>No</v>
      </c>
      <c r="P129" s="42" t="str">
        <f aca="false">IF($N129="SOLE",$J129,"")</f>
        <v/>
      </c>
      <c r="Q129" s="42" t="str">
        <f aca="false">IFERROR(IF($N129="Sole",0,IF(AND($N129="OTR",$R129=0),$J129-$P129,IF(AND($N129="OTR", $R129&gt;0), $J129-$P129-$Q129, ""))),"")</f>
        <v/>
      </c>
      <c r="R129" s="42" t="str">
        <f aca="false">IF($P129=$J129, "0","")</f>
        <v/>
      </c>
      <c r="S129" s="42" t="str">
        <f aca="false">IF(OR(ISBLANK($B129),ISBLANK($C129), ISBLANK($E129), ISBLANK($F129), AND(ISBLANK($G129),ISBLANK($H129)), ISBLANK($I129), ISBLANK($L129), AND(ISBLANK($N129), ISBLANK($O129)), AND(ISBLANK($P129), ISBLANK($Q129), ISBLANK($R129))), "No", "Yes")</f>
        <v>No</v>
      </c>
      <c r="T129" s="42" t="str">
        <f aca="false">SUBSTITUTE($U129," ","")</f>
        <v>12769G100</v>
      </c>
      <c r="U129" s="42" t="s">
        <v>208</v>
      </c>
      <c r="V129" s="39" t="n">
        <v>7600</v>
      </c>
    </row>
    <row r="130" customFormat="false" ht="15" hidden="false" customHeight="false" outlineLevel="0" collapsed="false">
      <c r="B130" s="70" t="s">
        <v>210</v>
      </c>
      <c r="C130" s="71" t="str">
        <f aca="false">IFERROR(INDEX('13F Data'!A:A,MATCH($B130,'13F Data'!A:A,0)),"No CUSIP Match")</f>
        <v>No CUSIP Match</v>
      </c>
      <c r="D130" s="71" t="str">
        <f aca="false">IFERROR(IF($B130=$C130,"Yes","No"),"No CUSIP Match")</f>
        <v>No</v>
      </c>
      <c r="E130" s="71"/>
      <c r="F130" s="71" t="str">
        <f aca="false">IFERROR(INDEX('13F Data'!C:C, MATCH($B130,'13F Data'!A:A,0)),"No CUSIP Match")</f>
        <v>No CUSIP Match</v>
      </c>
      <c r="G130" s="72" t="str">
        <f aca="false">IFERROR(INDEX('13F Data'!D:D,MATCH($B130,'13F Data'!A:A,0)),"No CUSIP Match")</f>
        <v>No CUSIP Match</v>
      </c>
      <c r="J130" s="73" t="n">
        <f aca="false">$V130</f>
        <v>46968</v>
      </c>
      <c r="K130" s="71" t="str">
        <f aca="false">IFERROR(INDEX('EOD Data'!G:G, MATCH($A130, 'EOD Data'!B:B,0)), "No TKR Match")</f>
        <v>No TKR Match</v>
      </c>
      <c r="L130" s="71" t="str">
        <f aca="false">IFERROR(ROUND($J130*$K130,0),"Error")</f>
        <v>Error</v>
      </c>
      <c r="M130" s="71" t="str">
        <f aca="false">IFERROR(IF(AND($J130&lt;10000,$L130&lt;200000),"Yes","No"),"Error")</f>
        <v>No</v>
      </c>
      <c r="P130" s="42" t="str">
        <f aca="false">IF($N130="SOLE",$J130,"")</f>
        <v/>
      </c>
      <c r="Q130" s="42" t="str">
        <f aca="false">IFERROR(IF($N130="Sole",0,IF(AND($N130="OTR",$R130=0),$J130-$P130,IF(AND($N130="OTR", $R130&gt;0), $J130-$P130-$Q130, ""))),"")</f>
        <v/>
      </c>
      <c r="R130" s="42" t="str">
        <f aca="false">IF($P130=$J130, "0","")</f>
        <v/>
      </c>
      <c r="S130" s="42" t="str">
        <f aca="false">IF(OR(ISBLANK($B130),ISBLANK($C130), ISBLANK($E130), ISBLANK($F130), AND(ISBLANK($G130),ISBLANK($H130)), ISBLANK($I130), ISBLANK($L130), AND(ISBLANK($N130), ISBLANK($O130)), AND(ISBLANK($P130), ISBLANK($Q130), ISBLANK($R130))), "No", "Yes")</f>
        <v>No</v>
      </c>
      <c r="T130" s="42" t="str">
        <f aca="false">SUBSTITUTE($U130," ","")</f>
        <v>13123X508</v>
      </c>
      <c r="U130" s="42" t="s">
        <v>210</v>
      </c>
      <c r="V130" s="39" t="n">
        <v>46968</v>
      </c>
    </row>
    <row r="131" customFormat="false" ht="15" hidden="false" customHeight="false" outlineLevel="0" collapsed="false">
      <c r="B131" s="70" t="s">
        <v>212</v>
      </c>
      <c r="C131" s="71" t="str">
        <f aca="false">IFERROR(INDEX('13F Data'!A:A,MATCH($B131,'13F Data'!A:A,0)),"No CUSIP Match")</f>
        <v>No CUSIP Match</v>
      </c>
      <c r="D131" s="71" t="str">
        <f aca="false">IFERROR(IF($B131=$C131,"Yes","No"),"No CUSIP Match")</f>
        <v>No</v>
      </c>
      <c r="E131" s="71"/>
      <c r="F131" s="71" t="str">
        <f aca="false">IFERROR(INDEX('13F Data'!C:C, MATCH($B131,'13F Data'!A:A,0)),"No CUSIP Match")</f>
        <v>No CUSIP Match</v>
      </c>
      <c r="G131" s="72" t="str">
        <f aca="false">IFERROR(INDEX('13F Data'!D:D,MATCH($B131,'13F Data'!A:A,0)),"No CUSIP Match")</f>
        <v>No CUSIP Match</v>
      </c>
      <c r="J131" s="73" t="n">
        <f aca="false">$V131</f>
        <v>17100</v>
      </c>
      <c r="K131" s="71" t="str">
        <f aca="false">IFERROR(INDEX('EOD Data'!G:G, MATCH($A131, 'EOD Data'!B:B,0)), "No TKR Match")</f>
        <v>No TKR Match</v>
      </c>
      <c r="L131" s="71" t="str">
        <f aca="false">IFERROR(ROUND($J131*$K131,0),"Error")</f>
        <v>Error</v>
      </c>
      <c r="M131" s="71" t="str">
        <f aca="false">IFERROR(IF(AND($J131&lt;10000,$L131&lt;200000),"Yes","No"),"Error")</f>
        <v>No</v>
      </c>
      <c r="P131" s="42" t="str">
        <f aca="false">IF($N131="SOLE",$J131,"")</f>
        <v/>
      </c>
      <c r="Q131" s="42" t="str">
        <f aca="false">IFERROR(IF($N131="Sole",0,IF(AND($N131="OTR",$R131=0),$J131-$P131,IF(AND($N131="OTR", $R131&gt;0), $J131-$P131-$Q131, ""))),"")</f>
        <v/>
      </c>
      <c r="R131" s="42" t="str">
        <f aca="false">IF($P131=$J131, "0","")</f>
        <v/>
      </c>
      <c r="S131" s="42" t="str">
        <f aca="false">IF(OR(ISBLANK($B131),ISBLANK($C131), ISBLANK($E131), ISBLANK($F131), AND(ISBLANK($G131),ISBLANK($H131)), ISBLANK($I131), ISBLANK($L131), AND(ISBLANK($N131), ISBLANK($O131)), AND(ISBLANK($P131), ISBLANK($Q131), ISBLANK($R131))), "No", "Yes")</f>
        <v>No</v>
      </c>
      <c r="T131" s="42" t="str">
        <f aca="false">SUBSTITUTE($U131," ","")</f>
        <v>14040H105</v>
      </c>
      <c r="U131" s="42" t="s">
        <v>212</v>
      </c>
      <c r="V131" s="39" t="n">
        <v>17100</v>
      </c>
    </row>
    <row r="132" customFormat="false" ht="15" hidden="false" customHeight="false" outlineLevel="0" collapsed="false">
      <c r="B132" s="70" t="s">
        <v>212</v>
      </c>
      <c r="C132" s="71" t="str">
        <f aca="false">IFERROR(INDEX('13F Data'!A:A,MATCH($B132,'13F Data'!A:A,0)),"No CUSIP Match")</f>
        <v>No CUSIP Match</v>
      </c>
      <c r="D132" s="71" t="str">
        <f aca="false">IFERROR(IF($B132=$C132,"Yes","No"),"No CUSIP Match")</f>
        <v>No</v>
      </c>
      <c r="E132" s="71"/>
      <c r="F132" s="71" t="str">
        <f aca="false">IFERROR(INDEX('13F Data'!C:C, MATCH($B132,'13F Data'!A:A,0)),"No CUSIP Match")</f>
        <v>No CUSIP Match</v>
      </c>
      <c r="G132" s="72" t="str">
        <f aca="false">IFERROR(INDEX('13F Data'!D:D,MATCH($B132,'13F Data'!A:A,0)),"No CUSIP Match")</f>
        <v>No CUSIP Match</v>
      </c>
      <c r="J132" s="73" t="n">
        <f aca="false">$V132</f>
        <v>17100</v>
      </c>
      <c r="K132" s="71" t="str">
        <f aca="false">IFERROR(INDEX('EOD Data'!G:G, MATCH($A132, 'EOD Data'!B:B,0)), "No TKR Match")</f>
        <v>No TKR Match</v>
      </c>
      <c r="L132" s="71" t="str">
        <f aca="false">IFERROR(ROUND($J132*$K132,0),"Error")</f>
        <v>Error</v>
      </c>
      <c r="M132" s="71" t="str">
        <f aca="false">IFERROR(IF(AND($J132&lt;10000,$L132&lt;200000),"Yes","No"),"Error")</f>
        <v>No</v>
      </c>
      <c r="P132" s="42" t="str">
        <f aca="false">IF($N132="SOLE",$J132,"")</f>
        <v/>
      </c>
      <c r="Q132" s="42" t="str">
        <f aca="false">IFERROR(IF($N132="Sole",0,IF(AND($N132="OTR",$R132=0),$J132-$P132,IF(AND($N132="OTR", $R132&gt;0), $J132-$P132-$Q132, ""))),"")</f>
        <v/>
      </c>
      <c r="R132" s="42" t="str">
        <f aca="false">IF($P132=$J132, "0","")</f>
        <v/>
      </c>
      <c r="S132" s="42" t="str">
        <f aca="false">IF(OR(ISBLANK($B132),ISBLANK($C132), ISBLANK($E132), ISBLANK($F132), AND(ISBLANK($G132),ISBLANK($H132)), ISBLANK($I132), ISBLANK($L132), AND(ISBLANK($N132), ISBLANK($O132)), AND(ISBLANK($P132), ISBLANK($Q132), ISBLANK($R132))), "No", "Yes")</f>
        <v>No</v>
      </c>
      <c r="T132" s="42" t="str">
        <f aca="false">SUBSTITUTE($U132," ","")</f>
        <v>14040H105</v>
      </c>
      <c r="U132" s="42" t="s">
        <v>212</v>
      </c>
      <c r="V132" s="39" t="n">
        <v>17100</v>
      </c>
    </row>
    <row r="133" customFormat="false" ht="15" hidden="false" customHeight="false" outlineLevel="0" collapsed="false">
      <c r="B133" s="70" t="s">
        <v>214</v>
      </c>
      <c r="C133" s="71" t="str">
        <f aca="false">IFERROR(INDEX('13F Data'!A:A,MATCH($B133,'13F Data'!A:A,0)),"No CUSIP Match")</f>
        <v>No CUSIP Match</v>
      </c>
      <c r="D133" s="71" t="str">
        <f aca="false">IFERROR(IF($B133=$C133,"Yes","No"),"No CUSIP Match")</f>
        <v>No</v>
      </c>
      <c r="E133" s="71"/>
      <c r="F133" s="71" t="str">
        <f aca="false">IFERROR(INDEX('13F Data'!C:C, MATCH($B133,'13F Data'!A:A,0)),"No CUSIP Match")</f>
        <v>No CUSIP Match</v>
      </c>
      <c r="G133" s="72" t="str">
        <f aca="false">IFERROR(INDEX('13F Data'!D:D,MATCH($B133,'13F Data'!A:A,0)),"No CUSIP Match")</f>
        <v>No CUSIP Match</v>
      </c>
      <c r="J133" s="73" t="n">
        <f aca="false">$V133</f>
        <v>185520</v>
      </c>
      <c r="K133" s="71" t="str">
        <f aca="false">IFERROR(INDEX('EOD Data'!G:G, MATCH($A133, 'EOD Data'!B:B,0)), "No TKR Match")</f>
        <v>No TKR Match</v>
      </c>
      <c r="L133" s="71" t="str">
        <f aca="false">IFERROR(ROUND($J133*$K133,0),"Error")</f>
        <v>Error</v>
      </c>
      <c r="M133" s="71" t="str">
        <f aca="false">IFERROR(IF(AND($J133&lt;10000,$L133&lt;200000),"Yes","No"),"Error")</f>
        <v>No</v>
      </c>
      <c r="P133" s="42" t="str">
        <f aca="false">IF($N133="SOLE",$J133,"")</f>
        <v/>
      </c>
      <c r="Q133" s="42" t="str">
        <f aca="false">IFERROR(IF($N133="Sole",0,IF(AND($N133="OTR",$R133=0),$J133-$P133,IF(AND($N133="OTR", $R133&gt;0), $J133-$P133-$Q133, ""))),"")</f>
        <v/>
      </c>
      <c r="R133" s="42" t="str">
        <f aca="false">IF($P133=$J133, "0","")</f>
        <v/>
      </c>
      <c r="S133" s="42" t="str">
        <f aca="false">IF(OR(ISBLANK($B133),ISBLANK($C133), ISBLANK($E133), ISBLANK($F133), AND(ISBLANK($G133),ISBLANK($H133)), ISBLANK($I133), ISBLANK($L133), AND(ISBLANK($N133), ISBLANK($O133)), AND(ISBLANK($P133), ISBLANK($Q133), ISBLANK($R133))), "No", "Yes")</f>
        <v>No</v>
      </c>
      <c r="T133" s="42" t="str">
        <f aca="false">SUBSTITUTE($U133," ","")</f>
        <v>G1890L107</v>
      </c>
      <c r="U133" s="42" t="s">
        <v>214</v>
      </c>
      <c r="V133" s="39" t="n">
        <v>185520</v>
      </c>
    </row>
    <row r="134" customFormat="false" ht="15" hidden="false" customHeight="false" outlineLevel="0" collapsed="false">
      <c r="B134" s="70" t="s">
        <v>216</v>
      </c>
      <c r="C134" s="71" t="str">
        <f aca="false">IFERROR(INDEX('13F Data'!A:A,MATCH($B134,'13F Data'!A:A,0)),"No CUSIP Match")</f>
        <v>No CUSIP Match</v>
      </c>
      <c r="D134" s="71" t="str">
        <f aca="false">IFERROR(IF($B134=$C134,"Yes","No"),"No CUSIP Match")</f>
        <v>No</v>
      </c>
      <c r="E134" s="71"/>
      <c r="F134" s="71" t="str">
        <f aca="false">IFERROR(INDEX('13F Data'!C:C, MATCH($B134,'13F Data'!A:A,0)),"No CUSIP Match")</f>
        <v>No CUSIP Match</v>
      </c>
      <c r="G134" s="72" t="str">
        <f aca="false">IFERROR(INDEX('13F Data'!D:D,MATCH($B134,'13F Data'!A:A,0)),"No CUSIP Match")</f>
        <v>No CUSIP Match</v>
      </c>
      <c r="J134" s="73" t="n">
        <f aca="false">$V134</f>
        <v>1637</v>
      </c>
      <c r="K134" s="71" t="str">
        <f aca="false">IFERROR(INDEX('EOD Data'!G:G, MATCH($A134, 'EOD Data'!B:B,0)), "No TKR Match")</f>
        <v>No TKR Match</v>
      </c>
      <c r="L134" s="71" t="str">
        <f aca="false">IFERROR(ROUND($J134*$K134,0),"Error")</f>
        <v>Error</v>
      </c>
      <c r="M134" s="71" t="str">
        <f aca="false">IFERROR(IF(AND($J134&lt;10000,$L134&lt;200000),"Yes","No"),"Error")</f>
        <v>No</v>
      </c>
      <c r="P134" s="42" t="str">
        <f aca="false">IF($N134="SOLE",$J134,"")</f>
        <v/>
      </c>
      <c r="Q134" s="42" t="str">
        <f aca="false">IFERROR(IF($N134="Sole",0,IF(AND($N134="OTR",$R134=0),$J134-$P134,IF(AND($N134="OTR", $R134&gt;0), $J134-$P134-$Q134, ""))),"")</f>
        <v/>
      </c>
      <c r="R134" s="42" t="str">
        <f aca="false">IF($P134=$J134, "0","")</f>
        <v/>
      </c>
      <c r="S134" s="42" t="str">
        <f aca="false">IF(OR(ISBLANK($B134),ISBLANK($C134), ISBLANK($E134), ISBLANK($F134), AND(ISBLANK($G134),ISBLANK($H134)), ISBLANK($I134), ISBLANK($L134), AND(ISBLANK($N134), ISBLANK($O134)), AND(ISBLANK($P134), ISBLANK($Q134), ISBLANK($R134))), "No", "Yes")</f>
        <v>No</v>
      </c>
      <c r="T134" s="42" t="str">
        <f aca="false">SUBSTITUTE($U134," ","")</f>
        <v>143130102</v>
      </c>
      <c r="U134" s="42" t="s">
        <v>216</v>
      </c>
      <c r="V134" s="39" t="n">
        <v>1637</v>
      </c>
    </row>
    <row r="135" customFormat="false" ht="15" hidden="false" customHeight="false" outlineLevel="0" collapsed="false">
      <c r="B135" s="70" t="s">
        <v>216</v>
      </c>
      <c r="C135" s="71" t="str">
        <f aca="false">IFERROR(INDEX('13F Data'!A:A,MATCH($B135,'13F Data'!A:A,0)),"No CUSIP Match")</f>
        <v>No CUSIP Match</v>
      </c>
      <c r="D135" s="71" t="str">
        <f aca="false">IFERROR(IF($B135=$C135,"Yes","No"),"No CUSIP Match")</f>
        <v>No</v>
      </c>
      <c r="E135" s="71"/>
      <c r="F135" s="71" t="str">
        <f aca="false">IFERROR(INDEX('13F Data'!C:C, MATCH($B135,'13F Data'!A:A,0)),"No CUSIP Match")</f>
        <v>No CUSIP Match</v>
      </c>
      <c r="G135" s="72" t="str">
        <f aca="false">IFERROR(INDEX('13F Data'!D:D,MATCH($B135,'13F Data'!A:A,0)),"No CUSIP Match")</f>
        <v>No CUSIP Match</v>
      </c>
      <c r="J135" s="73" t="n">
        <f aca="false">$V135</f>
        <v>4800</v>
      </c>
      <c r="K135" s="71" t="str">
        <f aca="false">IFERROR(INDEX('EOD Data'!G:G, MATCH($A135, 'EOD Data'!B:B,0)), "No TKR Match")</f>
        <v>No TKR Match</v>
      </c>
      <c r="L135" s="71" t="str">
        <f aca="false">IFERROR(ROUND($J135*$K135,0),"Error")</f>
        <v>Error</v>
      </c>
      <c r="M135" s="71" t="str">
        <f aca="false">IFERROR(IF(AND($J135&lt;10000,$L135&lt;200000),"Yes","No"),"Error")</f>
        <v>No</v>
      </c>
      <c r="P135" s="42" t="str">
        <f aca="false">IF($N135="SOLE",$J135,"")</f>
        <v/>
      </c>
      <c r="Q135" s="42" t="str">
        <f aca="false">IFERROR(IF($N135="Sole",0,IF(AND($N135="OTR",$R135=0),$J135-$P135,IF(AND($N135="OTR", $R135&gt;0), $J135-$P135-$Q135, ""))),"")</f>
        <v/>
      </c>
      <c r="R135" s="42" t="str">
        <f aca="false">IF($P135=$J135, "0","")</f>
        <v/>
      </c>
      <c r="S135" s="42" t="str">
        <f aca="false">IF(OR(ISBLANK($B135),ISBLANK($C135), ISBLANK($E135), ISBLANK($F135), AND(ISBLANK($G135),ISBLANK($H135)), ISBLANK($I135), ISBLANK($L135), AND(ISBLANK($N135), ISBLANK($O135)), AND(ISBLANK($P135), ISBLANK($Q135), ISBLANK($R135))), "No", "Yes")</f>
        <v>No</v>
      </c>
      <c r="T135" s="42" t="str">
        <f aca="false">SUBSTITUTE($U135," ","")</f>
        <v>143130102</v>
      </c>
      <c r="U135" s="42" t="s">
        <v>216</v>
      </c>
      <c r="V135" s="39" t="n">
        <v>4800</v>
      </c>
    </row>
    <row r="136" customFormat="false" ht="15" hidden="false" customHeight="false" outlineLevel="0" collapsed="false">
      <c r="B136" s="70" t="s">
        <v>216</v>
      </c>
      <c r="C136" s="71" t="str">
        <f aca="false">IFERROR(INDEX('13F Data'!A:A,MATCH($B136,'13F Data'!A:A,0)),"No CUSIP Match")</f>
        <v>No CUSIP Match</v>
      </c>
      <c r="D136" s="71" t="str">
        <f aca="false">IFERROR(IF($B136=$C136,"Yes","No"),"No CUSIP Match")</f>
        <v>No</v>
      </c>
      <c r="E136" s="71"/>
      <c r="F136" s="71" t="str">
        <f aca="false">IFERROR(INDEX('13F Data'!C:C, MATCH($B136,'13F Data'!A:A,0)),"No CUSIP Match")</f>
        <v>No CUSIP Match</v>
      </c>
      <c r="G136" s="72" t="str">
        <f aca="false">IFERROR(INDEX('13F Data'!D:D,MATCH($B136,'13F Data'!A:A,0)),"No CUSIP Match")</f>
        <v>No CUSIP Match</v>
      </c>
      <c r="J136" s="73" t="n">
        <f aca="false">$V136</f>
        <v>4800</v>
      </c>
      <c r="K136" s="71" t="str">
        <f aca="false">IFERROR(INDEX('EOD Data'!G:G, MATCH($A136, 'EOD Data'!B:B,0)), "No TKR Match")</f>
        <v>No TKR Match</v>
      </c>
      <c r="L136" s="71" t="str">
        <f aca="false">IFERROR(ROUND($J136*$K136,0),"Error")</f>
        <v>Error</v>
      </c>
      <c r="M136" s="71" t="str">
        <f aca="false">IFERROR(IF(AND($J136&lt;10000,$L136&lt;200000),"Yes","No"),"Error")</f>
        <v>No</v>
      </c>
      <c r="P136" s="42" t="str">
        <f aca="false">IF($N136="SOLE",$J136,"")</f>
        <v/>
      </c>
      <c r="Q136" s="42" t="str">
        <f aca="false">IFERROR(IF($N136="Sole",0,IF(AND($N136="OTR",$R136=0),$J136-$P136,IF(AND($N136="OTR", $R136&gt;0), $J136-$P136-$Q136, ""))),"")</f>
        <v/>
      </c>
      <c r="R136" s="42" t="str">
        <f aca="false">IF($P136=$J136, "0","")</f>
        <v/>
      </c>
      <c r="S136" s="42" t="str">
        <f aca="false">IF(OR(ISBLANK($B136),ISBLANK($C136), ISBLANK($E136), ISBLANK($F136), AND(ISBLANK($G136),ISBLANK($H136)), ISBLANK($I136), ISBLANK($L136), AND(ISBLANK($N136), ISBLANK($O136)), AND(ISBLANK($P136), ISBLANK($Q136), ISBLANK($R136))), "No", "Yes")</f>
        <v>No</v>
      </c>
      <c r="T136" s="42" t="str">
        <f aca="false">SUBSTITUTE($U136," ","")</f>
        <v>143130102</v>
      </c>
      <c r="U136" s="42" t="s">
        <v>216</v>
      </c>
      <c r="V136" s="39" t="n">
        <v>4800</v>
      </c>
    </row>
    <row r="137" customFormat="false" ht="15" hidden="false" customHeight="false" outlineLevel="0" collapsed="false">
      <c r="B137" s="70" t="s">
        <v>218</v>
      </c>
      <c r="C137" s="71" t="str">
        <f aca="false">IFERROR(INDEX('13F Data'!A:A,MATCH($B137,'13F Data'!A:A,0)),"No CUSIP Match")</f>
        <v>No CUSIP Match</v>
      </c>
      <c r="D137" s="71" t="str">
        <f aca="false">IFERROR(IF($B137=$C137,"Yes","No"),"No CUSIP Match")</f>
        <v>No</v>
      </c>
      <c r="E137" s="71"/>
      <c r="F137" s="71" t="str">
        <f aca="false">IFERROR(INDEX('13F Data'!C:C, MATCH($B137,'13F Data'!A:A,0)),"No CUSIP Match")</f>
        <v>No CUSIP Match</v>
      </c>
      <c r="G137" s="72" t="str">
        <f aca="false">IFERROR(INDEX('13F Data'!D:D,MATCH($B137,'13F Data'!A:A,0)),"No CUSIP Match")</f>
        <v>No CUSIP Match</v>
      </c>
      <c r="J137" s="73" t="n">
        <f aca="false">$V137</f>
        <v>6178</v>
      </c>
      <c r="K137" s="71" t="str">
        <f aca="false">IFERROR(INDEX('EOD Data'!G:G, MATCH($A137, 'EOD Data'!B:B,0)), "No TKR Match")</f>
        <v>No TKR Match</v>
      </c>
      <c r="L137" s="71" t="str">
        <f aca="false">IFERROR(ROUND($J137*$K137,0),"Error")</f>
        <v>Error</v>
      </c>
      <c r="M137" s="71" t="str">
        <f aca="false">IFERROR(IF(AND($J137&lt;10000,$L137&lt;200000),"Yes","No"),"Error")</f>
        <v>No</v>
      </c>
      <c r="P137" s="42" t="str">
        <f aca="false">IF($N137="SOLE",$J137,"")</f>
        <v/>
      </c>
      <c r="Q137" s="42" t="str">
        <f aca="false">IFERROR(IF($N137="Sole",0,IF(AND($N137="OTR",$R137=0),$J137-$P137,IF(AND($N137="OTR", $R137&gt;0), $J137-$P137-$Q137, ""))),"")</f>
        <v/>
      </c>
      <c r="R137" s="42" t="str">
        <f aca="false">IF($P137=$J137, "0","")</f>
        <v/>
      </c>
      <c r="S137" s="42" t="str">
        <f aca="false">IF(OR(ISBLANK($B137),ISBLANK($C137), ISBLANK($E137), ISBLANK($F137), AND(ISBLANK($G137),ISBLANK($H137)), ISBLANK($I137), ISBLANK($L137), AND(ISBLANK($N137), ISBLANK($O137)), AND(ISBLANK($P137), ISBLANK($Q137), ISBLANK($R137))), "No", "Yes")</f>
        <v>No</v>
      </c>
      <c r="T137" s="42" t="str">
        <f aca="false">SUBSTITUTE($U137," ","")</f>
        <v>143658300</v>
      </c>
      <c r="U137" s="42" t="s">
        <v>218</v>
      </c>
      <c r="V137" s="39" t="n">
        <v>6178</v>
      </c>
    </row>
    <row r="138" customFormat="false" ht="15" hidden="false" customHeight="false" outlineLevel="0" collapsed="false">
      <c r="B138" s="70" t="s">
        <v>218</v>
      </c>
      <c r="C138" s="71" t="str">
        <f aca="false">IFERROR(INDEX('13F Data'!A:A,MATCH($B138,'13F Data'!A:A,0)),"No CUSIP Match")</f>
        <v>No CUSIP Match</v>
      </c>
      <c r="D138" s="71" t="str">
        <f aca="false">IFERROR(IF($B138=$C138,"Yes","No"),"No CUSIP Match")</f>
        <v>No</v>
      </c>
      <c r="E138" s="71"/>
      <c r="F138" s="71" t="str">
        <f aca="false">IFERROR(INDEX('13F Data'!C:C, MATCH($B138,'13F Data'!A:A,0)),"No CUSIP Match")</f>
        <v>No CUSIP Match</v>
      </c>
      <c r="G138" s="72" t="str">
        <f aca="false">IFERROR(INDEX('13F Data'!D:D,MATCH($B138,'13F Data'!A:A,0)),"No CUSIP Match")</f>
        <v>No CUSIP Match</v>
      </c>
      <c r="J138" s="73" t="n">
        <f aca="false">$V138</f>
        <v>121000</v>
      </c>
      <c r="K138" s="71" t="str">
        <f aca="false">IFERROR(INDEX('EOD Data'!G:G, MATCH($A138, 'EOD Data'!B:B,0)), "No TKR Match")</f>
        <v>No TKR Match</v>
      </c>
      <c r="L138" s="71" t="str">
        <f aca="false">IFERROR(ROUND($J138*$K138,0),"Error")</f>
        <v>Error</v>
      </c>
      <c r="M138" s="71" t="str">
        <f aca="false">IFERROR(IF(AND($J138&lt;10000,$L138&lt;200000),"Yes","No"),"Error")</f>
        <v>No</v>
      </c>
      <c r="P138" s="42" t="str">
        <f aca="false">IF($N138="SOLE",$J138,"")</f>
        <v/>
      </c>
      <c r="Q138" s="42" t="str">
        <f aca="false">IFERROR(IF($N138="Sole",0,IF(AND($N138="OTR",$R138=0),$J138-$P138,IF(AND($N138="OTR", $R138&gt;0), $J138-$P138-$Q138, ""))),"")</f>
        <v/>
      </c>
      <c r="R138" s="42" t="str">
        <f aca="false">IF($P138=$J138, "0","")</f>
        <v/>
      </c>
      <c r="S138" s="42" t="str">
        <f aca="false">IF(OR(ISBLANK($B138),ISBLANK($C138), ISBLANK($E138), ISBLANK($F138), AND(ISBLANK($G138),ISBLANK($H138)), ISBLANK($I138), ISBLANK($L138), AND(ISBLANK($N138), ISBLANK($O138)), AND(ISBLANK($P138), ISBLANK($Q138), ISBLANK($R138))), "No", "Yes")</f>
        <v>No</v>
      </c>
      <c r="T138" s="42" t="str">
        <f aca="false">SUBSTITUTE($U138," ","")</f>
        <v>143658300</v>
      </c>
      <c r="U138" s="42" t="s">
        <v>218</v>
      </c>
      <c r="V138" s="39" t="n">
        <v>121000</v>
      </c>
    </row>
    <row r="139" customFormat="false" ht="15" hidden="false" customHeight="false" outlineLevel="0" collapsed="false">
      <c r="B139" s="70" t="s">
        <v>218</v>
      </c>
      <c r="C139" s="71" t="str">
        <f aca="false">IFERROR(INDEX('13F Data'!A:A,MATCH($B139,'13F Data'!A:A,0)),"No CUSIP Match")</f>
        <v>No CUSIP Match</v>
      </c>
      <c r="D139" s="71" t="str">
        <f aca="false">IFERROR(IF($B139=$C139,"Yes","No"),"No CUSIP Match")</f>
        <v>No</v>
      </c>
      <c r="E139" s="71"/>
      <c r="F139" s="71" t="str">
        <f aca="false">IFERROR(INDEX('13F Data'!C:C, MATCH($B139,'13F Data'!A:A,0)),"No CUSIP Match")</f>
        <v>No CUSIP Match</v>
      </c>
      <c r="G139" s="72" t="str">
        <f aca="false">IFERROR(INDEX('13F Data'!D:D,MATCH($B139,'13F Data'!A:A,0)),"No CUSIP Match")</f>
        <v>No CUSIP Match</v>
      </c>
      <c r="J139" s="73" t="n">
        <f aca="false">$V139</f>
        <v>121000</v>
      </c>
      <c r="K139" s="71" t="str">
        <f aca="false">IFERROR(INDEX('EOD Data'!G:G, MATCH($A139, 'EOD Data'!B:B,0)), "No TKR Match")</f>
        <v>No TKR Match</v>
      </c>
      <c r="L139" s="71" t="str">
        <f aca="false">IFERROR(ROUND($J139*$K139,0),"Error")</f>
        <v>Error</v>
      </c>
      <c r="M139" s="71" t="str">
        <f aca="false">IFERROR(IF(AND($J139&lt;10000,$L139&lt;200000),"Yes","No"),"Error")</f>
        <v>No</v>
      </c>
      <c r="P139" s="42" t="str">
        <f aca="false">IF($N139="SOLE",$J139,"")</f>
        <v/>
      </c>
      <c r="Q139" s="42" t="str">
        <f aca="false">IFERROR(IF($N139="Sole",0,IF(AND($N139="OTR",$R139=0),$J139-$P139,IF(AND($N139="OTR", $R139&gt;0), $J139-$P139-$Q139, ""))),"")</f>
        <v/>
      </c>
      <c r="R139" s="42" t="str">
        <f aca="false">IF($P139=$J139, "0","")</f>
        <v/>
      </c>
      <c r="S139" s="42" t="str">
        <f aca="false">IF(OR(ISBLANK($B139),ISBLANK($C139), ISBLANK($E139), ISBLANK($F139), AND(ISBLANK($G139),ISBLANK($H139)), ISBLANK($I139), ISBLANK($L139), AND(ISBLANK($N139), ISBLANK($O139)), AND(ISBLANK($P139), ISBLANK($Q139), ISBLANK($R139))), "No", "Yes")</f>
        <v>No</v>
      </c>
      <c r="T139" s="42" t="str">
        <f aca="false">SUBSTITUTE($U139," ","")</f>
        <v>143658300</v>
      </c>
      <c r="U139" s="42" t="s">
        <v>218</v>
      </c>
      <c r="V139" s="39" t="n">
        <v>121000</v>
      </c>
    </row>
    <row r="140" customFormat="false" ht="15" hidden="false" customHeight="false" outlineLevel="0" collapsed="false">
      <c r="B140" s="70" t="s">
        <v>220</v>
      </c>
      <c r="C140" s="71" t="str">
        <f aca="false">IFERROR(INDEX('13F Data'!A:A,MATCH($B140,'13F Data'!A:A,0)),"No CUSIP Match")</f>
        <v>No CUSIP Match</v>
      </c>
      <c r="D140" s="71" t="str">
        <f aca="false">IFERROR(IF($B140=$C140,"Yes","No"),"No CUSIP Match")</f>
        <v>No</v>
      </c>
      <c r="E140" s="71"/>
      <c r="F140" s="71" t="str">
        <f aca="false">IFERROR(INDEX('13F Data'!C:C, MATCH($B140,'13F Data'!A:A,0)),"No CUSIP Match")</f>
        <v>No CUSIP Match</v>
      </c>
      <c r="G140" s="72" t="str">
        <f aca="false">IFERROR(INDEX('13F Data'!D:D,MATCH($B140,'13F Data'!A:A,0)),"No CUSIP Match")</f>
        <v>No CUSIP Match</v>
      </c>
      <c r="J140" s="73" t="n">
        <f aca="false">$V140</f>
        <v>22700</v>
      </c>
      <c r="K140" s="71" t="str">
        <f aca="false">IFERROR(INDEX('EOD Data'!G:G, MATCH($A140, 'EOD Data'!B:B,0)), "No TKR Match")</f>
        <v>No TKR Match</v>
      </c>
      <c r="L140" s="71" t="str">
        <f aca="false">IFERROR(ROUND($J140*$K140,0),"Error")</f>
        <v>Error</v>
      </c>
      <c r="M140" s="71" t="str">
        <f aca="false">IFERROR(IF(AND($J140&lt;10000,$L140&lt;200000),"Yes","No"),"Error")</f>
        <v>No</v>
      </c>
      <c r="P140" s="42" t="str">
        <f aca="false">IF($N140="SOLE",$J140,"")</f>
        <v/>
      </c>
      <c r="Q140" s="42" t="str">
        <f aca="false">IFERROR(IF($N140="Sole",0,IF(AND($N140="OTR",$R140=0),$J140-$P140,IF(AND($N140="OTR", $R140&gt;0), $J140-$P140-$Q140, ""))),"")</f>
        <v/>
      </c>
      <c r="R140" s="42" t="str">
        <f aca="false">IF($P140=$J140, "0","")</f>
        <v/>
      </c>
      <c r="S140" s="42" t="str">
        <f aca="false">IF(OR(ISBLANK($B140),ISBLANK($C140), ISBLANK($E140), ISBLANK($F140), AND(ISBLANK($G140),ISBLANK($H140)), ISBLANK($I140), ISBLANK($L140), AND(ISBLANK($N140), ISBLANK($O140)), AND(ISBLANK($P140), ISBLANK($Q140), ISBLANK($R140))), "No", "Yes")</f>
        <v>No</v>
      </c>
      <c r="T140" s="42" t="str">
        <f aca="false">SUBSTITUTE($U140," ","")</f>
        <v>14448C104</v>
      </c>
      <c r="U140" s="42" t="s">
        <v>220</v>
      </c>
      <c r="V140" s="39" t="n">
        <v>22700</v>
      </c>
    </row>
    <row r="141" customFormat="false" ht="15" hidden="false" customHeight="false" outlineLevel="0" collapsed="false">
      <c r="B141" s="70" t="s">
        <v>220</v>
      </c>
      <c r="C141" s="71" t="str">
        <f aca="false">IFERROR(INDEX('13F Data'!A:A,MATCH($B141,'13F Data'!A:A,0)),"No CUSIP Match")</f>
        <v>No CUSIP Match</v>
      </c>
      <c r="D141" s="71" t="str">
        <f aca="false">IFERROR(IF($B141=$C141,"Yes","No"),"No CUSIP Match")</f>
        <v>No</v>
      </c>
      <c r="E141" s="71"/>
      <c r="F141" s="71" t="str">
        <f aca="false">IFERROR(INDEX('13F Data'!C:C, MATCH($B141,'13F Data'!A:A,0)),"No CUSIP Match")</f>
        <v>No CUSIP Match</v>
      </c>
      <c r="G141" s="72" t="str">
        <f aca="false">IFERROR(INDEX('13F Data'!D:D,MATCH($B141,'13F Data'!A:A,0)),"No CUSIP Match")</f>
        <v>No CUSIP Match</v>
      </c>
      <c r="J141" s="73" t="n">
        <f aca="false">$V141</f>
        <v>22700</v>
      </c>
      <c r="K141" s="71" t="str">
        <f aca="false">IFERROR(INDEX('EOD Data'!G:G, MATCH($A141, 'EOD Data'!B:B,0)), "No TKR Match")</f>
        <v>No TKR Match</v>
      </c>
      <c r="L141" s="71" t="str">
        <f aca="false">IFERROR(ROUND($J141*$K141,0),"Error")</f>
        <v>Error</v>
      </c>
      <c r="M141" s="71" t="str">
        <f aca="false">IFERROR(IF(AND($J141&lt;10000,$L141&lt;200000),"Yes","No"),"Error")</f>
        <v>No</v>
      </c>
      <c r="P141" s="42" t="str">
        <f aca="false">IF($N141="SOLE",$J141,"")</f>
        <v/>
      </c>
      <c r="Q141" s="42" t="str">
        <f aca="false">IFERROR(IF($N141="Sole",0,IF(AND($N141="OTR",$R141=0),$J141-$P141,IF(AND($N141="OTR", $R141&gt;0), $J141-$P141-$Q141, ""))),"")</f>
        <v/>
      </c>
      <c r="R141" s="42" t="str">
        <f aca="false">IF($P141=$J141, "0","")</f>
        <v/>
      </c>
      <c r="S141" s="42" t="str">
        <f aca="false">IF(OR(ISBLANK($B141),ISBLANK($C141), ISBLANK($E141), ISBLANK($F141), AND(ISBLANK($G141),ISBLANK($H141)), ISBLANK($I141), ISBLANK($L141), AND(ISBLANK($N141), ISBLANK($O141)), AND(ISBLANK($P141), ISBLANK($Q141), ISBLANK($R141))), "No", "Yes")</f>
        <v>No</v>
      </c>
      <c r="T141" s="42" t="str">
        <f aca="false">SUBSTITUTE($U141," ","")</f>
        <v>14448C104</v>
      </c>
      <c r="U141" s="42" t="s">
        <v>220</v>
      </c>
      <c r="V141" s="39" t="n">
        <v>22700</v>
      </c>
    </row>
    <row r="142" customFormat="false" ht="15" hidden="false" customHeight="false" outlineLevel="0" collapsed="false">
      <c r="B142" s="70" t="s">
        <v>222</v>
      </c>
      <c r="C142" s="71" t="str">
        <f aca="false">IFERROR(INDEX('13F Data'!A:A,MATCH($B142,'13F Data'!A:A,0)),"No CUSIP Match")</f>
        <v>No CUSIP Match</v>
      </c>
      <c r="D142" s="71" t="str">
        <f aca="false">IFERROR(IF($B142=$C142,"Yes","No"),"No CUSIP Match")</f>
        <v>No</v>
      </c>
      <c r="E142" s="71"/>
      <c r="F142" s="71" t="str">
        <f aca="false">IFERROR(INDEX('13F Data'!C:C, MATCH($B142,'13F Data'!A:A,0)),"No CUSIP Match")</f>
        <v>No CUSIP Match</v>
      </c>
      <c r="G142" s="72" t="str">
        <f aca="false">IFERROR(INDEX('13F Data'!D:D,MATCH($B142,'13F Data'!A:A,0)),"No CUSIP Match")</f>
        <v>No CUSIP Match</v>
      </c>
      <c r="J142" s="73" t="n">
        <f aca="false">$V142</f>
        <v>90000</v>
      </c>
      <c r="K142" s="71" t="str">
        <f aca="false">IFERROR(INDEX('EOD Data'!G:G, MATCH($A142, 'EOD Data'!B:B,0)), "No TKR Match")</f>
        <v>No TKR Match</v>
      </c>
      <c r="L142" s="71" t="str">
        <f aca="false">IFERROR(ROUND($J142*$K142,0),"Error")</f>
        <v>Error</v>
      </c>
      <c r="M142" s="71" t="str">
        <f aca="false">IFERROR(IF(AND($J142&lt;10000,$L142&lt;200000),"Yes","No"),"Error")</f>
        <v>No</v>
      </c>
      <c r="P142" s="42" t="str">
        <f aca="false">IF($N142="SOLE",$J142,"")</f>
        <v/>
      </c>
      <c r="Q142" s="42" t="str">
        <f aca="false">IFERROR(IF($N142="Sole",0,IF(AND($N142="OTR",$R142=0),$J142-$P142,IF(AND($N142="OTR", $R142&gt;0), $J142-$P142-$Q142, ""))),"")</f>
        <v/>
      </c>
      <c r="R142" s="42" t="str">
        <f aca="false">IF($P142=$J142, "0","")</f>
        <v/>
      </c>
      <c r="S142" s="42" t="str">
        <f aca="false">IF(OR(ISBLANK($B142),ISBLANK($C142), ISBLANK($E142), ISBLANK($F142), AND(ISBLANK($G142),ISBLANK($H142)), ISBLANK($I142), ISBLANK($L142), AND(ISBLANK($N142), ISBLANK($O142)), AND(ISBLANK($P142), ISBLANK($Q142), ISBLANK($R142))), "No", "Yes")</f>
        <v>No</v>
      </c>
      <c r="T142" s="42" t="str">
        <f aca="false">SUBSTITUTE($U142," ","")</f>
        <v>146869102</v>
      </c>
      <c r="U142" s="42" t="s">
        <v>222</v>
      </c>
      <c r="V142" s="39" t="n">
        <v>90000</v>
      </c>
    </row>
    <row r="143" customFormat="false" ht="15" hidden="false" customHeight="false" outlineLevel="0" collapsed="false">
      <c r="B143" s="70" t="s">
        <v>224</v>
      </c>
      <c r="C143" s="71" t="str">
        <f aca="false">IFERROR(INDEX('13F Data'!A:A,MATCH($B143,'13F Data'!A:A,0)),"No CUSIP Match")</f>
        <v>No CUSIP Match</v>
      </c>
      <c r="D143" s="71" t="str">
        <f aca="false">IFERROR(IF($B143=$C143,"Yes","No"),"No CUSIP Match")</f>
        <v>No</v>
      </c>
      <c r="E143" s="71"/>
      <c r="F143" s="71" t="str">
        <f aca="false">IFERROR(INDEX('13F Data'!C:C, MATCH($B143,'13F Data'!A:A,0)),"No CUSIP Match")</f>
        <v>No CUSIP Match</v>
      </c>
      <c r="G143" s="72" t="str">
        <f aca="false">IFERROR(INDEX('13F Data'!D:D,MATCH($B143,'13F Data'!A:A,0)),"No CUSIP Match")</f>
        <v>No CUSIP Match</v>
      </c>
      <c r="J143" s="73" t="n">
        <f aca="false">$V143</f>
        <v>3800</v>
      </c>
      <c r="K143" s="71" t="str">
        <f aca="false">IFERROR(INDEX('EOD Data'!G:G, MATCH($A143, 'EOD Data'!B:B,0)), "No TKR Match")</f>
        <v>No TKR Match</v>
      </c>
      <c r="L143" s="71" t="str">
        <f aca="false">IFERROR(ROUND($J143*$K143,0),"Error")</f>
        <v>Error</v>
      </c>
      <c r="M143" s="71" t="str">
        <f aca="false">IFERROR(IF(AND($J143&lt;10000,$L143&lt;200000),"Yes","No"),"Error")</f>
        <v>No</v>
      </c>
      <c r="P143" s="42" t="str">
        <f aca="false">IF($N143="SOLE",$J143,"")</f>
        <v/>
      </c>
      <c r="Q143" s="42" t="str">
        <f aca="false">IFERROR(IF($N143="Sole",0,IF(AND($N143="OTR",$R143=0),$J143-$P143,IF(AND($N143="OTR", $R143&gt;0), $J143-$P143-$Q143, ""))),"")</f>
        <v/>
      </c>
      <c r="R143" s="42" t="str">
        <f aca="false">IF($P143=$J143, "0","")</f>
        <v/>
      </c>
      <c r="S143" s="42" t="str">
        <f aca="false">IF(OR(ISBLANK($B143),ISBLANK($C143), ISBLANK($E143), ISBLANK($F143), AND(ISBLANK($G143),ISBLANK($H143)), ISBLANK($I143), ISBLANK($L143), AND(ISBLANK($N143), ISBLANK($O143)), AND(ISBLANK($P143), ISBLANK($Q143), ISBLANK($R143))), "No", "Yes")</f>
        <v>No</v>
      </c>
      <c r="T143" s="42" t="str">
        <f aca="false">SUBSTITUTE($U143," ","")</f>
        <v>147528103</v>
      </c>
      <c r="U143" s="42" t="s">
        <v>224</v>
      </c>
      <c r="V143" s="39" t="n">
        <v>3800</v>
      </c>
    </row>
    <row r="144" customFormat="false" ht="15" hidden="false" customHeight="false" outlineLevel="0" collapsed="false">
      <c r="B144" s="70" t="s">
        <v>226</v>
      </c>
      <c r="C144" s="71" t="str">
        <f aca="false">IFERROR(INDEX('13F Data'!A:A,MATCH($B144,'13F Data'!A:A,0)),"No CUSIP Match")</f>
        <v>No CUSIP Match</v>
      </c>
      <c r="D144" s="71" t="str">
        <f aca="false">IFERROR(IF($B144=$C144,"Yes","No"),"No CUSIP Match")</f>
        <v>No</v>
      </c>
      <c r="E144" s="71"/>
      <c r="F144" s="71" t="str">
        <f aca="false">IFERROR(INDEX('13F Data'!C:C, MATCH($B144,'13F Data'!A:A,0)),"No CUSIP Match")</f>
        <v>No CUSIP Match</v>
      </c>
      <c r="G144" s="72" t="str">
        <f aca="false">IFERROR(INDEX('13F Data'!D:D,MATCH($B144,'13F Data'!A:A,0)),"No CUSIP Match")</f>
        <v>No CUSIP Match</v>
      </c>
      <c r="J144" s="73" t="n">
        <f aca="false">$V144</f>
        <v>97223</v>
      </c>
      <c r="K144" s="71" t="str">
        <f aca="false">IFERROR(INDEX('EOD Data'!G:G, MATCH($A144, 'EOD Data'!B:B,0)), "No TKR Match")</f>
        <v>No TKR Match</v>
      </c>
      <c r="L144" s="71" t="str">
        <f aca="false">IFERROR(ROUND($J144*$K144,0),"Error")</f>
        <v>Error</v>
      </c>
      <c r="M144" s="71" t="str">
        <f aca="false">IFERROR(IF(AND($J144&lt;10000,$L144&lt;200000),"Yes","No"),"Error")</f>
        <v>No</v>
      </c>
      <c r="P144" s="42" t="str">
        <f aca="false">IF($N144="SOLE",$J144,"")</f>
        <v/>
      </c>
      <c r="Q144" s="42" t="str">
        <f aca="false">IFERROR(IF($N144="Sole",0,IF(AND($N144="OTR",$R144=0),$J144-$P144,IF(AND($N144="OTR", $R144&gt;0), $J144-$P144-$Q144, ""))),"")</f>
        <v/>
      </c>
      <c r="R144" s="42" t="str">
        <f aca="false">IF($P144=$J144, "0","")</f>
        <v/>
      </c>
      <c r="S144" s="42" t="str">
        <f aca="false">IF(OR(ISBLANK($B144),ISBLANK($C144), ISBLANK($E144), ISBLANK($F144), AND(ISBLANK($G144),ISBLANK($H144)), ISBLANK($I144), ISBLANK($L144), AND(ISBLANK($N144), ISBLANK($O144)), AND(ISBLANK($P144), ISBLANK($Q144), ISBLANK($R144))), "No", "Yes")</f>
        <v>No</v>
      </c>
      <c r="T144" s="42" t="str">
        <f aca="false">SUBSTITUTE($U144," ","")</f>
        <v>148806102</v>
      </c>
      <c r="U144" s="42" t="s">
        <v>226</v>
      </c>
      <c r="V144" s="39" t="n">
        <v>97223</v>
      </c>
    </row>
    <row r="145" customFormat="false" ht="15" hidden="false" customHeight="false" outlineLevel="0" collapsed="false">
      <c r="B145" s="70" t="s">
        <v>228</v>
      </c>
      <c r="C145" s="71" t="str">
        <f aca="false">IFERROR(INDEX('13F Data'!A:A,MATCH($B145,'13F Data'!A:A,0)),"No CUSIP Match")</f>
        <v>No CUSIP Match</v>
      </c>
      <c r="D145" s="71" t="str">
        <f aca="false">IFERROR(IF($B145=$C145,"Yes","No"),"No CUSIP Match")</f>
        <v>No</v>
      </c>
      <c r="E145" s="71"/>
      <c r="F145" s="71" t="str">
        <f aca="false">IFERROR(INDEX('13F Data'!C:C, MATCH($B145,'13F Data'!A:A,0)),"No CUSIP Match")</f>
        <v>No CUSIP Match</v>
      </c>
      <c r="G145" s="72" t="str">
        <f aca="false">IFERROR(INDEX('13F Data'!D:D,MATCH($B145,'13F Data'!A:A,0)),"No CUSIP Match")</f>
        <v>No CUSIP Match</v>
      </c>
      <c r="J145" s="73" t="n">
        <f aca="false">$V145</f>
        <v>8200</v>
      </c>
      <c r="K145" s="71" t="str">
        <f aca="false">IFERROR(INDEX('EOD Data'!G:G, MATCH($A145, 'EOD Data'!B:B,0)), "No TKR Match")</f>
        <v>No TKR Match</v>
      </c>
      <c r="L145" s="71" t="str">
        <f aca="false">IFERROR(ROUND($J145*$K145,0),"Error")</f>
        <v>Error</v>
      </c>
      <c r="M145" s="71" t="str">
        <f aca="false">IFERROR(IF(AND($J145&lt;10000,$L145&lt;200000),"Yes","No"),"Error")</f>
        <v>No</v>
      </c>
      <c r="P145" s="42" t="str">
        <f aca="false">IF($N145="SOLE",$J145,"")</f>
        <v/>
      </c>
      <c r="Q145" s="42" t="str">
        <f aca="false">IFERROR(IF($N145="Sole",0,IF(AND($N145="OTR",$R145=0),$J145-$P145,IF(AND($N145="OTR", $R145&gt;0), $J145-$P145-$Q145, ""))),"")</f>
        <v/>
      </c>
      <c r="R145" s="42" t="str">
        <f aca="false">IF($P145=$J145, "0","")</f>
        <v/>
      </c>
      <c r="S145" s="42" t="str">
        <f aca="false">IF(OR(ISBLANK($B145),ISBLANK($C145), ISBLANK($E145), ISBLANK($F145), AND(ISBLANK($G145),ISBLANK($H145)), ISBLANK($I145), ISBLANK($L145), AND(ISBLANK($N145), ISBLANK($O145)), AND(ISBLANK($P145), ISBLANK($Q145), ISBLANK($R145))), "No", "Yes")</f>
        <v>No</v>
      </c>
      <c r="T145" s="42" t="str">
        <f aca="false">SUBSTITUTE($U145," ","")</f>
        <v>149123101</v>
      </c>
      <c r="U145" s="42" t="s">
        <v>228</v>
      </c>
      <c r="V145" s="39" t="n">
        <v>8200</v>
      </c>
    </row>
    <row r="146" customFormat="false" ht="15" hidden="false" customHeight="false" outlineLevel="0" collapsed="false">
      <c r="B146" s="70" t="s">
        <v>228</v>
      </c>
      <c r="C146" s="71" t="str">
        <f aca="false">IFERROR(INDEX('13F Data'!A:A,MATCH($B146,'13F Data'!A:A,0)),"No CUSIP Match")</f>
        <v>No CUSIP Match</v>
      </c>
      <c r="D146" s="71" t="str">
        <f aca="false">IFERROR(IF($B146=$C146,"Yes","No"),"No CUSIP Match")</f>
        <v>No</v>
      </c>
      <c r="E146" s="71"/>
      <c r="F146" s="71" t="str">
        <f aca="false">IFERROR(INDEX('13F Data'!C:C, MATCH($B146,'13F Data'!A:A,0)),"No CUSIP Match")</f>
        <v>No CUSIP Match</v>
      </c>
      <c r="G146" s="72" t="str">
        <f aca="false">IFERROR(INDEX('13F Data'!D:D,MATCH($B146,'13F Data'!A:A,0)),"No CUSIP Match")</f>
        <v>No CUSIP Match</v>
      </c>
      <c r="J146" s="73" t="n">
        <f aca="false">$V146</f>
        <v>8200</v>
      </c>
      <c r="K146" s="71" t="str">
        <f aca="false">IFERROR(INDEX('EOD Data'!G:G, MATCH($A146, 'EOD Data'!B:B,0)), "No TKR Match")</f>
        <v>No TKR Match</v>
      </c>
      <c r="L146" s="71" t="str">
        <f aca="false">IFERROR(ROUND($J146*$K146,0),"Error")</f>
        <v>Error</v>
      </c>
      <c r="M146" s="71" t="str">
        <f aca="false">IFERROR(IF(AND($J146&lt;10000,$L146&lt;200000),"Yes","No"),"Error")</f>
        <v>No</v>
      </c>
      <c r="P146" s="42" t="str">
        <f aca="false">IF($N146="SOLE",$J146,"")</f>
        <v/>
      </c>
      <c r="Q146" s="42" t="str">
        <f aca="false">IFERROR(IF($N146="Sole",0,IF(AND($N146="OTR",$R146=0),$J146-$P146,IF(AND($N146="OTR", $R146&gt;0), $J146-$P146-$Q146, ""))),"")</f>
        <v/>
      </c>
      <c r="R146" s="42" t="str">
        <f aca="false">IF($P146=$J146, "0","")</f>
        <v/>
      </c>
      <c r="S146" s="42" t="str">
        <f aca="false">IF(OR(ISBLANK($B146),ISBLANK($C146), ISBLANK($E146), ISBLANK($F146), AND(ISBLANK($G146),ISBLANK($H146)), ISBLANK($I146), ISBLANK($L146), AND(ISBLANK($N146), ISBLANK($O146)), AND(ISBLANK($P146), ISBLANK($Q146), ISBLANK($R146))), "No", "Yes")</f>
        <v>No</v>
      </c>
      <c r="T146" s="42" t="str">
        <f aca="false">SUBSTITUTE($U146," ","")</f>
        <v>149123101</v>
      </c>
      <c r="U146" s="42" t="s">
        <v>228</v>
      </c>
      <c r="V146" s="39" t="n">
        <v>8200</v>
      </c>
    </row>
    <row r="147" customFormat="false" ht="15" hidden="false" customHeight="false" outlineLevel="0" collapsed="false">
      <c r="B147" s="70" t="s">
        <v>230</v>
      </c>
      <c r="C147" s="71" t="str">
        <f aca="false">IFERROR(INDEX('13F Data'!A:A,MATCH($B147,'13F Data'!A:A,0)),"No CUSIP Match")</f>
        <v>No CUSIP Match</v>
      </c>
      <c r="D147" s="71" t="str">
        <f aca="false">IFERROR(IF($B147=$C147,"Yes","No"),"No CUSIP Match")</f>
        <v>No</v>
      </c>
      <c r="E147" s="71"/>
      <c r="F147" s="71" t="str">
        <f aca="false">IFERROR(INDEX('13F Data'!C:C, MATCH($B147,'13F Data'!A:A,0)),"No CUSIP Match")</f>
        <v>No CUSIP Match</v>
      </c>
      <c r="G147" s="72" t="str">
        <f aca="false">IFERROR(INDEX('13F Data'!D:D,MATCH($B147,'13F Data'!A:A,0)),"No CUSIP Match")</f>
        <v>No CUSIP Match</v>
      </c>
      <c r="J147" s="73" t="n">
        <f aca="false">$V147</f>
        <v>130567</v>
      </c>
      <c r="K147" s="71" t="str">
        <f aca="false">IFERROR(INDEX('EOD Data'!G:G, MATCH($A147, 'EOD Data'!B:B,0)), "No TKR Match")</f>
        <v>No TKR Match</v>
      </c>
      <c r="L147" s="71" t="str">
        <f aca="false">IFERROR(ROUND($J147*$K147,0),"Error")</f>
        <v>Error</v>
      </c>
      <c r="M147" s="71" t="str">
        <f aca="false">IFERROR(IF(AND($J147&lt;10000,$L147&lt;200000),"Yes","No"),"Error")</f>
        <v>No</v>
      </c>
      <c r="P147" s="42" t="str">
        <f aca="false">IF($N147="SOLE",$J147,"")</f>
        <v/>
      </c>
      <c r="Q147" s="42" t="str">
        <f aca="false">IFERROR(IF($N147="Sole",0,IF(AND($N147="OTR",$R147=0),$J147-$P147,IF(AND($N147="OTR", $R147&gt;0), $J147-$P147-$Q147, ""))),"")</f>
        <v/>
      </c>
      <c r="R147" s="42" t="str">
        <f aca="false">IF($P147=$J147, "0","")</f>
        <v/>
      </c>
      <c r="S147" s="42" t="str">
        <f aca="false">IF(OR(ISBLANK($B147),ISBLANK($C147), ISBLANK($E147), ISBLANK($F147), AND(ISBLANK($G147),ISBLANK($H147)), ISBLANK($I147), ISBLANK($L147), AND(ISBLANK($N147), ISBLANK($O147)), AND(ISBLANK($P147), ISBLANK($Q147), ISBLANK($R147))), "No", "Yes")</f>
        <v>No</v>
      </c>
      <c r="T147" s="42" t="str">
        <f aca="false">SUBSTITUTE($U147," ","")</f>
        <v>15118V207</v>
      </c>
      <c r="U147" s="42" t="s">
        <v>230</v>
      </c>
      <c r="V147" s="39" t="n">
        <v>130567</v>
      </c>
    </row>
    <row r="148" customFormat="false" ht="15" hidden="false" customHeight="false" outlineLevel="0" collapsed="false">
      <c r="B148" s="70" t="s">
        <v>232</v>
      </c>
      <c r="C148" s="71" t="str">
        <f aca="false">IFERROR(INDEX('13F Data'!A:A,MATCH($B148,'13F Data'!A:A,0)),"No CUSIP Match")</f>
        <v>No CUSIP Match</v>
      </c>
      <c r="D148" s="71" t="str">
        <f aca="false">IFERROR(IF($B148=$C148,"Yes","No"),"No CUSIP Match")</f>
        <v>No</v>
      </c>
      <c r="E148" s="71"/>
      <c r="F148" s="71" t="str">
        <f aca="false">IFERROR(INDEX('13F Data'!C:C, MATCH($B148,'13F Data'!A:A,0)),"No CUSIP Match")</f>
        <v>No CUSIP Match</v>
      </c>
      <c r="G148" s="72" t="str">
        <f aca="false">IFERROR(INDEX('13F Data'!D:D,MATCH($B148,'13F Data'!A:A,0)),"No CUSIP Match")</f>
        <v>No CUSIP Match</v>
      </c>
      <c r="J148" s="73" t="n">
        <f aca="false">$V148</f>
        <v>828</v>
      </c>
      <c r="K148" s="71" t="str">
        <f aca="false">IFERROR(INDEX('EOD Data'!G:G, MATCH($A148, 'EOD Data'!B:B,0)), "No TKR Match")</f>
        <v>No TKR Match</v>
      </c>
      <c r="L148" s="71" t="str">
        <f aca="false">IFERROR(ROUND($J148*$K148,0),"Error")</f>
        <v>Error</v>
      </c>
      <c r="M148" s="71" t="str">
        <f aca="false">IFERROR(IF(AND($J148&lt;10000,$L148&lt;200000),"Yes","No"),"Error")</f>
        <v>No</v>
      </c>
      <c r="P148" s="42" t="str">
        <f aca="false">IF($N148="SOLE",$J148,"")</f>
        <v/>
      </c>
      <c r="Q148" s="42" t="str">
        <f aca="false">IFERROR(IF($N148="Sole",0,IF(AND($N148="OTR",$R148=0),$J148-$P148,IF(AND($N148="OTR", $R148&gt;0), $J148-$P148-$Q148, ""))),"")</f>
        <v/>
      </c>
      <c r="R148" s="42" t="str">
        <f aca="false">IF($P148=$J148, "0","")</f>
        <v/>
      </c>
      <c r="S148" s="42" t="str">
        <f aca="false">IF(OR(ISBLANK($B148),ISBLANK($C148), ISBLANK($E148), ISBLANK($F148), AND(ISBLANK($G148),ISBLANK($H148)), ISBLANK($I148), ISBLANK($L148), AND(ISBLANK($N148), ISBLANK($O148)), AND(ISBLANK($P148), ISBLANK($Q148), ISBLANK($R148))), "No", "Yes")</f>
        <v>No</v>
      </c>
      <c r="T148" s="42" t="str">
        <f aca="false">SUBSTITUTE($U148," ","")</f>
        <v>15135U109</v>
      </c>
      <c r="U148" s="42" t="s">
        <v>232</v>
      </c>
      <c r="V148" s="39" t="n">
        <v>828</v>
      </c>
    </row>
    <row r="149" customFormat="false" ht="15" hidden="false" customHeight="false" outlineLevel="0" collapsed="false">
      <c r="B149" s="70" t="s">
        <v>232</v>
      </c>
      <c r="C149" s="71" t="str">
        <f aca="false">IFERROR(INDEX('13F Data'!A:A,MATCH($B149,'13F Data'!A:A,0)),"No CUSIP Match")</f>
        <v>No CUSIP Match</v>
      </c>
      <c r="D149" s="71" t="str">
        <f aca="false">IFERROR(IF($B149=$C149,"Yes","No"),"No CUSIP Match")</f>
        <v>No</v>
      </c>
      <c r="E149" s="71"/>
      <c r="F149" s="71" t="str">
        <f aca="false">IFERROR(INDEX('13F Data'!C:C, MATCH($B149,'13F Data'!A:A,0)),"No CUSIP Match")</f>
        <v>No CUSIP Match</v>
      </c>
      <c r="G149" s="72" t="str">
        <f aca="false">IFERROR(INDEX('13F Data'!D:D,MATCH($B149,'13F Data'!A:A,0)),"No CUSIP Match")</f>
        <v>No CUSIP Match</v>
      </c>
      <c r="J149" s="73" t="n">
        <f aca="false">$V149</f>
        <v>83100</v>
      </c>
      <c r="K149" s="71" t="str">
        <f aca="false">IFERROR(INDEX('EOD Data'!G:G, MATCH($A149, 'EOD Data'!B:B,0)), "No TKR Match")</f>
        <v>No TKR Match</v>
      </c>
      <c r="L149" s="71" t="str">
        <f aca="false">IFERROR(ROUND($J149*$K149,0),"Error")</f>
        <v>Error</v>
      </c>
      <c r="M149" s="71" t="str">
        <f aca="false">IFERROR(IF(AND($J149&lt;10000,$L149&lt;200000),"Yes","No"),"Error")</f>
        <v>No</v>
      </c>
      <c r="P149" s="42" t="str">
        <f aca="false">IF($N149="SOLE",$J149,"")</f>
        <v/>
      </c>
      <c r="Q149" s="42" t="str">
        <f aca="false">IFERROR(IF($N149="Sole",0,IF(AND($N149="OTR",$R149=0),$J149-$P149,IF(AND($N149="OTR", $R149&gt;0), $J149-$P149-$Q149, ""))),"")</f>
        <v/>
      </c>
      <c r="R149" s="42" t="str">
        <f aca="false">IF($P149=$J149, "0","")</f>
        <v/>
      </c>
      <c r="S149" s="42" t="str">
        <f aca="false">IF(OR(ISBLANK($B149),ISBLANK($C149), ISBLANK($E149), ISBLANK($F149), AND(ISBLANK($G149),ISBLANK($H149)), ISBLANK($I149), ISBLANK($L149), AND(ISBLANK($N149), ISBLANK($O149)), AND(ISBLANK($P149), ISBLANK($Q149), ISBLANK($R149))), "No", "Yes")</f>
        <v>No</v>
      </c>
      <c r="T149" s="42" t="str">
        <f aca="false">SUBSTITUTE($U149," ","")</f>
        <v>15135U109</v>
      </c>
      <c r="U149" s="42" t="s">
        <v>232</v>
      </c>
      <c r="V149" s="39" t="n">
        <v>83100</v>
      </c>
    </row>
    <row r="150" customFormat="false" ht="15" hidden="false" customHeight="false" outlineLevel="0" collapsed="false">
      <c r="B150" s="70" t="s">
        <v>232</v>
      </c>
      <c r="C150" s="71" t="str">
        <f aca="false">IFERROR(INDEX('13F Data'!A:A,MATCH($B150,'13F Data'!A:A,0)),"No CUSIP Match")</f>
        <v>No CUSIP Match</v>
      </c>
      <c r="D150" s="71" t="str">
        <f aca="false">IFERROR(IF($B150=$C150,"Yes","No"),"No CUSIP Match")</f>
        <v>No</v>
      </c>
      <c r="E150" s="71"/>
      <c r="F150" s="71" t="str">
        <f aca="false">IFERROR(INDEX('13F Data'!C:C, MATCH($B150,'13F Data'!A:A,0)),"No CUSIP Match")</f>
        <v>No CUSIP Match</v>
      </c>
      <c r="G150" s="72" t="str">
        <f aca="false">IFERROR(INDEX('13F Data'!D:D,MATCH($B150,'13F Data'!A:A,0)),"No CUSIP Match")</f>
        <v>No CUSIP Match</v>
      </c>
      <c r="J150" s="73" t="n">
        <f aca="false">$V150</f>
        <v>83100</v>
      </c>
      <c r="K150" s="71" t="str">
        <f aca="false">IFERROR(INDEX('EOD Data'!G:G, MATCH($A150, 'EOD Data'!B:B,0)), "No TKR Match")</f>
        <v>No TKR Match</v>
      </c>
      <c r="L150" s="71" t="str">
        <f aca="false">IFERROR(ROUND($J150*$K150,0),"Error")</f>
        <v>Error</v>
      </c>
      <c r="M150" s="71" t="str">
        <f aca="false">IFERROR(IF(AND($J150&lt;10000,$L150&lt;200000),"Yes","No"),"Error")</f>
        <v>No</v>
      </c>
      <c r="P150" s="42" t="str">
        <f aca="false">IF($N150="SOLE",$J150,"")</f>
        <v/>
      </c>
      <c r="Q150" s="42" t="str">
        <f aca="false">IFERROR(IF($N150="Sole",0,IF(AND($N150="OTR",$R150=0),$J150-$P150,IF(AND($N150="OTR", $R150&gt;0), $J150-$P150-$Q150, ""))),"")</f>
        <v/>
      </c>
      <c r="R150" s="42" t="str">
        <f aca="false">IF($P150=$J150, "0","")</f>
        <v/>
      </c>
      <c r="S150" s="42" t="str">
        <f aca="false">IF(OR(ISBLANK($B150),ISBLANK($C150), ISBLANK($E150), ISBLANK($F150), AND(ISBLANK($G150),ISBLANK($H150)), ISBLANK($I150), ISBLANK($L150), AND(ISBLANK($N150), ISBLANK($O150)), AND(ISBLANK($P150), ISBLANK($Q150), ISBLANK($R150))), "No", "Yes")</f>
        <v>No</v>
      </c>
      <c r="T150" s="42" t="str">
        <f aca="false">SUBSTITUTE($U150," ","")</f>
        <v>15135U109</v>
      </c>
      <c r="U150" s="42" t="s">
        <v>232</v>
      </c>
      <c r="V150" s="39" t="n">
        <v>83100</v>
      </c>
    </row>
    <row r="151" customFormat="false" ht="15" hidden="false" customHeight="false" outlineLevel="0" collapsed="false">
      <c r="B151" s="70" t="s">
        <v>234</v>
      </c>
      <c r="C151" s="71" t="str">
        <f aca="false">IFERROR(INDEX('13F Data'!A:A,MATCH($B151,'13F Data'!A:A,0)),"No CUSIP Match")</f>
        <v>No CUSIP Match</v>
      </c>
      <c r="D151" s="71" t="str">
        <f aca="false">IFERROR(IF($B151=$C151,"Yes","No"),"No CUSIP Match")</f>
        <v>No</v>
      </c>
      <c r="E151" s="71"/>
      <c r="F151" s="71" t="str">
        <f aca="false">IFERROR(INDEX('13F Data'!C:C, MATCH($B151,'13F Data'!A:A,0)),"No CUSIP Match")</f>
        <v>No CUSIP Match</v>
      </c>
      <c r="G151" s="72" t="str">
        <f aca="false">IFERROR(INDEX('13F Data'!D:D,MATCH($B151,'13F Data'!A:A,0)),"No CUSIP Match")</f>
        <v>No CUSIP Match</v>
      </c>
      <c r="J151" s="73" t="n">
        <f aca="false">$V151</f>
        <v>10000000</v>
      </c>
      <c r="K151" s="71" t="str">
        <f aca="false">IFERROR(INDEX('EOD Data'!G:G, MATCH($A151, 'EOD Data'!B:B,0)), "No TKR Match")</f>
        <v>No TKR Match</v>
      </c>
      <c r="L151" s="71" t="str">
        <f aca="false">IFERROR(ROUND($J151*$K151,0),"Error")</f>
        <v>Error</v>
      </c>
      <c r="M151" s="71" t="str">
        <f aca="false">IFERROR(IF(AND($J151&lt;10000,$L151&lt;200000),"Yes","No"),"Error")</f>
        <v>No</v>
      </c>
      <c r="P151" s="42" t="str">
        <f aca="false">IF($N151="SOLE",$J151,"")</f>
        <v/>
      </c>
      <c r="Q151" s="42" t="str">
        <f aca="false">IFERROR(IF($N151="Sole",0,IF(AND($N151="OTR",$R151=0),$J151-$P151,IF(AND($N151="OTR", $R151&gt;0), $J151-$P151-$Q151, ""))),"")</f>
        <v/>
      </c>
      <c r="R151" s="42" t="str">
        <f aca="false">IF($P151=$J151, "0","")</f>
        <v/>
      </c>
      <c r="S151" s="42" t="str">
        <f aca="false">IF(OR(ISBLANK($B151),ISBLANK($C151), ISBLANK($E151), ISBLANK($F151), AND(ISBLANK($G151),ISBLANK($H151)), ISBLANK($I151), ISBLANK($L151), AND(ISBLANK($N151), ISBLANK($O151)), AND(ISBLANK($P151), ISBLANK($Q151), ISBLANK($R151))), "No", "Yes")</f>
        <v>No</v>
      </c>
      <c r="T151" s="42" t="str">
        <f aca="false">SUBSTITUTE($U151," ","")</f>
        <v>156431AQ1</v>
      </c>
      <c r="U151" s="42" t="s">
        <v>234</v>
      </c>
      <c r="V151" s="39" t="n">
        <v>10000000</v>
      </c>
    </row>
    <row r="152" customFormat="false" ht="15" hidden="false" customHeight="false" outlineLevel="0" collapsed="false">
      <c r="B152" s="70" t="s">
        <v>236</v>
      </c>
      <c r="C152" s="71" t="str">
        <f aca="false">IFERROR(INDEX('13F Data'!A:A,MATCH($B152,'13F Data'!A:A,0)),"No CUSIP Match")</f>
        <v>No CUSIP Match</v>
      </c>
      <c r="D152" s="71" t="str">
        <f aca="false">IFERROR(IF($B152=$C152,"Yes","No"),"No CUSIP Match")</f>
        <v>No</v>
      </c>
      <c r="E152" s="71"/>
      <c r="F152" s="71" t="str">
        <f aca="false">IFERROR(INDEX('13F Data'!C:C, MATCH($B152,'13F Data'!A:A,0)),"No CUSIP Match")</f>
        <v>No CUSIP Match</v>
      </c>
      <c r="G152" s="72" t="str">
        <f aca="false">IFERROR(INDEX('13F Data'!D:D,MATCH($B152,'13F Data'!A:A,0)),"No CUSIP Match")</f>
        <v>No CUSIP Match</v>
      </c>
      <c r="J152" s="73" t="n">
        <f aca="false">$V152</f>
        <v>27000000</v>
      </c>
      <c r="K152" s="71" t="str">
        <f aca="false">IFERROR(INDEX('EOD Data'!G:G, MATCH($A152, 'EOD Data'!B:B,0)), "No TKR Match")</f>
        <v>No TKR Match</v>
      </c>
      <c r="L152" s="71" t="str">
        <f aca="false">IFERROR(ROUND($J152*$K152,0),"Error")</f>
        <v>Error</v>
      </c>
      <c r="M152" s="71" t="str">
        <f aca="false">IFERROR(IF(AND($J152&lt;10000,$L152&lt;200000),"Yes","No"),"Error")</f>
        <v>No</v>
      </c>
      <c r="P152" s="42" t="str">
        <f aca="false">IF($N152="SOLE",$J152,"")</f>
        <v/>
      </c>
      <c r="Q152" s="42" t="str">
        <f aca="false">IFERROR(IF($N152="Sole",0,IF(AND($N152="OTR",$R152=0),$J152-$P152,IF(AND($N152="OTR", $R152&gt;0), $J152-$P152-$Q152, ""))),"")</f>
        <v/>
      </c>
      <c r="R152" s="42" t="str">
        <f aca="false">IF($P152=$J152, "0","")</f>
        <v/>
      </c>
      <c r="S152" s="42" t="str">
        <f aca="false">IF(OR(ISBLANK($B152),ISBLANK($C152), ISBLANK($E152), ISBLANK($F152), AND(ISBLANK($G152),ISBLANK($H152)), ISBLANK($I152), ISBLANK($L152), AND(ISBLANK($N152), ISBLANK($O152)), AND(ISBLANK($P152), ISBLANK($Q152), ISBLANK($R152))), "No", "Yes")</f>
        <v>No</v>
      </c>
      <c r="T152" s="42" t="str">
        <f aca="false">SUBSTITUTE($U152," ","")</f>
        <v>156727AC3</v>
      </c>
      <c r="U152" s="42" t="s">
        <v>236</v>
      </c>
      <c r="V152" s="39" t="n">
        <v>27000000</v>
      </c>
    </row>
    <row r="153" customFormat="false" ht="15" hidden="false" customHeight="false" outlineLevel="0" collapsed="false">
      <c r="B153" s="70" t="s">
        <v>238</v>
      </c>
      <c r="C153" s="71" t="str">
        <f aca="false">IFERROR(INDEX('13F Data'!A:A,MATCH($B153,'13F Data'!A:A,0)),"No CUSIP Match")</f>
        <v>No CUSIP Match</v>
      </c>
      <c r="D153" s="71" t="str">
        <f aca="false">IFERROR(IF($B153=$C153,"Yes","No"),"No CUSIP Match")</f>
        <v>No</v>
      </c>
      <c r="E153" s="71"/>
      <c r="F153" s="71" t="str">
        <f aca="false">IFERROR(INDEX('13F Data'!C:C, MATCH($B153,'13F Data'!A:A,0)),"No CUSIP Match")</f>
        <v>No CUSIP Match</v>
      </c>
      <c r="G153" s="72" t="str">
        <f aca="false">IFERROR(INDEX('13F Data'!D:D,MATCH($B153,'13F Data'!A:A,0)),"No CUSIP Match")</f>
        <v>No CUSIP Match</v>
      </c>
      <c r="J153" s="73" t="n">
        <f aca="false">$V153</f>
        <v>20500000</v>
      </c>
      <c r="K153" s="71" t="str">
        <f aca="false">IFERROR(INDEX('EOD Data'!G:G, MATCH($A153, 'EOD Data'!B:B,0)), "No TKR Match")</f>
        <v>No TKR Match</v>
      </c>
      <c r="L153" s="71" t="str">
        <f aca="false">IFERROR(ROUND($J153*$K153,0),"Error")</f>
        <v>Error</v>
      </c>
      <c r="M153" s="71" t="str">
        <f aca="false">IFERROR(IF(AND($J153&lt;10000,$L153&lt;200000),"Yes","No"),"Error")</f>
        <v>No</v>
      </c>
      <c r="P153" s="42" t="str">
        <f aca="false">IF($N153="SOLE",$J153,"")</f>
        <v/>
      </c>
      <c r="Q153" s="42" t="str">
        <f aca="false">IFERROR(IF($N153="Sole",0,IF(AND($N153="OTR",$R153=0),$J153-$P153,IF(AND($N153="OTR", $R153&gt;0), $J153-$P153-$Q153, ""))),"")</f>
        <v/>
      </c>
      <c r="R153" s="42" t="str">
        <f aca="false">IF($P153=$J153, "0","")</f>
        <v/>
      </c>
      <c r="S153" s="42" t="str">
        <f aca="false">IF(OR(ISBLANK($B153),ISBLANK($C153), ISBLANK($E153), ISBLANK($F153), AND(ISBLANK($G153),ISBLANK($H153)), ISBLANK($I153), ISBLANK($L153), AND(ISBLANK($N153), ISBLANK($O153)), AND(ISBLANK($P153), ISBLANK($Q153), ISBLANK($R153))), "No", "Yes")</f>
        <v>No</v>
      </c>
      <c r="T153" s="42" t="str">
        <f aca="false">SUBSTITUTE($U153," ","")</f>
        <v>15678UAA0</v>
      </c>
      <c r="U153" s="42" t="s">
        <v>238</v>
      </c>
      <c r="V153" s="39" t="n">
        <v>20500000</v>
      </c>
    </row>
    <row r="154" customFormat="false" ht="15" hidden="false" customHeight="false" outlineLevel="0" collapsed="false">
      <c r="B154" s="70" t="s">
        <v>240</v>
      </c>
      <c r="C154" s="71" t="str">
        <f aca="false">IFERROR(INDEX('13F Data'!A:A,MATCH($B154,'13F Data'!A:A,0)),"No CUSIP Match")</f>
        <v>No CUSIP Match</v>
      </c>
      <c r="D154" s="71" t="str">
        <f aca="false">IFERROR(IF($B154=$C154,"Yes","No"),"No CUSIP Match")</f>
        <v>No</v>
      </c>
      <c r="E154" s="71"/>
      <c r="F154" s="71" t="str">
        <f aca="false">IFERROR(INDEX('13F Data'!C:C, MATCH($B154,'13F Data'!A:A,0)),"No CUSIP Match")</f>
        <v>No CUSIP Match</v>
      </c>
      <c r="G154" s="72" t="str">
        <f aca="false">IFERROR(INDEX('13F Data'!D:D,MATCH($B154,'13F Data'!A:A,0)),"No CUSIP Match")</f>
        <v>No CUSIP Match</v>
      </c>
      <c r="J154" s="73" t="n">
        <f aca="false">$V154</f>
        <v>3380</v>
      </c>
      <c r="K154" s="71" t="str">
        <f aca="false">IFERROR(INDEX('EOD Data'!G:G, MATCH($A154, 'EOD Data'!B:B,0)), "No TKR Match")</f>
        <v>No TKR Match</v>
      </c>
      <c r="L154" s="71" t="str">
        <f aca="false">IFERROR(ROUND($J154*$K154,0),"Error")</f>
        <v>Error</v>
      </c>
      <c r="M154" s="71" t="str">
        <f aca="false">IFERROR(IF(AND($J154&lt;10000,$L154&lt;200000),"Yes","No"),"Error")</f>
        <v>No</v>
      </c>
      <c r="P154" s="42" t="str">
        <f aca="false">IF($N154="SOLE",$J154,"")</f>
        <v/>
      </c>
      <c r="Q154" s="42" t="str">
        <f aca="false">IFERROR(IF($N154="Sole",0,IF(AND($N154="OTR",$R154=0),$J154-$P154,IF(AND($N154="OTR", $R154&gt;0), $J154-$P154-$Q154, ""))),"")</f>
        <v/>
      </c>
      <c r="R154" s="42" t="str">
        <f aca="false">IF($P154=$J154, "0","")</f>
        <v/>
      </c>
      <c r="S154" s="42" t="str">
        <f aca="false">IF(OR(ISBLANK($B154),ISBLANK($C154), ISBLANK($E154), ISBLANK($F154), AND(ISBLANK($G154),ISBLANK($H154)), ISBLANK($I154), ISBLANK($L154), AND(ISBLANK($N154), ISBLANK($O154)), AND(ISBLANK($P154), ISBLANK($Q154), ISBLANK($R154))), "No", "Yes")</f>
        <v>No</v>
      </c>
      <c r="T154" s="42" t="str">
        <f aca="false">SUBSTITUTE($U154," ","")</f>
        <v>808513105</v>
      </c>
      <c r="U154" s="42" t="s">
        <v>240</v>
      </c>
      <c r="V154" s="39" t="n">
        <v>3380</v>
      </c>
    </row>
    <row r="155" customFormat="false" ht="15" hidden="false" customHeight="false" outlineLevel="0" collapsed="false">
      <c r="B155" s="70" t="s">
        <v>240</v>
      </c>
      <c r="C155" s="71" t="str">
        <f aca="false">IFERROR(INDEX('13F Data'!A:A,MATCH($B155,'13F Data'!A:A,0)),"No CUSIP Match")</f>
        <v>No CUSIP Match</v>
      </c>
      <c r="D155" s="71" t="str">
        <f aca="false">IFERROR(IF($B155=$C155,"Yes","No"),"No CUSIP Match")</f>
        <v>No</v>
      </c>
      <c r="E155" s="71"/>
      <c r="F155" s="71" t="str">
        <f aca="false">IFERROR(INDEX('13F Data'!C:C, MATCH($B155,'13F Data'!A:A,0)),"No CUSIP Match")</f>
        <v>No CUSIP Match</v>
      </c>
      <c r="G155" s="72" t="str">
        <f aca="false">IFERROR(INDEX('13F Data'!D:D,MATCH($B155,'13F Data'!A:A,0)),"No CUSIP Match")</f>
        <v>No CUSIP Match</v>
      </c>
      <c r="J155" s="73" t="n">
        <f aca="false">$V155</f>
        <v>77300</v>
      </c>
      <c r="K155" s="71" t="str">
        <f aca="false">IFERROR(INDEX('EOD Data'!G:G, MATCH($A155, 'EOD Data'!B:B,0)), "No TKR Match")</f>
        <v>No TKR Match</v>
      </c>
      <c r="L155" s="71" t="str">
        <f aca="false">IFERROR(ROUND($J155*$K155,0),"Error")</f>
        <v>Error</v>
      </c>
      <c r="M155" s="71" t="str">
        <f aca="false">IFERROR(IF(AND($J155&lt;10000,$L155&lt;200000),"Yes","No"),"Error")</f>
        <v>No</v>
      </c>
      <c r="P155" s="42" t="str">
        <f aca="false">IF($N155="SOLE",$J155,"")</f>
        <v/>
      </c>
      <c r="Q155" s="42" t="str">
        <f aca="false">IFERROR(IF($N155="Sole",0,IF(AND($N155="OTR",$R155=0),$J155-$P155,IF(AND($N155="OTR", $R155&gt;0), $J155-$P155-$Q155, ""))),"")</f>
        <v/>
      </c>
      <c r="R155" s="42" t="str">
        <f aca="false">IF($P155=$J155, "0","")</f>
        <v/>
      </c>
      <c r="S155" s="42" t="str">
        <f aca="false">IF(OR(ISBLANK($B155),ISBLANK($C155), ISBLANK($E155), ISBLANK($F155), AND(ISBLANK($G155),ISBLANK($H155)), ISBLANK($I155), ISBLANK($L155), AND(ISBLANK($N155), ISBLANK($O155)), AND(ISBLANK($P155), ISBLANK($Q155), ISBLANK($R155))), "No", "Yes")</f>
        <v>No</v>
      </c>
      <c r="T155" s="42" t="str">
        <f aca="false">SUBSTITUTE($U155," ","")</f>
        <v>808513105</v>
      </c>
      <c r="U155" s="42" t="s">
        <v>240</v>
      </c>
      <c r="V155" s="39" t="n">
        <v>77300</v>
      </c>
    </row>
    <row r="156" customFormat="false" ht="15" hidden="false" customHeight="false" outlineLevel="0" collapsed="false">
      <c r="B156" s="70" t="s">
        <v>240</v>
      </c>
      <c r="C156" s="71" t="str">
        <f aca="false">IFERROR(INDEX('13F Data'!A:A,MATCH($B156,'13F Data'!A:A,0)),"No CUSIP Match")</f>
        <v>No CUSIP Match</v>
      </c>
      <c r="D156" s="71" t="str">
        <f aca="false">IFERROR(IF($B156=$C156,"Yes","No"),"No CUSIP Match")</f>
        <v>No</v>
      </c>
      <c r="E156" s="71"/>
      <c r="F156" s="71" t="str">
        <f aca="false">IFERROR(INDEX('13F Data'!C:C, MATCH($B156,'13F Data'!A:A,0)),"No CUSIP Match")</f>
        <v>No CUSIP Match</v>
      </c>
      <c r="G156" s="72" t="str">
        <f aca="false">IFERROR(INDEX('13F Data'!D:D,MATCH($B156,'13F Data'!A:A,0)),"No CUSIP Match")</f>
        <v>No CUSIP Match</v>
      </c>
      <c r="J156" s="73" t="n">
        <f aca="false">$V156</f>
        <v>77300</v>
      </c>
      <c r="K156" s="71" t="str">
        <f aca="false">IFERROR(INDEX('EOD Data'!G:G, MATCH($A156, 'EOD Data'!B:B,0)), "No TKR Match")</f>
        <v>No TKR Match</v>
      </c>
      <c r="L156" s="71" t="str">
        <f aca="false">IFERROR(ROUND($J156*$K156,0),"Error")</f>
        <v>Error</v>
      </c>
      <c r="M156" s="71" t="str">
        <f aca="false">IFERROR(IF(AND($J156&lt;10000,$L156&lt;200000),"Yes","No"),"Error")</f>
        <v>No</v>
      </c>
      <c r="P156" s="42" t="str">
        <f aca="false">IF($N156="SOLE",$J156,"")</f>
        <v/>
      </c>
      <c r="Q156" s="42" t="str">
        <f aca="false">IFERROR(IF($N156="Sole",0,IF(AND($N156="OTR",$R156=0),$J156-$P156,IF(AND($N156="OTR", $R156&gt;0), $J156-$P156-$Q156, ""))),"")</f>
        <v/>
      </c>
      <c r="R156" s="42" t="str">
        <f aca="false">IF($P156=$J156, "0","")</f>
        <v/>
      </c>
      <c r="S156" s="42" t="str">
        <f aca="false">IF(OR(ISBLANK($B156),ISBLANK($C156), ISBLANK($E156), ISBLANK($F156), AND(ISBLANK($G156),ISBLANK($H156)), ISBLANK($I156), ISBLANK($L156), AND(ISBLANK($N156), ISBLANK($O156)), AND(ISBLANK($P156), ISBLANK($Q156), ISBLANK($R156))), "No", "Yes")</f>
        <v>No</v>
      </c>
      <c r="T156" s="42" t="str">
        <f aca="false">SUBSTITUTE($U156," ","")</f>
        <v>808513105</v>
      </c>
      <c r="U156" s="42" t="s">
        <v>240</v>
      </c>
      <c r="V156" s="39" t="n">
        <v>77300</v>
      </c>
    </row>
    <row r="157" customFormat="false" ht="15" hidden="false" customHeight="false" outlineLevel="0" collapsed="false">
      <c r="B157" s="70" t="s">
        <v>242</v>
      </c>
      <c r="C157" s="71" t="str">
        <f aca="false">IFERROR(INDEX('13F Data'!A:A,MATCH($B157,'13F Data'!A:A,0)),"No CUSIP Match")</f>
        <v>No CUSIP Match</v>
      </c>
      <c r="D157" s="71" t="str">
        <f aca="false">IFERROR(IF($B157=$C157,"Yes","No"),"No CUSIP Match")</f>
        <v>No</v>
      </c>
      <c r="E157" s="71"/>
      <c r="F157" s="71" t="str">
        <f aca="false">IFERROR(INDEX('13F Data'!C:C, MATCH($B157,'13F Data'!A:A,0)),"No CUSIP Match")</f>
        <v>No CUSIP Match</v>
      </c>
      <c r="G157" s="72" t="str">
        <f aca="false">IFERROR(INDEX('13F Data'!D:D,MATCH($B157,'13F Data'!A:A,0)),"No CUSIP Match")</f>
        <v>No CUSIP Match</v>
      </c>
      <c r="J157" s="73" t="n">
        <f aca="false">$V157</f>
        <v>23605</v>
      </c>
      <c r="K157" s="71" t="str">
        <f aca="false">IFERROR(INDEX('EOD Data'!G:G, MATCH($A157, 'EOD Data'!B:B,0)), "No TKR Match")</f>
        <v>No TKR Match</v>
      </c>
      <c r="L157" s="71" t="str">
        <f aca="false">IFERROR(ROUND($J157*$K157,0),"Error")</f>
        <v>Error</v>
      </c>
      <c r="M157" s="71" t="str">
        <f aca="false">IFERROR(IF(AND($J157&lt;10000,$L157&lt;200000),"Yes","No"),"Error")</f>
        <v>No</v>
      </c>
      <c r="P157" s="42" t="str">
        <f aca="false">IF($N157="SOLE",$J157,"")</f>
        <v/>
      </c>
      <c r="Q157" s="42" t="str">
        <f aca="false">IFERROR(IF($N157="Sole",0,IF(AND($N157="OTR",$R157=0),$J157-$P157,IF(AND($N157="OTR", $R157&gt;0), $J157-$P157-$Q157, ""))),"")</f>
        <v/>
      </c>
      <c r="R157" s="42" t="str">
        <f aca="false">IF($P157=$J157, "0","")</f>
        <v/>
      </c>
      <c r="S157" s="42" t="str">
        <f aca="false">IF(OR(ISBLANK($B157),ISBLANK($C157), ISBLANK($E157), ISBLANK($F157), AND(ISBLANK($G157),ISBLANK($H157)), ISBLANK($I157), ISBLANK($L157), AND(ISBLANK($N157), ISBLANK($O157)), AND(ISBLANK($P157), ISBLANK($Q157), ISBLANK($R157))), "No", "Yes")</f>
        <v>No</v>
      </c>
      <c r="T157" s="42" t="str">
        <f aca="false">SUBSTITUTE($U157," ","")</f>
        <v>16115Q308</v>
      </c>
      <c r="U157" s="42" t="s">
        <v>242</v>
      </c>
      <c r="V157" s="39" t="n">
        <v>23605</v>
      </c>
    </row>
    <row r="158" customFormat="false" ht="15" hidden="false" customHeight="false" outlineLevel="0" collapsed="false">
      <c r="B158" s="70" t="s">
        <v>244</v>
      </c>
      <c r="C158" s="71" t="str">
        <f aca="false">IFERROR(INDEX('13F Data'!A:A,MATCH($B158,'13F Data'!A:A,0)),"No CUSIP Match")</f>
        <v>No CUSIP Match</v>
      </c>
      <c r="D158" s="71" t="str">
        <f aca="false">IFERROR(IF($B158=$C158,"Yes","No"),"No CUSIP Match")</f>
        <v>No</v>
      </c>
      <c r="E158" s="71"/>
      <c r="F158" s="71" t="str">
        <f aca="false">IFERROR(INDEX('13F Data'!C:C, MATCH($B158,'13F Data'!A:A,0)),"No CUSIP Match")</f>
        <v>No CUSIP Match</v>
      </c>
      <c r="G158" s="72" t="str">
        <f aca="false">IFERROR(INDEX('13F Data'!D:D,MATCH($B158,'13F Data'!A:A,0)),"No CUSIP Match")</f>
        <v>No CUSIP Match</v>
      </c>
      <c r="J158" s="73" t="n">
        <f aca="false">$V158</f>
        <v>9500000</v>
      </c>
      <c r="K158" s="71" t="str">
        <f aca="false">IFERROR(INDEX('EOD Data'!G:G, MATCH($A158, 'EOD Data'!B:B,0)), "No TKR Match")</f>
        <v>No TKR Match</v>
      </c>
      <c r="L158" s="71" t="str">
        <f aca="false">IFERROR(ROUND($J158*$K158,0),"Error")</f>
        <v>Error</v>
      </c>
      <c r="M158" s="71" t="str">
        <f aca="false">IFERROR(IF(AND($J158&lt;10000,$L158&lt;200000),"Yes","No"),"Error")</f>
        <v>No</v>
      </c>
      <c r="P158" s="42" t="str">
        <f aca="false">IF($N158="SOLE",$J158,"")</f>
        <v/>
      </c>
      <c r="Q158" s="42" t="str">
        <f aca="false">IFERROR(IF($N158="Sole",0,IF(AND($N158="OTR",$R158=0),$J158-$P158,IF(AND($N158="OTR", $R158&gt;0), $J158-$P158-$Q158, ""))),"")</f>
        <v/>
      </c>
      <c r="R158" s="42" t="str">
        <f aca="false">IF($P158=$J158, "0","")</f>
        <v/>
      </c>
      <c r="S158" s="42" t="str">
        <f aca="false">IF(OR(ISBLANK($B158),ISBLANK($C158), ISBLANK($E158), ISBLANK($F158), AND(ISBLANK($G158),ISBLANK($H158)), ISBLANK($I158), ISBLANK($L158), AND(ISBLANK($N158), ISBLANK($O158)), AND(ISBLANK($P158), ISBLANK($Q158), ISBLANK($R158))), "No", "Yes")</f>
        <v>No</v>
      </c>
      <c r="T158" s="42" t="str">
        <f aca="false">SUBSTITUTE($U158," ","")</f>
        <v>163086AE1</v>
      </c>
      <c r="U158" s="42" t="s">
        <v>244</v>
      </c>
      <c r="V158" s="39" t="n">
        <v>9500000</v>
      </c>
    </row>
    <row r="159" customFormat="false" ht="15" hidden="false" customHeight="false" outlineLevel="0" collapsed="false">
      <c r="B159" s="70" t="s">
        <v>246</v>
      </c>
      <c r="C159" s="71" t="str">
        <f aca="false">IFERROR(INDEX('13F Data'!A:A,MATCH($B159,'13F Data'!A:A,0)),"No CUSIP Match")</f>
        <v>No CUSIP Match</v>
      </c>
      <c r="D159" s="71" t="str">
        <f aca="false">IFERROR(IF($B159=$C159,"Yes","No"),"No CUSIP Match")</f>
        <v>No</v>
      </c>
      <c r="E159" s="71"/>
      <c r="F159" s="71" t="str">
        <f aca="false">IFERROR(INDEX('13F Data'!C:C, MATCH($B159,'13F Data'!A:A,0)),"No CUSIP Match")</f>
        <v>No CUSIP Match</v>
      </c>
      <c r="G159" s="72" t="str">
        <f aca="false">IFERROR(INDEX('13F Data'!D:D,MATCH($B159,'13F Data'!A:A,0)),"No CUSIP Match")</f>
        <v>No CUSIP Match</v>
      </c>
      <c r="J159" s="73" t="n">
        <f aca="false">$V159</f>
        <v>19370</v>
      </c>
      <c r="K159" s="71" t="str">
        <f aca="false">IFERROR(INDEX('EOD Data'!G:G, MATCH($A159, 'EOD Data'!B:B,0)), "No TKR Match")</f>
        <v>No TKR Match</v>
      </c>
      <c r="L159" s="71" t="str">
        <f aca="false">IFERROR(ROUND($J159*$K159,0),"Error")</f>
        <v>Error</v>
      </c>
      <c r="M159" s="71" t="str">
        <f aca="false">IFERROR(IF(AND($J159&lt;10000,$L159&lt;200000),"Yes","No"),"Error")</f>
        <v>No</v>
      </c>
      <c r="P159" s="42" t="str">
        <f aca="false">IF($N159="SOLE",$J159,"")</f>
        <v/>
      </c>
      <c r="Q159" s="42" t="str">
        <f aca="false">IFERROR(IF($N159="Sole",0,IF(AND($N159="OTR",$R159=0),$J159-$P159,IF(AND($N159="OTR", $R159&gt;0), $J159-$P159-$Q159, ""))),"")</f>
        <v/>
      </c>
      <c r="R159" s="42" t="str">
        <f aca="false">IF($P159=$J159, "0","")</f>
        <v/>
      </c>
      <c r="S159" s="42" t="str">
        <f aca="false">IF(OR(ISBLANK($B159),ISBLANK($C159), ISBLANK($E159), ISBLANK($F159), AND(ISBLANK($G159),ISBLANK($H159)), ISBLANK($I159), ISBLANK($L159), AND(ISBLANK($N159), ISBLANK($O159)), AND(ISBLANK($P159), ISBLANK($Q159), ISBLANK($R159))), "No", "Yes")</f>
        <v>No</v>
      </c>
      <c r="T159" s="42" t="str">
        <f aca="false">SUBSTITUTE($U159," ","")</f>
        <v>165167735</v>
      </c>
      <c r="U159" s="42" t="s">
        <v>246</v>
      </c>
      <c r="V159" s="39" t="n">
        <v>19370</v>
      </c>
    </row>
    <row r="160" customFormat="false" ht="15" hidden="false" customHeight="false" outlineLevel="0" collapsed="false">
      <c r="B160" s="70" t="s">
        <v>248</v>
      </c>
      <c r="C160" s="71" t="str">
        <f aca="false">IFERROR(INDEX('13F Data'!A:A,MATCH($B160,'13F Data'!A:A,0)),"No CUSIP Match")</f>
        <v>No CUSIP Match</v>
      </c>
      <c r="D160" s="71" t="str">
        <f aca="false">IFERROR(IF($B160=$C160,"Yes","No"),"No CUSIP Match")</f>
        <v>No</v>
      </c>
      <c r="E160" s="71"/>
      <c r="F160" s="71" t="str">
        <f aca="false">IFERROR(INDEX('13F Data'!C:C, MATCH($B160,'13F Data'!A:A,0)),"No CUSIP Match")</f>
        <v>No CUSIP Match</v>
      </c>
      <c r="G160" s="72" t="str">
        <f aca="false">IFERROR(INDEX('13F Data'!D:D,MATCH($B160,'13F Data'!A:A,0)),"No CUSIP Match")</f>
        <v>No CUSIP Match</v>
      </c>
      <c r="J160" s="73" t="n">
        <f aca="false">$V160</f>
        <v>21300</v>
      </c>
      <c r="K160" s="71" t="str">
        <f aca="false">IFERROR(INDEX('EOD Data'!G:G, MATCH($A160, 'EOD Data'!B:B,0)), "No TKR Match")</f>
        <v>No TKR Match</v>
      </c>
      <c r="L160" s="71" t="str">
        <f aca="false">IFERROR(ROUND($J160*$K160,0),"Error")</f>
        <v>Error</v>
      </c>
      <c r="M160" s="71" t="str">
        <f aca="false">IFERROR(IF(AND($J160&lt;10000,$L160&lt;200000),"Yes","No"),"Error")</f>
        <v>No</v>
      </c>
      <c r="P160" s="42" t="str">
        <f aca="false">IF($N160="SOLE",$J160,"")</f>
        <v/>
      </c>
      <c r="Q160" s="42" t="str">
        <f aca="false">IFERROR(IF($N160="Sole",0,IF(AND($N160="OTR",$R160=0),$J160-$P160,IF(AND($N160="OTR", $R160&gt;0), $J160-$P160-$Q160, ""))),"")</f>
        <v/>
      </c>
      <c r="R160" s="42" t="str">
        <f aca="false">IF($P160=$J160, "0","")</f>
        <v/>
      </c>
      <c r="S160" s="42" t="str">
        <f aca="false">IF(OR(ISBLANK($B160),ISBLANK($C160), ISBLANK($E160), ISBLANK($F160), AND(ISBLANK($G160),ISBLANK($H160)), ISBLANK($I160), ISBLANK($L160), AND(ISBLANK($N160), ISBLANK($O160)), AND(ISBLANK($P160), ISBLANK($Q160), ISBLANK($R160))), "No", "Yes")</f>
        <v>No</v>
      </c>
      <c r="T160" s="42" t="str">
        <f aca="false">SUBSTITUTE($U160," ","")</f>
        <v>166764100</v>
      </c>
      <c r="U160" s="42" t="s">
        <v>248</v>
      </c>
      <c r="V160" s="39" t="n">
        <v>21300</v>
      </c>
    </row>
    <row r="161" customFormat="false" ht="15" hidden="false" customHeight="false" outlineLevel="0" collapsed="false">
      <c r="B161" s="70" t="s">
        <v>248</v>
      </c>
      <c r="C161" s="71" t="str">
        <f aca="false">IFERROR(INDEX('13F Data'!A:A,MATCH($B161,'13F Data'!A:A,0)),"No CUSIP Match")</f>
        <v>No CUSIP Match</v>
      </c>
      <c r="D161" s="71" t="str">
        <f aca="false">IFERROR(IF($B161=$C161,"Yes","No"),"No CUSIP Match")</f>
        <v>No</v>
      </c>
      <c r="E161" s="71"/>
      <c r="F161" s="71" t="str">
        <f aca="false">IFERROR(INDEX('13F Data'!C:C, MATCH($B161,'13F Data'!A:A,0)),"No CUSIP Match")</f>
        <v>No CUSIP Match</v>
      </c>
      <c r="G161" s="72" t="str">
        <f aca="false">IFERROR(INDEX('13F Data'!D:D,MATCH($B161,'13F Data'!A:A,0)),"No CUSIP Match")</f>
        <v>No CUSIP Match</v>
      </c>
      <c r="J161" s="73" t="n">
        <f aca="false">$V161</f>
        <v>21300</v>
      </c>
      <c r="K161" s="71" t="str">
        <f aca="false">IFERROR(INDEX('EOD Data'!G:G, MATCH($A161, 'EOD Data'!B:B,0)), "No TKR Match")</f>
        <v>No TKR Match</v>
      </c>
      <c r="L161" s="71" t="str">
        <f aca="false">IFERROR(ROUND($J161*$K161,0),"Error")</f>
        <v>Error</v>
      </c>
      <c r="M161" s="71" t="str">
        <f aca="false">IFERROR(IF(AND($J161&lt;10000,$L161&lt;200000),"Yes","No"),"Error")</f>
        <v>No</v>
      </c>
      <c r="P161" s="42" t="str">
        <f aca="false">IF($N161="SOLE",$J161,"")</f>
        <v/>
      </c>
      <c r="Q161" s="42" t="str">
        <f aca="false">IFERROR(IF($N161="Sole",0,IF(AND($N161="OTR",$R161=0),$J161-$P161,IF(AND($N161="OTR", $R161&gt;0), $J161-$P161-$Q161, ""))),"")</f>
        <v/>
      </c>
      <c r="R161" s="42" t="str">
        <f aca="false">IF($P161=$J161, "0","")</f>
        <v/>
      </c>
      <c r="S161" s="42" t="str">
        <f aca="false">IF(OR(ISBLANK($B161),ISBLANK($C161), ISBLANK($E161), ISBLANK($F161), AND(ISBLANK($G161),ISBLANK($H161)), ISBLANK($I161), ISBLANK($L161), AND(ISBLANK($N161), ISBLANK($O161)), AND(ISBLANK($P161), ISBLANK($Q161), ISBLANK($R161))), "No", "Yes")</f>
        <v>No</v>
      </c>
      <c r="T161" s="42" t="str">
        <f aca="false">SUBSTITUTE($U161," ","")</f>
        <v>166764100</v>
      </c>
      <c r="U161" s="42" t="s">
        <v>248</v>
      </c>
      <c r="V161" s="39" t="n">
        <v>21300</v>
      </c>
    </row>
    <row r="162" customFormat="false" ht="15" hidden="false" customHeight="false" outlineLevel="0" collapsed="false">
      <c r="B162" s="70" t="s">
        <v>250</v>
      </c>
      <c r="C162" s="71" t="str">
        <f aca="false">IFERROR(INDEX('13F Data'!A:A,MATCH($B162,'13F Data'!A:A,0)),"No CUSIP Match")</f>
        <v>No CUSIP Match</v>
      </c>
      <c r="D162" s="71" t="str">
        <f aca="false">IFERROR(IF($B162=$C162,"Yes","No"),"No CUSIP Match")</f>
        <v>No</v>
      </c>
      <c r="E162" s="71"/>
      <c r="F162" s="71" t="str">
        <f aca="false">IFERROR(INDEX('13F Data'!C:C, MATCH($B162,'13F Data'!A:A,0)),"No CUSIP Match")</f>
        <v>No CUSIP Match</v>
      </c>
      <c r="G162" s="72" t="str">
        <f aca="false">IFERROR(INDEX('13F Data'!D:D,MATCH($B162,'13F Data'!A:A,0)),"No CUSIP Match")</f>
        <v>No CUSIP Match</v>
      </c>
      <c r="J162" s="73" t="n">
        <f aca="false">$V162</f>
        <v>300</v>
      </c>
      <c r="K162" s="71" t="str">
        <f aca="false">IFERROR(INDEX('EOD Data'!G:G, MATCH($A162, 'EOD Data'!B:B,0)), "No TKR Match")</f>
        <v>No TKR Match</v>
      </c>
      <c r="L162" s="71" t="str">
        <f aca="false">IFERROR(ROUND($J162*$K162,0),"Error")</f>
        <v>Error</v>
      </c>
      <c r="M162" s="71" t="str">
        <f aca="false">IFERROR(IF(AND($J162&lt;10000,$L162&lt;200000),"Yes","No"),"Error")</f>
        <v>No</v>
      </c>
      <c r="P162" s="42" t="str">
        <f aca="false">IF($N162="SOLE",$J162,"")</f>
        <v/>
      </c>
      <c r="Q162" s="42" t="str">
        <f aca="false">IFERROR(IF($N162="Sole",0,IF(AND($N162="OTR",$R162=0),$J162-$P162,IF(AND($N162="OTR", $R162&gt;0), $J162-$P162-$Q162, ""))),"")</f>
        <v/>
      </c>
      <c r="R162" s="42" t="str">
        <f aca="false">IF($P162=$J162, "0","")</f>
        <v/>
      </c>
      <c r="S162" s="42" t="str">
        <f aca="false">IF(OR(ISBLANK($B162),ISBLANK($C162), ISBLANK($E162), ISBLANK($F162), AND(ISBLANK($G162),ISBLANK($H162)), ISBLANK($I162), ISBLANK($L162), AND(ISBLANK($N162), ISBLANK($O162)), AND(ISBLANK($P162), ISBLANK($Q162), ISBLANK($R162))), "No", "Yes")</f>
        <v>No</v>
      </c>
      <c r="T162" s="42" t="str">
        <f aca="false">SUBSTITUTE($U162," ","")</f>
        <v>169656105</v>
      </c>
      <c r="U162" s="42" t="s">
        <v>250</v>
      </c>
      <c r="V162" s="39" t="n">
        <v>300</v>
      </c>
    </row>
    <row r="163" customFormat="false" ht="15" hidden="false" customHeight="false" outlineLevel="0" collapsed="false">
      <c r="B163" s="70" t="s">
        <v>250</v>
      </c>
      <c r="C163" s="71" t="str">
        <f aca="false">IFERROR(INDEX('13F Data'!A:A,MATCH($B163,'13F Data'!A:A,0)),"No CUSIP Match")</f>
        <v>No CUSIP Match</v>
      </c>
      <c r="D163" s="71" t="str">
        <f aca="false">IFERROR(IF($B163=$C163,"Yes","No"),"No CUSIP Match")</f>
        <v>No</v>
      </c>
      <c r="E163" s="71"/>
      <c r="F163" s="71" t="str">
        <f aca="false">IFERROR(INDEX('13F Data'!C:C, MATCH($B163,'13F Data'!A:A,0)),"No CUSIP Match")</f>
        <v>No CUSIP Match</v>
      </c>
      <c r="G163" s="72" t="str">
        <f aca="false">IFERROR(INDEX('13F Data'!D:D,MATCH($B163,'13F Data'!A:A,0)),"No CUSIP Match")</f>
        <v>No CUSIP Match</v>
      </c>
      <c r="J163" s="73" t="n">
        <f aca="false">$V163</f>
        <v>300</v>
      </c>
      <c r="K163" s="71" t="str">
        <f aca="false">IFERROR(INDEX('EOD Data'!G:G, MATCH($A163, 'EOD Data'!B:B,0)), "No TKR Match")</f>
        <v>No TKR Match</v>
      </c>
      <c r="L163" s="71" t="str">
        <f aca="false">IFERROR(ROUND($J163*$K163,0),"Error")</f>
        <v>Error</v>
      </c>
      <c r="M163" s="71" t="str">
        <f aca="false">IFERROR(IF(AND($J163&lt;10000,$L163&lt;200000),"Yes","No"),"Error")</f>
        <v>No</v>
      </c>
      <c r="P163" s="42" t="str">
        <f aca="false">IF($N163="SOLE",$J163,"")</f>
        <v/>
      </c>
      <c r="Q163" s="42" t="str">
        <f aca="false">IFERROR(IF($N163="Sole",0,IF(AND($N163="OTR",$R163=0),$J163-$P163,IF(AND($N163="OTR", $R163&gt;0), $J163-$P163-$Q163, ""))),"")</f>
        <v/>
      </c>
      <c r="R163" s="42" t="str">
        <f aca="false">IF($P163=$J163, "0","")</f>
        <v/>
      </c>
      <c r="S163" s="42" t="str">
        <f aca="false">IF(OR(ISBLANK($B163),ISBLANK($C163), ISBLANK($E163), ISBLANK($F163), AND(ISBLANK($G163),ISBLANK($H163)), ISBLANK($I163), ISBLANK($L163), AND(ISBLANK($N163), ISBLANK($O163)), AND(ISBLANK($P163), ISBLANK($Q163), ISBLANK($R163))), "No", "Yes")</f>
        <v>No</v>
      </c>
      <c r="T163" s="42" t="str">
        <f aca="false">SUBSTITUTE($U163," ","")</f>
        <v>169656105</v>
      </c>
      <c r="U163" s="42" t="s">
        <v>250</v>
      </c>
      <c r="V163" s="39" t="n">
        <v>300</v>
      </c>
    </row>
    <row r="164" customFormat="false" ht="15" hidden="false" customHeight="false" outlineLevel="0" collapsed="false">
      <c r="B164" s="70" t="s">
        <v>252</v>
      </c>
      <c r="C164" s="71" t="str">
        <f aca="false">IFERROR(INDEX('13F Data'!A:A,MATCH($B164,'13F Data'!A:A,0)),"No CUSIP Match")</f>
        <v>No CUSIP Match</v>
      </c>
      <c r="D164" s="71" t="str">
        <f aca="false">IFERROR(IF($B164=$C164,"Yes","No"),"No CUSIP Match")</f>
        <v>No</v>
      </c>
      <c r="E164" s="71"/>
      <c r="F164" s="71" t="str">
        <f aca="false">IFERROR(INDEX('13F Data'!C:C, MATCH($B164,'13F Data'!A:A,0)),"No CUSIP Match")</f>
        <v>No CUSIP Match</v>
      </c>
      <c r="G164" s="72" t="str">
        <f aca="false">IFERROR(INDEX('13F Data'!D:D,MATCH($B164,'13F Data'!A:A,0)),"No CUSIP Match")</f>
        <v>No CUSIP Match</v>
      </c>
      <c r="J164" s="73" t="n">
        <f aca="false">$V164</f>
        <v>1188</v>
      </c>
      <c r="K164" s="71" t="str">
        <f aca="false">IFERROR(INDEX('EOD Data'!G:G, MATCH($A164, 'EOD Data'!B:B,0)), "No TKR Match")</f>
        <v>No TKR Match</v>
      </c>
      <c r="L164" s="71" t="str">
        <f aca="false">IFERROR(ROUND($J164*$K164,0),"Error")</f>
        <v>Error</v>
      </c>
      <c r="M164" s="71" t="str">
        <f aca="false">IFERROR(IF(AND($J164&lt;10000,$L164&lt;200000),"Yes","No"),"Error")</f>
        <v>No</v>
      </c>
      <c r="P164" s="42" t="str">
        <f aca="false">IF($N164="SOLE",$J164,"")</f>
        <v/>
      </c>
      <c r="Q164" s="42" t="str">
        <f aca="false">IFERROR(IF($N164="Sole",0,IF(AND($N164="OTR",$R164=0),$J164-$P164,IF(AND($N164="OTR", $R164&gt;0), $J164-$P164-$Q164, ""))),"")</f>
        <v/>
      </c>
      <c r="R164" s="42" t="str">
        <f aca="false">IF($P164=$J164, "0","")</f>
        <v/>
      </c>
      <c r="S164" s="42" t="str">
        <f aca="false">IF(OR(ISBLANK($B164),ISBLANK($C164), ISBLANK($E164), ISBLANK($F164), AND(ISBLANK($G164),ISBLANK($H164)), ISBLANK($I164), ISBLANK($L164), AND(ISBLANK($N164), ISBLANK($O164)), AND(ISBLANK($P164), ISBLANK($Q164), ISBLANK($R164))), "No", "Yes")</f>
        <v>No</v>
      </c>
      <c r="T164" s="42" t="str">
        <f aca="false">SUBSTITUTE($U164," ","")</f>
        <v>674215207</v>
      </c>
      <c r="U164" s="42" t="s">
        <v>252</v>
      </c>
      <c r="V164" s="39" t="n">
        <v>1188</v>
      </c>
    </row>
    <row r="165" customFormat="false" ht="15" hidden="false" customHeight="false" outlineLevel="0" collapsed="false">
      <c r="B165" s="70" t="s">
        <v>254</v>
      </c>
      <c r="C165" s="71" t="str">
        <f aca="false">IFERROR(INDEX('13F Data'!A:A,MATCH($B165,'13F Data'!A:A,0)),"No CUSIP Match")</f>
        <v>No CUSIP Match</v>
      </c>
      <c r="D165" s="71" t="str">
        <f aca="false">IFERROR(IF($B165=$C165,"Yes","No"),"No CUSIP Match")</f>
        <v>No</v>
      </c>
      <c r="E165" s="71"/>
      <c r="F165" s="71" t="str">
        <f aca="false">IFERROR(INDEX('13F Data'!C:C, MATCH($B165,'13F Data'!A:A,0)),"No CUSIP Match")</f>
        <v>No CUSIP Match</v>
      </c>
      <c r="G165" s="72" t="str">
        <f aca="false">IFERROR(INDEX('13F Data'!D:D,MATCH($B165,'13F Data'!A:A,0)),"No CUSIP Match")</f>
        <v>No CUSIP Match</v>
      </c>
      <c r="J165" s="73" t="n">
        <f aca="false">$V165</f>
        <v>163</v>
      </c>
      <c r="K165" s="71" t="str">
        <f aca="false">IFERROR(INDEX('EOD Data'!G:G, MATCH($A165, 'EOD Data'!B:B,0)), "No TKR Match")</f>
        <v>No TKR Match</v>
      </c>
      <c r="L165" s="71" t="str">
        <f aca="false">IFERROR(ROUND($J165*$K165,0),"Error")</f>
        <v>Error</v>
      </c>
      <c r="M165" s="71" t="str">
        <f aca="false">IFERROR(IF(AND($J165&lt;10000,$L165&lt;200000),"Yes","No"),"Error")</f>
        <v>No</v>
      </c>
      <c r="P165" s="42" t="str">
        <f aca="false">IF($N165="SOLE",$J165,"")</f>
        <v/>
      </c>
      <c r="Q165" s="42" t="str">
        <f aca="false">IFERROR(IF($N165="Sole",0,IF(AND($N165="OTR",$R165=0),$J165-$P165,IF(AND($N165="OTR", $R165&gt;0), $J165-$P165-$Q165, ""))),"")</f>
        <v/>
      </c>
      <c r="R165" s="42" t="str">
        <f aca="false">IF($P165=$J165, "0","")</f>
        <v/>
      </c>
      <c r="S165" s="42" t="str">
        <f aca="false">IF(OR(ISBLANK($B165),ISBLANK($C165), ISBLANK($E165), ISBLANK($F165), AND(ISBLANK($G165),ISBLANK($H165)), ISBLANK($I165), ISBLANK($L165), AND(ISBLANK($N165), ISBLANK($O165)), AND(ISBLANK($P165), ISBLANK($Q165), ISBLANK($R165))), "No", "Yes")</f>
        <v>No</v>
      </c>
      <c r="T165" s="42" t="str">
        <f aca="false">SUBSTITUTE($U165," ","")</f>
        <v>125523100</v>
      </c>
      <c r="U165" s="42" t="s">
        <v>254</v>
      </c>
      <c r="V165" s="39" t="n">
        <v>163</v>
      </c>
    </row>
    <row r="166" customFormat="false" ht="15" hidden="false" customHeight="false" outlineLevel="0" collapsed="false">
      <c r="B166" s="70" t="s">
        <v>254</v>
      </c>
      <c r="C166" s="71" t="str">
        <f aca="false">IFERROR(INDEX('13F Data'!A:A,MATCH($B166,'13F Data'!A:A,0)),"No CUSIP Match")</f>
        <v>No CUSIP Match</v>
      </c>
      <c r="D166" s="71" t="str">
        <f aca="false">IFERROR(IF($B166=$C166,"Yes","No"),"No CUSIP Match")</f>
        <v>No</v>
      </c>
      <c r="E166" s="71"/>
      <c r="F166" s="71" t="str">
        <f aca="false">IFERROR(INDEX('13F Data'!C:C, MATCH($B166,'13F Data'!A:A,0)),"No CUSIP Match")</f>
        <v>No CUSIP Match</v>
      </c>
      <c r="G166" s="72" t="str">
        <f aca="false">IFERROR(INDEX('13F Data'!D:D,MATCH($B166,'13F Data'!A:A,0)),"No CUSIP Match")</f>
        <v>No CUSIP Match</v>
      </c>
      <c r="J166" s="73" t="n">
        <f aca="false">$V166</f>
        <v>6700</v>
      </c>
      <c r="K166" s="71" t="str">
        <f aca="false">IFERROR(INDEX('EOD Data'!G:G, MATCH($A166, 'EOD Data'!B:B,0)), "No TKR Match")</f>
        <v>No TKR Match</v>
      </c>
      <c r="L166" s="71" t="str">
        <f aca="false">IFERROR(ROUND($J166*$K166,0),"Error")</f>
        <v>Error</v>
      </c>
      <c r="M166" s="71" t="str">
        <f aca="false">IFERROR(IF(AND($J166&lt;10000,$L166&lt;200000),"Yes","No"),"Error")</f>
        <v>No</v>
      </c>
      <c r="P166" s="42" t="str">
        <f aca="false">IF($N166="SOLE",$J166,"")</f>
        <v/>
      </c>
      <c r="Q166" s="42" t="str">
        <f aca="false">IFERROR(IF($N166="Sole",0,IF(AND($N166="OTR",$R166=0),$J166-$P166,IF(AND($N166="OTR", $R166&gt;0), $J166-$P166-$Q166, ""))),"")</f>
        <v/>
      </c>
      <c r="R166" s="42" t="str">
        <f aca="false">IF($P166=$J166, "0","")</f>
        <v/>
      </c>
      <c r="S166" s="42" t="str">
        <f aca="false">IF(OR(ISBLANK($B166),ISBLANK($C166), ISBLANK($E166), ISBLANK($F166), AND(ISBLANK($G166),ISBLANK($H166)), ISBLANK($I166), ISBLANK($L166), AND(ISBLANK($N166), ISBLANK($O166)), AND(ISBLANK($P166), ISBLANK($Q166), ISBLANK($R166))), "No", "Yes")</f>
        <v>No</v>
      </c>
      <c r="T166" s="42" t="str">
        <f aca="false">SUBSTITUTE($U166," ","")</f>
        <v>125523100</v>
      </c>
      <c r="U166" s="42" t="s">
        <v>254</v>
      </c>
      <c r="V166" s="39" t="n">
        <v>6700</v>
      </c>
    </row>
    <row r="167" customFormat="false" ht="15" hidden="false" customHeight="false" outlineLevel="0" collapsed="false">
      <c r="B167" s="70" t="s">
        <v>254</v>
      </c>
      <c r="C167" s="71" t="str">
        <f aca="false">IFERROR(INDEX('13F Data'!A:A,MATCH($B167,'13F Data'!A:A,0)),"No CUSIP Match")</f>
        <v>No CUSIP Match</v>
      </c>
      <c r="D167" s="71" t="str">
        <f aca="false">IFERROR(IF($B167=$C167,"Yes","No"),"No CUSIP Match")</f>
        <v>No</v>
      </c>
      <c r="E167" s="71"/>
      <c r="F167" s="71" t="str">
        <f aca="false">IFERROR(INDEX('13F Data'!C:C, MATCH($B167,'13F Data'!A:A,0)),"No CUSIP Match")</f>
        <v>No CUSIP Match</v>
      </c>
      <c r="G167" s="72" t="str">
        <f aca="false">IFERROR(INDEX('13F Data'!D:D,MATCH($B167,'13F Data'!A:A,0)),"No CUSIP Match")</f>
        <v>No CUSIP Match</v>
      </c>
      <c r="J167" s="73" t="n">
        <f aca="false">$V167</f>
        <v>6700</v>
      </c>
      <c r="K167" s="71" t="str">
        <f aca="false">IFERROR(INDEX('EOD Data'!G:G, MATCH($A167, 'EOD Data'!B:B,0)), "No TKR Match")</f>
        <v>No TKR Match</v>
      </c>
      <c r="L167" s="71" t="str">
        <f aca="false">IFERROR(ROUND($J167*$K167,0),"Error")</f>
        <v>Error</v>
      </c>
      <c r="M167" s="71" t="str">
        <f aca="false">IFERROR(IF(AND($J167&lt;10000,$L167&lt;200000),"Yes","No"),"Error")</f>
        <v>No</v>
      </c>
      <c r="P167" s="42" t="str">
        <f aca="false">IF($N167="SOLE",$J167,"")</f>
        <v/>
      </c>
      <c r="Q167" s="42" t="str">
        <f aca="false">IFERROR(IF($N167="Sole",0,IF(AND($N167="OTR",$R167=0),$J167-$P167,IF(AND($N167="OTR", $R167&gt;0), $J167-$P167-$Q167, ""))),"")</f>
        <v/>
      </c>
      <c r="R167" s="42" t="str">
        <f aca="false">IF($P167=$J167, "0","")</f>
        <v/>
      </c>
      <c r="S167" s="42" t="str">
        <f aca="false">IF(OR(ISBLANK($B167),ISBLANK($C167), ISBLANK($E167), ISBLANK($F167), AND(ISBLANK($G167),ISBLANK($H167)), ISBLANK($I167), ISBLANK($L167), AND(ISBLANK($N167), ISBLANK($O167)), AND(ISBLANK($P167), ISBLANK($Q167), ISBLANK($R167))), "No", "Yes")</f>
        <v>No</v>
      </c>
      <c r="T167" s="42" t="str">
        <f aca="false">SUBSTITUTE($U167," ","")</f>
        <v>125523100</v>
      </c>
      <c r="U167" s="42" t="s">
        <v>254</v>
      </c>
      <c r="V167" s="39" t="n">
        <v>6700</v>
      </c>
    </row>
    <row r="168" customFormat="false" ht="15" hidden="false" customHeight="false" outlineLevel="0" collapsed="false">
      <c r="B168" s="70"/>
      <c r="C168" s="71" t="str">
        <f aca="false">IFERROR(INDEX('13F Data'!A:A,MATCH($B168,'13F Data'!A:A,0)),"No CUSIP Match")</f>
        <v>No CUSIP Match</v>
      </c>
      <c r="D168" s="71" t="str">
        <f aca="false">IFERROR(IF($B168=$C168,"Yes","No"),"No CUSIP Match")</f>
        <v>No</v>
      </c>
      <c r="E168" s="71"/>
      <c r="F168" s="71" t="str">
        <f aca="false">IFERROR(INDEX('13F Data'!C:C, MATCH($B168,'13F Data'!A:A,0)),"No CUSIP Match")</f>
        <v>No CUSIP Match</v>
      </c>
      <c r="G168" s="72" t="str">
        <f aca="false">IFERROR(INDEX('13F Data'!D:D,MATCH($B168,'13F Data'!A:A,0)),"No CUSIP Match")</f>
        <v>No CUSIP Match</v>
      </c>
      <c r="J168" s="73" t="n">
        <f aca="false">$V168</f>
        <v>705952</v>
      </c>
      <c r="K168" s="71" t="str">
        <f aca="false">IFERROR(INDEX('EOD Data'!G:G, MATCH($A168, 'EOD Data'!B:B,0)), "No TKR Match")</f>
        <v>No TKR Match</v>
      </c>
      <c r="L168" s="71" t="str">
        <f aca="false">IFERROR(ROUND($J168*$K168,0),"Error")</f>
        <v>Error</v>
      </c>
      <c r="M168" s="71" t="str">
        <f aca="false">IFERROR(IF(AND($J168&lt;10000,$L168&lt;200000),"Yes","No"),"Error")</f>
        <v>No</v>
      </c>
      <c r="P168" s="42" t="str">
        <f aca="false">IF($N168="SOLE",$J168,"")</f>
        <v/>
      </c>
      <c r="Q168" s="42" t="str">
        <f aca="false">IFERROR(IF($N168="Sole",0,IF(AND($N168="OTR",$R168=0),$J168-$P168,IF(AND($N168="OTR", $R168&gt;0), $J168-$P168-$Q168, ""))),"")</f>
        <v/>
      </c>
      <c r="R168" s="42" t="str">
        <f aca="false">IF($P168=$J168, "0","")</f>
        <v/>
      </c>
      <c r="S168" s="42" t="str">
        <f aca="false">IF(OR(ISBLANK($B168),ISBLANK($C168), ISBLANK($E168), ISBLANK($F168), AND(ISBLANK($G168),ISBLANK($H168)), ISBLANK($I168), ISBLANK($L168), AND(ISBLANK($N168), ISBLANK($O168)), AND(ISBLANK($P168), ISBLANK($Q168), ISBLANK($R168))), "No", "Yes")</f>
        <v>No</v>
      </c>
      <c r="T168" s="42" t="str">
        <f aca="false">SUBSTITUTE($U168," ","")</f>
        <v/>
      </c>
      <c r="V168" s="39" t="n">
        <v>705952</v>
      </c>
    </row>
    <row r="169" customFormat="false" ht="15" hidden="false" customHeight="false" outlineLevel="0" collapsed="false">
      <c r="B169" s="70" t="s">
        <v>258</v>
      </c>
      <c r="C169" s="71" t="str">
        <f aca="false">IFERROR(INDEX('13F Data'!A:A,MATCH($B169,'13F Data'!A:A,0)),"No CUSIP Match")</f>
        <v>No CUSIP Match</v>
      </c>
      <c r="D169" s="71" t="str">
        <f aca="false">IFERROR(IF($B169=$C169,"Yes","No"),"No CUSIP Match")</f>
        <v>No</v>
      </c>
      <c r="E169" s="71"/>
      <c r="F169" s="71" t="str">
        <f aca="false">IFERROR(INDEX('13F Data'!C:C, MATCH($B169,'13F Data'!A:A,0)),"No CUSIP Match")</f>
        <v>No CUSIP Match</v>
      </c>
      <c r="G169" s="72" t="str">
        <f aca="false">IFERROR(INDEX('13F Data'!D:D,MATCH($B169,'13F Data'!A:A,0)),"No CUSIP Match")</f>
        <v>No CUSIP Match</v>
      </c>
      <c r="J169" s="73" t="n">
        <f aca="false">$V169</f>
        <v>5429</v>
      </c>
      <c r="K169" s="71" t="str">
        <f aca="false">IFERROR(INDEX('EOD Data'!G:G, MATCH($A169, 'EOD Data'!B:B,0)), "No TKR Match")</f>
        <v>No TKR Match</v>
      </c>
      <c r="L169" s="71" t="str">
        <f aca="false">IFERROR(ROUND($J169*$K169,0),"Error")</f>
        <v>Error</v>
      </c>
      <c r="M169" s="71" t="str">
        <f aca="false">IFERROR(IF(AND($J169&lt;10000,$L169&lt;200000),"Yes","No"),"Error")</f>
        <v>No</v>
      </c>
      <c r="P169" s="42" t="str">
        <f aca="false">IF($N169="SOLE",$J169,"")</f>
        <v/>
      </c>
      <c r="Q169" s="42" t="str">
        <f aca="false">IFERROR(IF($N169="Sole",0,IF(AND($N169="OTR",$R169=0),$J169-$P169,IF(AND($N169="OTR", $R169&gt;0), $J169-$P169-$Q169, ""))),"")</f>
        <v/>
      </c>
      <c r="R169" s="42" t="str">
        <f aca="false">IF($P169=$J169, "0","")</f>
        <v/>
      </c>
      <c r="S169" s="42" t="str">
        <f aca="false">IF(OR(ISBLANK($B169),ISBLANK($C169), ISBLANK($E169), ISBLANK($F169), AND(ISBLANK($G169),ISBLANK($H169)), ISBLANK($I169), ISBLANK($L169), AND(ISBLANK($N169), ISBLANK($O169)), AND(ISBLANK($P169), ISBLANK($Q169), ISBLANK($R169))), "No", "Yes")</f>
        <v>No</v>
      </c>
      <c r="T169" s="42" t="str">
        <f aca="false">SUBSTITUTE($U169," ","")</f>
        <v>17275R102</v>
      </c>
      <c r="U169" s="42" t="s">
        <v>258</v>
      </c>
      <c r="V169" s="39" t="n">
        <v>5429</v>
      </c>
    </row>
    <row r="170" customFormat="false" ht="15" hidden="false" customHeight="false" outlineLevel="0" collapsed="false">
      <c r="B170" s="70" t="s">
        <v>258</v>
      </c>
      <c r="C170" s="71" t="str">
        <f aca="false">IFERROR(INDEX('13F Data'!A:A,MATCH($B170,'13F Data'!A:A,0)),"No CUSIP Match")</f>
        <v>No CUSIP Match</v>
      </c>
      <c r="D170" s="71" t="str">
        <f aca="false">IFERROR(IF($B170=$C170,"Yes","No"),"No CUSIP Match")</f>
        <v>No</v>
      </c>
      <c r="E170" s="71"/>
      <c r="F170" s="71" t="str">
        <f aca="false">IFERROR(INDEX('13F Data'!C:C, MATCH($B170,'13F Data'!A:A,0)),"No CUSIP Match")</f>
        <v>No CUSIP Match</v>
      </c>
      <c r="G170" s="72" t="str">
        <f aca="false">IFERROR(INDEX('13F Data'!D:D,MATCH($B170,'13F Data'!A:A,0)),"No CUSIP Match")</f>
        <v>No CUSIP Match</v>
      </c>
      <c r="J170" s="73" t="n">
        <f aca="false">$V170</f>
        <v>116700</v>
      </c>
      <c r="K170" s="71" t="str">
        <f aca="false">IFERROR(INDEX('EOD Data'!G:G, MATCH($A170, 'EOD Data'!B:B,0)), "No TKR Match")</f>
        <v>No TKR Match</v>
      </c>
      <c r="L170" s="71" t="str">
        <f aca="false">IFERROR(ROUND($J170*$K170,0),"Error")</f>
        <v>Error</v>
      </c>
      <c r="M170" s="71" t="str">
        <f aca="false">IFERROR(IF(AND($J170&lt;10000,$L170&lt;200000),"Yes","No"),"Error")</f>
        <v>No</v>
      </c>
      <c r="P170" s="42" t="str">
        <f aca="false">IF($N170="SOLE",$J170,"")</f>
        <v/>
      </c>
      <c r="Q170" s="42" t="str">
        <f aca="false">IFERROR(IF($N170="Sole",0,IF(AND($N170="OTR",$R170=0),$J170-$P170,IF(AND($N170="OTR", $R170&gt;0), $J170-$P170-$Q170, ""))),"")</f>
        <v/>
      </c>
      <c r="R170" s="42" t="str">
        <f aca="false">IF($P170=$J170, "0","")</f>
        <v/>
      </c>
      <c r="S170" s="42" t="str">
        <f aca="false">IF(OR(ISBLANK($B170),ISBLANK($C170), ISBLANK($E170), ISBLANK($F170), AND(ISBLANK($G170),ISBLANK($H170)), ISBLANK($I170), ISBLANK($L170), AND(ISBLANK($N170), ISBLANK($O170)), AND(ISBLANK($P170), ISBLANK($Q170), ISBLANK($R170))), "No", "Yes")</f>
        <v>No</v>
      </c>
      <c r="T170" s="42" t="str">
        <f aca="false">SUBSTITUTE($U170," ","")</f>
        <v>17275R102</v>
      </c>
      <c r="U170" s="42" t="s">
        <v>258</v>
      </c>
      <c r="V170" s="39" t="n">
        <v>116700</v>
      </c>
    </row>
    <row r="171" customFormat="false" ht="15" hidden="false" customHeight="false" outlineLevel="0" collapsed="false">
      <c r="B171" s="70" t="s">
        <v>258</v>
      </c>
      <c r="C171" s="71" t="str">
        <f aca="false">IFERROR(INDEX('13F Data'!A:A,MATCH($B171,'13F Data'!A:A,0)),"No CUSIP Match")</f>
        <v>No CUSIP Match</v>
      </c>
      <c r="D171" s="71" t="str">
        <f aca="false">IFERROR(IF($B171=$C171,"Yes","No"),"No CUSIP Match")</f>
        <v>No</v>
      </c>
      <c r="E171" s="71"/>
      <c r="F171" s="71" t="str">
        <f aca="false">IFERROR(INDEX('13F Data'!C:C, MATCH($B171,'13F Data'!A:A,0)),"No CUSIP Match")</f>
        <v>No CUSIP Match</v>
      </c>
      <c r="G171" s="72" t="str">
        <f aca="false">IFERROR(INDEX('13F Data'!D:D,MATCH($B171,'13F Data'!A:A,0)),"No CUSIP Match")</f>
        <v>No CUSIP Match</v>
      </c>
      <c r="J171" s="73" t="n">
        <f aca="false">$V171</f>
        <v>116700</v>
      </c>
      <c r="K171" s="71" t="str">
        <f aca="false">IFERROR(INDEX('EOD Data'!G:G, MATCH($A171, 'EOD Data'!B:B,0)), "No TKR Match")</f>
        <v>No TKR Match</v>
      </c>
      <c r="L171" s="71" t="str">
        <f aca="false">IFERROR(ROUND($J171*$K171,0),"Error")</f>
        <v>Error</v>
      </c>
      <c r="M171" s="71" t="str">
        <f aca="false">IFERROR(IF(AND($J171&lt;10000,$L171&lt;200000),"Yes","No"),"Error")</f>
        <v>No</v>
      </c>
      <c r="P171" s="42" t="str">
        <f aca="false">IF($N171="SOLE",$J171,"")</f>
        <v/>
      </c>
      <c r="Q171" s="42" t="str">
        <f aca="false">IFERROR(IF($N171="Sole",0,IF(AND($N171="OTR",$R171=0),$J171-$P171,IF(AND($N171="OTR", $R171&gt;0), $J171-$P171-$Q171, ""))),"")</f>
        <v/>
      </c>
      <c r="R171" s="42" t="str">
        <f aca="false">IF($P171=$J171, "0","")</f>
        <v/>
      </c>
      <c r="S171" s="42" t="str">
        <f aca="false">IF(OR(ISBLANK($B171),ISBLANK($C171), ISBLANK($E171), ISBLANK($F171), AND(ISBLANK($G171),ISBLANK($H171)), ISBLANK($I171), ISBLANK($L171), AND(ISBLANK($N171), ISBLANK($O171)), AND(ISBLANK($P171), ISBLANK($Q171), ISBLANK($R171))), "No", "Yes")</f>
        <v>No</v>
      </c>
      <c r="T171" s="42" t="str">
        <f aca="false">SUBSTITUTE($U171," ","")</f>
        <v>17275R102</v>
      </c>
      <c r="U171" s="42" t="s">
        <v>258</v>
      </c>
      <c r="V171" s="39" t="n">
        <v>116700</v>
      </c>
    </row>
    <row r="172" customFormat="false" ht="15" hidden="false" customHeight="false" outlineLevel="0" collapsed="false">
      <c r="B172" s="70" t="s">
        <v>260</v>
      </c>
      <c r="C172" s="71" t="str">
        <f aca="false">IFERROR(INDEX('13F Data'!A:A,MATCH($B172,'13F Data'!A:A,0)),"No CUSIP Match")</f>
        <v>No CUSIP Match</v>
      </c>
      <c r="D172" s="71" t="str">
        <f aca="false">IFERROR(IF($B172=$C172,"Yes","No"),"No CUSIP Match")</f>
        <v>No</v>
      </c>
      <c r="E172" s="71"/>
      <c r="F172" s="71" t="str">
        <f aca="false">IFERROR(INDEX('13F Data'!C:C, MATCH($B172,'13F Data'!A:A,0)),"No CUSIP Match")</f>
        <v>No CUSIP Match</v>
      </c>
      <c r="G172" s="72" t="str">
        <f aca="false">IFERROR(INDEX('13F Data'!D:D,MATCH($B172,'13F Data'!A:A,0)),"No CUSIP Match")</f>
        <v>No CUSIP Match</v>
      </c>
      <c r="J172" s="73" t="n">
        <f aca="false">$V172</f>
        <v>1900</v>
      </c>
      <c r="K172" s="71" t="str">
        <f aca="false">IFERROR(INDEX('EOD Data'!G:G, MATCH($A172, 'EOD Data'!B:B,0)), "No TKR Match")</f>
        <v>No TKR Match</v>
      </c>
      <c r="L172" s="71" t="str">
        <f aca="false">IFERROR(ROUND($J172*$K172,0),"Error")</f>
        <v>Error</v>
      </c>
      <c r="M172" s="71" t="str">
        <f aca="false">IFERROR(IF(AND($J172&lt;10000,$L172&lt;200000),"Yes","No"),"Error")</f>
        <v>No</v>
      </c>
      <c r="P172" s="42" t="str">
        <f aca="false">IF($N172="SOLE",$J172,"")</f>
        <v/>
      </c>
      <c r="Q172" s="42" t="str">
        <f aca="false">IFERROR(IF($N172="Sole",0,IF(AND($N172="OTR",$R172=0),$J172-$P172,IF(AND($N172="OTR", $R172&gt;0), $J172-$P172-$Q172, ""))),"")</f>
        <v/>
      </c>
      <c r="R172" s="42" t="str">
        <f aca="false">IF($P172=$J172, "0","")</f>
        <v/>
      </c>
      <c r="S172" s="42" t="str">
        <f aca="false">IF(OR(ISBLANK($B172),ISBLANK($C172), ISBLANK($E172), ISBLANK($F172), AND(ISBLANK($G172),ISBLANK($H172)), ISBLANK($I172), ISBLANK($L172), AND(ISBLANK($N172), ISBLANK($O172)), AND(ISBLANK($P172), ISBLANK($Q172), ISBLANK($R172))), "No", "Yes")</f>
        <v>No</v>
      </c>
      <c r="T172" s="42" t="str">
        <f aca="false">SUBSTITUTE($U172," ","")</f>
        <v>172967424</v>
      </c>
      <c r="U172" s="42" t="s">
        <v>260</v>
      </c>
      <c r="V172" s="39" t="n">
        <v>1900</v>
      </c>
    </row>
    <row r="173" customFormat="false" ht="15" hidden="false" customHeight="false" outlineLevel="0" collapsed="false">
      <c r="B173" s="70" t="s">
        <v>260</v>
      </c>
      <c r="C173" s="71" t="str">
        <f aca="false">IFERROR(INDEX('13F Data'!A:A,MATCH($B173,'13F Data'!A:A,0)),"No CUSIP Match")</f>
        <v>No CUSIP Match</v>
      </c>
      <c r="D173" s="71" t="str">
        <f aca="false">IFERROR(IF($B173=$C173,"Yes","No"),"No CUSIP Match")</f>
        <v>No</v>
      </c>
      <c r="E173" s="71"/>
      <c r="F173" s="71" t="str">
        <f aca="false">IFERROR(INDEX('13F Data'!C:C, MATCH($B173,'13F Data'!A:A,0)),"No CUSIP Match")</f>
        <v>No CUSIP Match</v>
      </c>
      <c r="G173" s="72" t="str">
        <f aca="false">IFERROR(INDEX('13F Data'!D:D,MATCH($B173,'13F Data'!A:A,0)),"No CUSIP Match")</f>
        <v>No CUSIP Match</v>
      </c>
      <c r="J173" s="73" t="n">
        <f aca="false">$V173</f>
        <v>1900</v>
      </c>
      <c r="K173" s="71" t="str">
        <f aca="false">IFERROR(INDEX('EOD Data'!G:G, MATCH($A173, 'EOD Data'!B:B,0)), "No TKR Match")</f>
        <v>No TKR Match</v>
      </c>
      <c r="L173" s="71" t="str">
        <f aca="false">IFERROR(ROUND($J173*$K173,0),"Error")</f>
        <v>Error</v>
      </c>
      <c r="M173" s="71" t="str">
        <f aca="false">IFERROR(IF(AND($J173&lt;10000,$L173&lt;200000),"Yes","No"),"Error")</f>
        <v>No</v>
      </c>
      <c r="P173" s="42" t="str">
        <f aca="false">IF($N173="SOLE",$J173,"")</f>
        <v/>
      </c>
      <c r="Q173" s="42" t="str">
        <f aca="false">IFERROR(IF($N173="Sole",0,IF(AND($N173="OTR",$R173=0),$J173-$P173,IF(AND($N173="OTR", $R173&gt;0), $J173-$P173-$Q173, ""))),"")</f>
        <v/>
      </c>
      <c r="R173" s="42" t="str">
        <f aca="false">IF($P173=$J173, "0","")</f>
        <v/>
      </c>
      <c r="S173" s="42" t="str">
        <f aca="false">IF(OR(ISBLANK($B173),ISBLANK($C173), ISBLANK($E173), ISBLANK($F173), AND(ISBLANK($G173),ISBLANK($H173)), ISBLANK($I173), ISBLANK($L173), AND(ISBLANK($N173), ISBLANK($O173)), AND(ISBLANK($P173), ISBLANK($Q173), ISBLANK($R173))), "No", "Yes")</f>
        <v>No</v>
      </c>
      <c r="T173" s="42" t="str">
        <f aca="false">SUBSTITUTE($U173," ","")</f>
        <v>172967424</v>
      </c>
      <c r="U173" s="42" t="s">
        <v>260</v>
      </c>
      <c r="V173" s="39" t="n">
        <v>1900</v>
      </c>
    </row>
    <row r="174" customFormat="false" ht="15" hidden="false" customHeight="false" outlineLevel="0" collapsed="false">
      <c r="B174" s="70" t="s">
        <v>262</v>
      </c>
      <c r="C174" s="71" t="str">
        <f aca="false">IFERROR(INDEX('13F Data'!A:A,MATCH($B174,'13F Data'!A:A,0)),"No CUSIP Match")</f>
        <v>No CUSIP Match</v>
      </c>
      <c r="D174" s="71" t="str">
        <f aca="false">IFERROR(IF($B174=$C174,"Yes","No"),"No CUSIP Match")</f>
        <v>No</v>
      </c>
      <c r="E174" s="71"/>
      <c r="F174" s="71" t="str">
        <f aca="false">IFERROR(INDEX('13F Data'!C:C, MATCH($B174,'13F Data'!A:A,0)),"No CUSIP Match")</f>
        <v>No CUSIP Match</v>
      </c>
      <c r="G174" s="72" t="str">
        <f aca="false">IFERROR(INDEX('13F Data'!D:D,MATCH($B174,'13F Data'!A:A,0)),"No CUSIP Match")</f>
        <v>No CUSIP Match</v>
      </c>
      <c r="J174" s="73" t="n">
        <f aca="false">$V174</f>
        <v>957401</v>
      </c>
      <c r="K174" s="71" t="str">
        <f aca="false">IFERROR(INDEX('EOD Data'!G:G, MATCH($A174, 'EOD Data'!B:B,0)), "No TKR Match")</f>
        <v>No TKR Match</v>
      </c>
      <c r="L174" s="71" t="str">
        <f aca="false">IFERROR(ROUND($J174*$K174,0),"Error")</f>
        <v>Error</v>
      </c>
      <c r="M174" s="71" t="str">
        <f aca="false">IFERROR(IF(AND($J174&lt;10000,$L174&lt;200000),"Yes","No"),"Error")</f>
        <v>No</v>
      </c>
      <c r="P174" s="42" t="str">
        <f aca="false">IF($N174="SOLE",$J174,"")</f>
        <v/>
      </c>
      <c r="Q174" s="42" t="str">
        <f aca="false">IFERROR(IF($N174="Sole",0,IF(AND($N174="OTR",$R174=0),$J174-$P174,IF(AND($N174="OTR", $R174&gt;0), $J174-$P174-$Q174, ""))),"")</f>
        <v/>
      </c>
      <c r="R174" s="42" t="str">
        <f aca="false">IF($P174=$J174, "0","")</f>
        <v/>
      </c>
      <c r="S174" s="42" t="str">
        <f aca="false">IF(OR(ISBLANK($B174),ISBLANK($C174), ISBLANK($E174), ISBLANK($F174), AND(ISBLANK($G174),ISBLANK($H174)), ISBLANK($I174), ISBLANK($L174), AND(ISBLANK($N174), ISBLANK($O174)), AND(ISBLANK($P174), ISBLANK($Q174), ISBLANK($R174))), "No", "Yes")</f>
        <v>No</v>
      </c>
      <c r="T174" s="42" t="str">
        <f aca="false">SUBSTITUTE($U174," ","")</f>
        <v>18453H106</v>
      </c>
      <c r="U174" s="42" t="s">
        <v>262</v>
      </c>
      <c r="V174" s="39" t="n">
        <v>957401</v>
      </c>
    </row>
    <row r="175" customFormat="false" ht="15" hidden="false" customHeight="false" outlineLevel="0" collapsed="false">
      <c r="B175" s="70" t="s">
        <v>264</v>
      </c>
      <c r="C175" s="71" t="str">
        <f aca="false">IFERROR(INDEX('13F Data'!A:A,MATCH($B175,'13F Data'!A:A,0)),"No CUSIP Match")</f>
        <v>No CUSIP Match</v>
      </c>
      <c r="D175" s="71" t="str">
        <f aca="false">IFERROR(IF($B175=$C175,"Yes","No"),"No CUSIP Match")</f>
        <v>No</v>
      </c>
      <c r="E175" s="71"/>
      <c r="F175" s="71" t="str">
        <f aca="false">IFERROR(INDEX('13F Data'!C:C, MATCH($B175,'13F Data'!A:A,0)),"No CUSIP Match")</f>
        <v>No CUSIP Match</v>
      </c>
      <c r="G175" s="72" t="str">
        <f aca="false">IFERROR(INDEX('13F Data'!D:D,MATCH($B175,'13F Data'!A:A,0)),"No CUSIP Match")</f>
        <v>No CUSIP Match</v>
      </c>
      <c r="J175" s="73" t="n">
        <f aca="false">$V175</f>
        <v>8500000</v>
      </c>
      <c r="K175" s="71" t="str">
        <f aca="false">IFERROR(INDEX('EOD Data'!G:G, MATCH($A175, 'EOD Data'!B:B,0)), "No TKR Match")</f>
        <v>No TKR Match</v>
      </c>
      <c r="L175" s="71" t="str">
        <f aca="false">IFERROR(ROUND($J175*$K175,0),"Error")</f>
        <v>Error</v>
      </c>
      <c r="M175" s="71" t="str">
        <f aca="false">IFERROR(IF(AND($J175&lt;10000,$L175&lt;200000),"Yes","No"),"Error")</f>
        <v>No</v>
      </c>
      <c r="P175" s="42" t="str">
        <f aca="false">IF($N175="SOLE",$J175,"")</f>
        <v/>
      </c>
      <c r="Q175" s="42" t="str">
        <f aca="false">IFERROR(IF($N175="Sole",0,IF(AND($N175="OTR",$R175=0),$J175-$P175,IF(AND($N175="OTR", $R175&gt;0), $J175-$P175-$Q175, ""))),"")</f>
        <v/>
      </c>
      <c r="R175" s="42" t="str">
        <f aca="false">IF($P175=$J175, "0","")</f>
        <v/>
      </c>
      <c r="S175" s="42" t="str">
        <f aca="false">IF(OR(ISBLANK($B175),ISBLANK($C175), ISBLANK($E175), ISBLANK($F175), AND(ISBLANK($G175),ISBLANK($H175)), ISBLANK($I175), ISBLANK($L175), AND(ISBLANK($N175), ISBLANK($O175)), AND(ISBLANK($P175), ISBLANK($Q175), ISBLANK($R175))), "No", "Yes")</f>
        <v>No</v>
      </c>
      <c r="T175" s="42" t="str">
        <f aca="false">SUBSTITUTE($U175," ","")</f>
        <v>18915MAC1</v>
      </c>
      <c r="U175" s="42" t="s">
        <v>264</v>
      </c>
      <c r="V175" s="39" t="n">
        <v>8500000</v>
      </c>
    </row>
    <row r="176" customFormat="false" ht="15" hidden="false" customHeight="false" outlineLevel="0" collapsed="false">
      <c r="B176" s="70" t="s">
        <v>265</v>
      </c>
      <c r="C176" s="71" t="str">
        <f aca="false">IFERROR(INDEX('13F Data'!A:A,MATCH($B176,'13F Data'!A:A,0)),"No CUSIP Match")</f>
        <v>No CUSIP Match</v>
      </c>
      <c r="D176" s="71" t="str">
        <f aca="false">IFERROR(IF($B176=$C176,"Yes","No"),"No CUSIP Match")</f>
        <v>No</v>
      </c>
      <c r="E176" s="71"/>
      <c r="F176" s="71" t="str">
        <f aca="false">IFERROR(INDEX('13F Data'!C:C, MATCH($B176,'13F Data'!A:A,0)),"No CUSIP Match")</f>
        <v>No CUSIP Match</v>
      </c>
      <c r="G176" s="72" t="str">
        <f aca="false">IFERROR(INDEX('13F Data'!D:D,MATCH($B176,'13F Data'!A:A,0)),"No CUSIP Match")</f>
        <v>No CUSIP Match</v>
      </c>
      <c r="J176" s="73" t="n">
        <f aca="false">$V176</f>
        <v>208858</v>
      </c>
      <c r="K176" s="71" t="str">
        <f aca="false">IFERROR(INDEX('EOD Data'!G:G, MATCH($A176, 'EOD Data'!B:B,0)), "No TKR Match")</f>
        <v>No TKR Match</v>
      </c>
      <c r="L176" s="71" t="str">
        <f aca="false">IFERROR(ROUND($J176*$K176,0),"Error")</f>
        <v>Error</v>
      </c>
      <c r="M176" s="71" t="str">
        <f aca="false">IFERROR(IF(AND($J176&lt;10000,$L176&lt;200000),"Yes","No"),"Error")</f>
        <v>No</v>
      </c>
      <c r="P176" s="42" t="str">
        <f aca="false">IF($N176="SOLE",$J176,"")</f>
        <v/>
      </c>
      <c r="Q176" s="42" t="str">
        <f aca="false">IFERROR(IF($N176="Sole",0,IF(AND($N176="OTR",$R176=0),$J176-$P176,IF(AND($N176="OTR", $R176&gt;0), $J176-$P176-$Q176, ""))),"")</f>
        <v/>
      </c>
      <c r="R176" s="42" t="str">
        <f aca="false">IF($P176=$J176, "0","")</f>
        <v/>
      </c>
      <c r="S176" s="42" t="str">
        <f aca="false">IF(OR(ISBLANK($B176),ISBLANK($C176), ISBLANK($E176), ISBLANK($F176), AND(ISBLANK($G176),ISBLANK($H176)), ISBLANK($I176), ISBLANK($L176), AND(ISBLANK($N176), ISBLANK($O176)), AND(ISBLANK($P176), ISBLANK($Q176), ISBLANK($R176))), "No", "Yes")</f>
        <v>No</v>
      </c>
      <c r="T176" s="42" t="str">
        <f aca="false">SUBSTITUTE($U176," ","")</f>
        <v>18915M107</v>
      </c>
      <c r="U176" s="42" t="s">
        <v>265</v>
      </c>
      <c r="V176" s="39" t="n">
        <v>208858</v>
      </c>
    </row>
    <row r="177" customFormat="false" ht="15" hidden="false" customHeight="false" outlineLevel="0" collapsed="false">
      <c r="B177" s="70" t="s">
        <v>267</v>
      </c>
      <c r="C177" s="71" t="str">
        <f aca="false">IFERROR(INDEX('13F Data'!A:A,MATCH($B177,'13F Data'!A:A,0)),"No CUSIP Match")</f>
        <v>No CUSIP Match</v>
      </c>
      <c r="D177" s="71" t="str">
        <f aca="false">IFERROR(IF($B177=$C177,"Yes","No"),"No CUSIP Match")</f>
        <v>No</v>
      </c>
      <c r="E177" s="71"/>
      <c r="F177" s="71" t="str">
        <f aca="false">IFERROR(INDEX('13F Data'!C:C, MATCH($B177,'13F Data'!A:A,0)),"No CUSIP Match")</f>
        <v>No CUSIP Match</v>
      </c>
      <c r="G177" s="72" t="str">
        <f aca="false">IFERROR(INDEX('13F Data'!D:D,MATCH($B177,'13F Data'!A:A,0)),"No CUSIP Match")</f>
        <v>No CUSIP Match</v>
      </c>
      <c r="J177" s="73" t="n">
        <f aca="false">$V177</f>
        <v>64</v>
      </c>
      <c r="K177" s="71" t="str">
        <f aca="false">IFERROR(INDEX('EOD Data'!G:G, MATCH($A177, 'EOD Data'!B:B,0)), "No TKR Match")</f>
        <v>No TKR Match</v>
      </c>
      <c r="L177" s="71" t="str">
        <f aca="false">IFERROR(ROUND($J177*$K177,0),"Error")</f>
        <v>Error</v>
      </c>
      <c r="M177" s="71" t="str">
        <f aca="false">IFERROR(IF(AND($J177&lt;10000,$L177&lt;200000),"Yes","No"),"Error")</f>
        <v>No</v>
      </c>
      <c r="P177" s="42" t="str">
        <f aca="false">IF($N177="SOLE",$J177,"")</f>
        <v/>
      </c>
      <c r="Q177" s="42" t="str">
        <f aca="false">IFERROR(IF($N177="Sole",0,IF(AND($N177="OTR",$R177=0),$J177-$P177,IF(AND($N177="OTR", $R177&gt;0), $J177-$P177-$Q177, ""))),"")</f>
        <v/>
      </c>
      <c r="R177" s="42" t="str">
        <f aca="false">IF($P177=$J177, "0","")</f>
        <v/>
      </c>
      <c r="S177" s="42" t="str">
        <f aca="false">IF(OR(ISBLANK($B177),ISBLANK($C177), ISBLANK($E177), ISBLANK($F177), AND(ISBLANK($G177),ISBLANK($H177)), ISBLANK($I177), ISBLANK($L177), AND(ISBLANK($N177), ISBLANK($O177)), AND(ISBLANK($P177), ISBLANK($Q177), ISBLANK($R177))), "No", "Yes")</f>
        <v>No</v>
      </c>
      <c r="T177" s="42" t="str">
        <f aca="false">SUBSTITUTE($U177," ","")</f>
        <v>191216100</v>
      </c>
      <c r="U177" s="42" t="s">
        <v>267</v>
      </c>
      <c r="V177" s="39" t="n">
        <v>64</v>
      </c>
    </row>
    <row r="178" customFormat="false" ht="15" hidden="false" customHeight="false" outlineLevel="0" collapsed="false">
      <c r="B178" s="70" t="s">
        <v>267</v>
      </c>
      <c r="C178" s="71" t="str">
        <f aca="false">IFERROR(INDEX('13F Data'!A:A,MATCH($B178,'13F Data'!A:A,0)),"No CUSIP Match")</f>
        <v>No CUSIP Match</v>
      </c>
      <c r="D178" s="71" t="str">
        <f aca="false">IFERROR(IF($B178=$C178,"Yes","No"),"No CUSIP Match")</f>
        <v>No</v>
      </c>
      <c r="E178" s="71"/>
      <c r="F178" s="71" t="str">
        <f aca="false">IFERROR(INDEX('13F Data'!C:C, MATCH($B178,'13F Data'!A:A,0)),"No CUSIP Match")</f>
        <v>No CUSIP Match</v>
      </c>
      <c r="G178" s="72" t="str">
        <f aca="false">IFERROR(INDEX('13F Data'!D:D,MATCH($B178,'13F Data'!A:A,0)),"No CUSIP Match")</f>
        <v>No CUSIP Match</v>
      </c>
      <c r="J178" s="73" t="n">
        <f aca="false">$V178</f>
        <v>5100</v>
      </c>
      <c r="K178" s="71" t="str">
        <f aca="false">IFERROR(INDEX('EOD Data'!G:G, MATCH($A178, 'EOD Data'!B:B,0)), "No TKR Match")</f>
        <v>No TKR Match</v>
      </c>
      <c r="L178" s="71" t="str">
        <f aca="false">IFERROR(ROUND($J178*$K178,0),"Error")</f>
        <v>Error</v>
      </c>
      <c r="M178" s="71" t="str">
        <f aca="false">IFERROR(IF(AND($J178&lt;10000,$L178&lt;200000),"Yes","No"),"Error")</f>
        <v>No</v>
      </c>
      <c r="P178" s="42" t="str">
        <f aca="false">IF($N178="SOLE",$J178,"")</f>
        <v/>
      </c>
      <c r="Q178" s="42" t="str">
        <f aca="false">IFERROR(IF($N178="Sole",0,IF(AND($N178="OTR",$R178=0),$J178-$P178,IF(AND($N178="OTR", $R178&gt;0), $J178-$P178-$Q178, ""))),"")</f>
        <v/>
      </c>
      <c r="R178" s="42" t="str">
        <f aca="false">IF($P178=$J178, "0","")</f>
        <v/>
      </c>
      <c r="S178" s="42" t="str">
        <f aca="false">IF(OR(ISBLANK($B178),ISBLANK($C178), ISBLANK($E178), ISBLANK($F178), AND(ISBLANK($G178),ISBLANK($H178)), ISBLANK($I178), ISBLANK($L178), AND(ISBLANK($N178), ISBLANK($O178)), AND(ISBLANK($P178), ISBLANK($Q178), ISBLANK($R178))), "No", "Yes")</f>
        <v>No</v>
      </c>
      <c r="T178" s="42" t="str">
        <f aca="false">SUBSTITUTE($U178," ","")</f>
        <v>191216100</v>
      </c>
      <c r="U178" s="42" t="s">
        <v>267</v>
      </c>
      <c r="V178" s="39" t="n">
        <v>5100</v>
      </c>
    </row>
    <row r="179" customFormat="false" ht="15" hidden="false" customHeight="false" outlineLevel="0" collapsed="false">
      <c r="B179" s="70" t="s">
        <v>267</v>
      </c>
      <c r="C179" s="71" t="str">
        <f aca="false">IFERROR(INDEX('13F Data'!A:A,MATCH($B179,'13F Data'!A:A,0)),"No CUSIP Match")</f>
        <v>No CUSIP Match</v>
      </c>
      <c r="D179" s="71" t="str">
        <f aca="false">IFERROR(IF($B179=$C179,"Yes","No"),"No CUSIP Match")</f>
        <v>No</v>
      </c>
      <c r="E179" s="71"/>
      <c r="F179" s="71" t="str">
        <f aca="false">IFERROR(INDEX('13F Data'!C:C, MATCH($B179,'13F Data'!A:A,0)),"No CUSIP Match")</f>
        <v>No CUSIP Match</v>
      </c>
      <c r="G179" s="72" t="str">
        <f aca="false">IFERROR(INDEX('13F Data'!D:D,MATCH($B179,'13F Data'!A:A,0)),"No CUSIP Match")</f>
        <v>No CUSIP Match</v>
      </c>
      <c r="J179" s="73" t="n">
        <f aca="false">$V179</f>
        <v>5100</v>
      </c>
      <c r="K179" s="71" t="str">
        <f aca="false">IFERROR(INDEX('EOD Data'!G:G, MATCH($A179, 'EOD Data'!B:B,0)), "No TKR Match")</f>
        <v>No TKR Match</v>
      </c>
      <c r="L179" s="71" t="str">
        <f aca="false">IFERROR(ROUND($J179*$K179,0),"Error")</f>
        <v>Error</v>
      </c>
      <c r="M179" s="71" t="str">
        <f aca="false">IFERROR(IF(AND($J179&lt;10000,$L179&lt;200000),"Yes","No"),"Error")</f>
        <v>No</v>
      </c>
      <c r="P179" s="42" t="str">
        <f aca="false">IF($N179="SOLE",$J179,"")</f>
        <v/>
      </c>
      <c r="Q179" s="42" t="str">
        <f aca="false">IFERROR(IF($N179="Sole",0,IF(AND($N179="OTR",$R179=0),$J179-$P179,IF(AND($N179="OTR", $R179&gt;0), $J179-$P179-$Q179, ""))),"")</f>
        <v/>
      </c>
      <c r="R179" s="42" t="str">
        <f aca="false">IF($P179=$J179, "0","")</f>
        <v/>
      </c>
      <c r="S179" s="42" t="str">
        <f aca="false">IF(OR(ISBLANK($B179),ISBLANK($C179), ISBLANK($E179), ISBLANK($F179), AND(ISBLANK($G179),ISBLANK($H179)), ISBLANK($I179), ISBLANK($L179), AND(ISBLANK($N179), ISBLANK($O179)), AND(ISBLANK($P179), ISBLANK($Q179), ISBLANK($R179))), "No", "Yes")</f>
        <v>No</v>
      </c>
      <c r="T179" s="42" t="str">
        <f aca="false">SUBSTITUTE($U179," ","")</f>
        <v>191216100</v>
      </c>
      <c r="U179" s="42" t="s">
        <v>267</v>
      </c>
      <c r="V179" s="39" t="n">
        <v>5100</v>
      </c>
    </row>
    <row r="180" customFormat="false" ht="15" hidden="false" customHeight="false" outlineLevel="0" collapsed="false">
      <c r="B180" s="70" t="s">
        <v>269</v>
      </c>
      <c r="C180" s="71" t="str">
        <f aca="false">IFERROR(INDEX('13F Data'!A:A,MATCH($B180,'13F Data'!A:A,0)),"No CUSIP Match")</f>
        <v>No CUSIP Match</v>
      </c>
      <c r="D180" s="71" t="str">
        <f aca="false">IFERROR(IF($B180=$C180,"Yes","No"),"No CUSIP Match")</f>
        <v>No</v>
      </c>
      <c r="E180" s="71"/>
      <c r="F180" s="71" t="str">
        <f aca="false">IFERROR(INDEX('13F Data'!C:C, MATCH($B180,'13F Data'!A:A,0)),"No CUSIP Match")</f>
        <v>No CUSIP Match</v>
      </c>
      <c r="G180" s="72" t="str">
        <f aca="false">IFERROR(INDEX('13F Data'!D:D,MATCH($B180,'13F Data'!A:A,0)),"No CUSIP Match")</f>
        <v>No CUSIP Match</v>
      </c>
      <c r="J180" s="73" t="n">
        <f aca="false">$V180</f>
        <v>15000</v>
      </c>
      <c r="K180" s="71" t="str">
        <f aca="false">IFERROR(INDEX('EOD Data'!G:G, MATCH($A180, 'EOD Data'!B:B,0)), "No TKR Match")</f>
        <v>No TKR Match</v>
      </c>
      <c r="L180" s="71" t="str">
        <f aca="false">IFERROR(ROUND($J180*$K180,0),"Error")</f>
        <v>Error</v>
      </c>
      <c r="M180" s="71" t="str">
        <f aca="false">IFERROR(IF(AND($J180&lt;10000,$L180&lt;200000),"Yes","No"),"Error")</f>
        <v>No</v>
      </c>
      <c r="P180" s="42" t="str">
        <f aca="false">IF($N180="SOLE",$J180,"")</f>
        <v/>
      </c>
      <c r="Q180" s="42" t="str">
        <f aca="false">IFERROR(IF($N180="Sole",0,IF(AND($N180="OTR",$R180=0),$J180-$P180,IF(AND($N180="OTR", $R180&gt;0), $J180-$P180-$Q180, ""))),"")</f>
        <v/>
      </c>
      <c r="R180" s="42" t="str">
        <f aca="false">IF($P180=$J180, "0","")</f>
        <v/>
      </c>
      <c r="S180" s="42" t="str">
        <f aca="false">IF(OR(ISBLANK($B180),ISBLANK($C180), ISBLANK($E180), ISBLANK($F180), AND(ISBLANK($G180),ISBLANK($H180)), ISBLANK($I180), ISBLANK($L180), AND(ISBLANK($N180), ISBLANK($O180)), AND(ISBLANK($P180), ISBLANK($Q180), ISBLANK($R180))), "No", "Yes")</f>
        <v>No</v>
      </c>
      <c r="T180" s="42" t="str">
        <f aca="false">SUBSTITUTE($U180," ","")</f>
        <v>20030N101</v>
      </c>
      <c r="U180" s="42" t="s">
        <v>269</v>
      </c>
      <c r="V180" s="39" t="n">
        <v>15000</v>
      </c>
    </row>
    <row r="181" customFormat="false" ht="15" hidden="false" customHeight="false" outlineLevel="0" collapsed="false">
      <c r="B181" s="70" t="s">
        <v>269</v>
      </c>
      <c r="C181" s="71" t="str">
        <f aca="false">IFERROR(INDEX('13F Data'!A:A,MATCH($B181,'13F Data'!A:A,0)),"No CUSIP Match")</f>
        <v>No CUSIP Match</v>
      </c>
      <c r="D181" s="71" t="str">
        <f aca="false">IFERROR(IF($B181=$C181,"Yes","No"),"No CUSIP Match")</f>
        <v>No</v>
      </c>
      <c r="E181" s="71"/>
      <c r="F181" s="71" t="str">
        <f aca="false">IFERROR(INDEX('13F Data'!C:C, MATCH($B181,'13F Data'!A:A,0)),"No CUSIP Match")</f>
        <v>No CUSIP Match</v>
      </c>
      <c r="G181" s="72" t="str">
        <f aca="false">IFERROR(INDEX('13F Data'!D:D,MATCH($B181,'13F Data'!A:A,0)),"No CUSIP Match")</f>
        <v>No CUSIP Match</v>
      </c>
      <c r="J181" s="73" t="n">
        <f aca="false">$V181</f>
        <v>15000</v>
      </c>
      <c r="K181" s="71" t="str">
        <f aca="false">IFERROR(INDEX('EOD Data'!G:G, MATCH($A181, 'EOD Data'!B:B,0)), "No TKR Match")</f>
        <v>No TKR Match</v>
      </c>
      <c r="L181" s="71" t="str">
        <f aca="false">IFERROR(ROUND($J181*$K181,0),"Error")</f>
        <v>Error</v>
      </c>
      <c r="M181" s="71" t="str">
        <f aca="false">IFERROR(IF(AND($J181&lt;10000,$L181&lt;200000),"Yes","No"),"Error")</f>
        <v>No</v>
      </c>
      <c r="P181" s="42" t="str">
        <f aca="false">IF($N181="SOLE",$J181,"")</f>
        <v/>
      </c>
      <c r="Q181" s="42" t="str">
        <f aca="false">IFERROR(IF($N181="Sole",0,IF(AND($N181="OTR",$R181=0),$J181-$P181,IF(AND($N181="OTR", $R181&gt;0), $J181-$P181-$Q181, ""))),"")</f>
        <v/>
      </c>
      <c r="R181" s="42" t="str">
        <f aca="false">IF($P181=$J181, "0","")</f>
        <v/>
      </c>
      <c r="S181" s="42" t="str">
        <f aca="false">IF(OR(ISBLANK($B181),ISBLANK($C181), ISBLANK($E181), ISBLANK($F181), AND(ISBLANK($G181),ISBLANK($H181)), ISBLANK($I181), ISBLANK($L181), AND(ISBLANK($N181), ISBLANK($O181)), AND(ISBLANK($P181), ISBLANK($Q181), ISBLANK($R181))), "No", "Yes")</f>
        <v>No</v>
      </c>
      <c r="T181" s="42" t="str">
        <f aca="false">SUBSTITUTE($U181," ","")</f>
        <v>20030N101</v>
      </c>
      <c r="U181" s="42" t="s">
        <v>269</v>
      </c>
      <c r="V181" s="39" t="n">
        <v>15000</v>
      </c>
    </row>
    <row r="182" customFormat="false" ht="15" hidden="false" customHeight="false" outlineLevel="0" collapsed="false">
      <c r="B182" s="70" t="s">
        <v>271</v>
      </c>
      <c r="C182" s="71" t="str">
        <f aca="false">IFERROR(INDEX('13F Data'!A:A,MATCH($B182,'13F Data'!A:A,0)),"No CUSIP Match")</f>
        <v>No CUSIP Match</v>
      </c>
      <c r="D182" s="71" t="str">
        <f aca="false">IFERROR(IF($B182=$C182,"Yes","No"),"No CUSIP Match")</f>
        <v>No</v>
      </c>
      <c r="E182" s="71"/>
      <c r="F182" s="71" t="str">
        <f aca="false">IFERROR(INDEX('13F Data'!C:C, MATCH($B182,'13F Data'!A:A,0)),"No CUSIP Match")</f>
        <v>No CUSIP Match</v>
      </c>
      <c r="G182" s="72" t="str">
        <f aca="false">IFERROR(INDEX('13F Data'!D:D,MATCH($B182,'13F Data'!A:A,0)),"No CUSIP Match")</f>
        <v>No CUSIP Match</v>
      </c>
      <c r="J182" s="73" t="n">
        <f aca="false">$V182</f>
        <v>603846</v>
      </c>
      <c r="K182" s="71" t="str">
        <f aca="false">IFERROR(INDEX('EOD Data'!G:G, MATCH($A182, 'EOD Data'!B:B,0)), "No TKR Match")</f>
        <v>No TKR Match</v>
      </c>
      <c r="L182" s="71" t="str">
        <f aca="false">IFERROR(ROUND($J182*$K182,0),"Error")</f>
        <v>Error</v>
      </c>
      <c r="M182" s="71" t="str">
        <f aca="false">IFERROR(IF(AND($J182&lt;10000,$L182&lt;200000),"Yes","No"),"Error")</f>
        <v>No</v>
      </c>
      <c r="P182" s="42" t="str">
        <f aca="false">IF($N182="SOLE",$J182,"")</f>
        <v/>
      </c>
      <c r="Q182" s="42" t="str">
        <f aca="false">IFERROR(IF($N182="Sole",0,IF(AND($N182="OTR",$R182=0),$J182-$P182,IF(AND($N182="OTR", $R182&gt;0), $J182-$P182-$Q182, ""))),"")</f>
        <v/>
      </c>
      <c r="R182" s="42" t="str">
        <f aca="false">IF($P182=$J182, "0","")</f>
        <v/>
      </c>
      <c r="S182" s="42" t="str">
        <f aca="false">IF(OR(ISBLANK($B182),ISBLANK($C182), ISBLANK($E182), ISBLANK($F182), AND(ISBLANK($G182),ISBLANK($H182)), ISBLANK($I182), ISBLANK($L182), AND(ISBLANK($N182), ISBLANK($O182)), AND(ISBLANK($P182), ISBLANK($Q182), ISBLANK($R182))), "No", "Yes")</f>
        <v>No</v>
      </c>
      <c r="T182" s="42" t="str">
        <f aca="false">SUBSTITUTE($U182," ","")</f>
        <v>205768302</v>
      </c>
      <c r="U182" s="42" t="s">
        <v>271</v>
      </c>
      <c r="V182" s="39" t="n">
        <v>603846</v>
      </c>
    </row>
    <row r="183" customFormat="false" ht="15" hidden="false" customHeight="false" outlineLevel="0" collapsed="false">
      <c r="B183" s="70" t="s">
        <v>273</v>
      </c>
      <c r="C183" s="71" t="str">
        <f aca="false">IFERROR(INDEX('13F Data'!A:A,MATCH($B183,'13F Data'!A:A,0)),"No CUSIP Match")</f>
        <v>No CUSIP Match</v>
      </c>
      <c r="D183" s="71" t="str">
        <f aca="false">IFERROR(IF($B183=$C183,"Yes","No"),"No CUSIP Match")</f>
        <v>No</v>
      </c>
      <c r="E183" s="71"/>
      <c r="F183" s="71" t="str">
        <f aca="false">IFERROR(INDEX('13F Data'!C:C, MATCH($B183,'13F Data'!A:A,0)),"No CUSIP Match")</f>
        <v>No CUSIP Match</v>
      </c>
      <c r="G183" s="72" t="str">
        <f aca="false">IFERROR(INDEX('13F Data'!D:D,MATCH($B183,'13F Data'!A:A,0)),"No CUSIP Match")</f>
        <v>No CUSIP Match</v>
      </c>
      <c r="J183" s="73" t="n">
        <f aca="false">$V183</f>
        <v>4500000</v>
      </c>
      <c r="K183" s="71" t="str">
        <f aca="false">IFERROR(INDEX('EOD Data'!G:G, MATCH($A183, 'EOD Data'!B:B,0)), "No TKR Match")</f>
        <v>No TKR Match</v>
      </c>
      <c r="L183" s="71" t="str">
        <f aca="false">IFERROR(ROUND($J183*$K183,0),"Error")</f>
        <v>Error</v>
      </c>
      <c r="M183" s="71" t="str">
        <f aca="false">IFERROR(IF(AND($J183&lt;10000,$L183&lt;200000),"Yes","No"),"Error")</f>
        <v>No</v>
      </c>
      <c r="P183" s="42" t="str">
        <f aca="false">IF($N183="SOLE",$J183,"")</f>
        <v/>
      </c>
      <c r="Q183" s="42" t="str">
        <f aca="false">IFERROR(IF($N183="Sole",0,IF(AND($N183="OTR",$R183=0),$J183-$P183,IF(AND($N183="OTR", $R183&gt;0), $J183-$P183-$Q183, ""))),"")</f>
        <v/>
      </c>
      <c r="R183" s="42" t="str">
        <f aca="false">IF($P183=$J183, "0","")</f>
        <v/>
      </c>
      <c r="S183" s="42" t="str">
        <f aca="false">IF(OR(ISBLANK($B183),ISBLANK($C183), ISBLANK($E183), ISBLANK($F183), AND(ISBLANK($G183),ISBLANK($H183)), ISBLANK($I183), ISBLANK($L183), AND(ISBLANK($N183), ISBLANK($O183)), AND(ISBLANK($P183), ISBLANK($Q183), ISBLANK($R183))), "No", "Yes")</f>
        <v>No</v>
      </c>
      <c r="T183" s="42" t="str">
        <f aca="false">SUBSTITUTE($U183," ","")</f>
        <v>207410AH4</v>
      </c>
      <c r="U183" s="42" t="s">
        <v>273</v>
      </c>
      <c r="V183" s="39" t="n">
        <v>4500000</v>
      </c>
    </row>
    <row r="184" customFormat="false" ht="15" hidden="false" customHeight="false" outlineLevel="0" collapsed="false">
      <c r="B184" s="70" t="s">
        <v>275</v>
      </c>
      <c r="C184" s="71" t="str">
        <f aca="false">IFERROR(INDEX('13F Data'!A:A,MATCH($B184,'13F Data'!A:A,0)),"No CUSIP Match")</f>
        <v>No CUSIP Match</v>
      </c>
      <c r="D184" s="71" t="str">
        <f aca="false">IFERROR(IF($B184=$C184,"Yes","No"),"No CUSIP Match")</f>
        <v>No</v>
      </c>
      <c r="E184" s="71"/>
      <c r="F184" s="71" t="str">
        <f aca="false">IFERROR(INDEX('13F Data'!C:C, MATCH($B184,'13F Data'!A:A,0)),"No CUSIP Match")</f>
        <v>No CUSIP Match</v>
      </c>
      <c r="G184" s="72" t="str">
        <f aca="false">IFERROR(INDEX('13F Data'!D:D,MATCH($B184,'13F Data'!A:A,0)),"No CUSIP Match")</f>
        <v>No CUSIP Match</v>
      </c>
      <c r="J184" s="73" t="n">
        <f aca="false">$V184</f>
        <v>81</v>
      </c>
      <c r="K184" s="71" t="str">
        <f aca="false">IFERROR(INDEX('EOD Data'!G:G, MATCH($A184, 'EOD Data'!B:B,0)), "No TKR Match")</f>
        <v>No TKR Match</v>
      </c>
      <c r="L184" s="71" t="str">
        <f aca="false">IFERROR(ROUND($J184*$K184,0),"Error")</f>
        <v>Error</v>
      </c>
      <c r="M184" s="71" t="str">
        <f aca="false">IFERROR(IF(AND($J184&lt;10000,$L184&lt;200000),"Yes","No"),"Error")</f>
        <v>No</v>
      </c>
      <c r="P184" s="42" t="str">
        <f aca="false">IF($N184="SOLE",$J184,"")</f>
        <v/>
      </c>
      <c r="Q184" s="42" t="str">
        <f aca="false">IFERROR(IF($N184="Sole",0,IF(AND($N184="OTR",$R184=0),$J184-$P184,IF(AND($N184="OTR", $R184&gt;0), $J184-$P184-$Q184, ""))),"")</f>
        <v/>
      </c>
      <c r="R184" s="42" t="str">
        <f aca="false">IF($P184=$J184, "0","")</f>
        <v/>
      </c>
      <c r="S184" s="42" t="str">
        <f aca="false">IF(OR(ISBLANK($B184),ISBLANK($C184), ISBLANK($E184), ISBLANK($F184), AND(ISBLANK($G184),ISBLANK($H184)), ISBLANK($I184), ISBLANK($L184), AND(ISBLANK($N184), ISBLANK($O184)), AND(ISBLANK($P184), ISBLANK($Q184), ISBLANK($R184))), "No", "Yes")</f>
        <v>No</v>
      </c>
      <c r="T184" s="42" t="str">
        <f aca="false">SUBSTITUTE($U184," ","")</f>
        <v>20825C104</v>
      </c>
      <c r="U184" s="42" t="s">
        <v>275</v>
      </c>
      <c r="V184" s="39" t="n">
        <v>81</v>
      </c>
    </row>
    <row r="185" customFormat="false" ht="15" hidden="false" customHeight="false" outlineLevel="0" collapsed="false">
      <c r="B185" s="70" t="s">
        <v>275</v>
      </c>
      <c r="C185" s="71" t="str">
        <f aca="false">IFERROR(INDEX('13F Data'!A:A,MATCH($B185,'13F Data'!A:A,0)),"No CUSIP Match")</f>
        <v>No CUSIP Match</v>
      </c>
      <c r="D185" s="71" t="str">
        <f aca="false">IFERROR(IF($B185=$C185,"Yes","No"),"No CUSIP Match")</f>
        <v>No</v>
      </c>
      <c r="E185" s="71"/>
      <c r="F185" s="71" t="str">
        <f aca="false">IFERROR(INDEX('13F Data'!C:C, MATCH($B185,'13F Data'!A:A,0)),"No CUSIP Match")</f>
        <v>No CUSIP Match</v>
      </c>
      <c r="G185" s="72" t="str">
        <f aca="false">IFERROR(INDEX('13F Data'!D:D,MATCH($B185,'13F Data'!A:A,0)),"No CUSIP Match")</f>
        <v>No CUSIP Match</v>
      </c>
      <c r="J185" s="73" t="n">
        <f aca="false">$V185</f>
        <v>1200</v>
      </c>
      <c r="K185" s="71" t="str">
        <f aca="false">IFERROR(INDEX('EOD Data'!G:G, MATCH($A185, 'EOD Data'!B:B,0)), "No TKR Match")</f>
        <v>No TKR Match</v>
      </c>
      <c r="L185" s="71" t="str">
        <f aca="false">IFERROR(ROUND($J185*$K185,0),"Error")</f>
        <v>Error</v>
      </c>
      <c r="M185" s="71" t="str">
        <f aca="false">IFERROR(IF(AND($J185&lt;10000,$L185&lt;200000),"Yes","No"),"Error")</f>
        <v>No</v>
      </c>
      <c r="P185" s="42" t="str">
        <f aca="false">IF($N185="SOLE",$J185,"")</f>
        <v/>
      </c>
      <c r="Q185" s="42" t="str">
        <f aca="false">IFERROR(IF($N185="Sole",0,IF(AND($N185="OTR",$R185=0),$J185-$P185,IF(AND($N185="OTR", $R185&gt;0), $J185-$P185-$Q185, ""))),"")</f>
        <v/>
      </c>
      <c r="R185" s="42" t="str">
        <f aca="false">IF($P185=$J185, "0","")</f>
        <v/>
      </c>
      <c r="S185" s="42" t="str">
        <f aca="false">IF(OR(ISBLANK($B185),ISBLANK($C185), ISBLANK($E185), ISBLANK($F185), AND(ISBLANK($G185),ISBLANK($H185)), ISBLANK($I185), ISBLANK($L185), AND(ISBLANK($N185), ISBLANK($O185)), AND(ISBLANK($P185), ISBLANK($Q185), ISBLANK($R185))), "No", "Yes")</f>
        <v>No</v>
      </c>
      <c r="T185" s="42" t="str">
        <f aca="false">SUBSTITUTE($U185," ","")</f>
        <v>20825C104</v>
      </c>
      <c r="U185" s="42" t="s">
        <v>275</v>
      </c>
      <c r="V185" s="39" t="n">
        <v>1200</v>
      </c>
    </row>
    <row r="186" customFormat="false" ht="15" hidden="false" customHeight="false" outlineLevel="0" collapsed="false">
      <c r="B186" s="70" t="s">
        <v>275</v>
      </c>
      <c r="C186" s="71" t="str">
        <f aca="false">IFERROR(INDEX('13F Data'!A:A,MATCH($B186,'13F Data'!A:A,0)),"No CUSIP Match")</f>
        <v>No CUSIP Match</v>
      </c>
      <c r="D186" s="71" t="str">
        <f aca="false">IFERROR(IF($B186=$C186,"Yes","No"),"No CUSIP Match")</f>
        <v>No</v>
      </c>
      <c r="E186" s="71"/>
      <c r="F186" s="71" t="str">
        <f aca="false">IFERROR(INDEX('13F Data'!C:C, MATCH($B186,'13F Data'!A:A,0)),"No CUSIP Match")</f>
        <v>No CUSIP Match</v>
      </c>
      <c r="G186" s="72" t="str">
        <f aca="false">IFERROR(INDEX('13F Data'!D:D,MATCH($B186,'13F Data'!A:A,0)),"No CUSIP Match")</f>
        <v>No CUSIP Match</v>
      </c>
      <c r="J186" s="73" t="n">
        <f aca="false">$V186</f>
        <v>1200</v>
      </c>
      <c r="K186" s="71" t="str">
        <f aca="false">IFERROR(INDEX('EOD Data'!G:G, MATCH($A186, 'EOD Data'!B:B,0)), "No TKR Match")</f>
        <v>No TKR Match</v>
      </c>
      <c r="L186" s="71" t="str">
        <f aca="false">IFERROR(ROUND($J186*$K186,0),"Error")</f>
        <v>Error</v>
      </c>
      <c r="M186" s="71" t="str">
        <f aca="false">IFERROR(IF(AND($J186&lt;10000,$L186&lt;200000),"Yes","No"),"Error")</f>
        <v>No</v>
      </c>
      <c r="P186" s="42" t="str">
        <f aca="false">IF($N186="SOLE",$J186,"")</f>
        <v/>
      </c>
      <c r="Q186" s="42" t="str">
        <f aca="false">IFERROR(IF($N186="Sole",0,IF(AND($N186="OTR",$R186=0),$J186-$P186,IF(AND($N186="OTR", $R186&gt;0), $J186-$P186-$Q186, ""))),"")</f>
        <v/>
      </c>
      <c r="R186" s="42" t="str">
        <f aca="false">IF($P186=$J186, "0","")</f>
        <v/>
      </c>
      <c r="S186" s="42" t="str">
        <f aca="false">IF(OR(ISBLANK($B186),ISBLANK($C186), ISBLANK($E186), ISBLANK($F186), AND(ISBLANK($G186),ISBLANK($H186)), ISBLANK($I186), ISBLANK($L186), AND(ISBLANK($N186), ISBLANK($O186)), AND(ISBLANK($P186), ISBLANK($Q186), ISBLANK($R186))), "No", "Yes")</f>
        <v>No</v>
      </c>
      <c r="T186" s="42" t="str">
        <f aca="false">SUBSTITUTE($U186," ","")</f>
        <v>20825C104</v>
      </c>
      <c r="U186" s="42" t="s">
        <v>275</v>
      </c>
      <c r="V186" s="39" t="n">
        <v>1200</v>
      </c>
    </row>
    <row r="187" customFormat="false" ht="15" hidden="false" customHeight="false" outlineLevel="0" collapsed="false">
      <c r="B187" s="70" t="s">
        <v>277</v>
      </c>
      <c r="C187" s="71" t="str">
        <f aca="false">IFERROR(INDEX('13F Data'!A:A,MATCH($B187,'13F Data'!A:A,0)),"No CUSIP Match")</f>
        <v>No CUSIP Match</v>
      </c>
      <c r="D187" s="71" t="str">
        <f aca="false">IFERROR(IF($B187=$C187,"Yes","No"),"No CUSIP Match")</f>
        <v>No</v>
      </c>
      <c r="E187" s="71"/>
      <c r="F187" s="71" t="str">
        <f aca="false">IFERROR(INDEX('13F Data'!C:C, MATCH($B187,'13F Data'!A:A,0)),"No CUSIP Match")</f>
        <v>No CUSIP Match</v>
      </c>
      <c r="G187" s="72" t="str">
        <f aca="false">IFERROR(INDEX('13F Data'!D:D,MATCH($B187,'13F Data'!A:A,0)),"No CUSIP Match")</f>
        <v>No CUSIP Match</v>
      </c>
      <c r="J187" s="73" t="n">
        <f aca="false">$V187</f>
        <v>1500</v>
      </c>
      <c r="K187" s="71" t="str">
        <f aca="false">IFERROR(INDEX('EOD Data'!G:G, MATCH($A187, 'EOD Data'!B:B,0)), "No TKR Match")</f>
        <v>No TKR Match</v>
      </c>
      <c r="L187" s="71" t="str">
        <f aca="false">IFERROR(ROUND($J187*$K187,0),"Error")</f>
        <v>Error</v>
      </c>
      <c r="M187" s="71" t="str">
        <f aca="false">IFERROR(IF(AND($J187&lt;10000,$L187&lt;200000),"Yes","No"),"Error")</f>
        <v>No</v>
      </c>
      <c r="P187" s="42" t="str">
        <f aca="false">IF($N187="SOLE",$J187,"")</f>
        <v/>
      </c>
      <c r="Q187" s="42" t="str">
        <f aca="false">IFERROR(IF($N187="Sole",0,IF(AND($N187="OTR",$R187=0),$J187-$P187,IF(AND($N187="OTR", $R187&gt;0), $J187-$P187-$Q187, ""))),"")</f>
        <v/>
      </c>
      <c r="R187" s="42" t="str">
        <f aca="false">IF($P187=$J187, "0","")</f>
        <v/>
      </c>
      <c r="S187" s="42" t="str">
        <f aca="false">IF(OR(ISBLANK($B187),ISBLANK($C187), ISBLANK($E187), ISBLANK($F187), AND(ISBLANK($G187),ISBLANK($H187)), ISBLANK($I187), ISBLANK($L187), AND(ISBLANK($N187), ISBLANK($O187)), AND(ISBLANK($P187), ISBLANK($Q187), ISBLANK($R187))), "No", "Yes")</f>
        <v>No</v>
      </c>
      <c r="T187" s="42" t="str">
        <f aca="false">SUBSTITUTE($U187," ","")</f>
        <v>22160K105</v>
      </c>
      <c r="U187" s="42" t="s">
        <v>277</v>
      </c>
      <c r="V187" s="39" t="n">
        <v>1500</v>
      </c>
    </row>
    <row r="188" customFormat="false" ht="15" hidden="false" customHeight="false" outlineLevel="0" collapsed="false">
      <c r="B188" s="70" t="s">
        <v>277</v>
      </c>
      <c r="C188" s="71" t="str">
        <f aca="false">IFERROR(INDEX('13F Data'!A:A,MATCH($B188,'13F Data'!A:A,0)),"No CUSIP Match")</f>
        <v>No CUSIP Match</v>
      </c>
      <c r="D188" s="71" t="str">
        <f aca="false">IFERROR(IF($B188=$C188,"Yes","No"),"No CUSIP Match")</f>
        <v>No</v>
      </c>
      <c r="E188" s="71"/>
      <c r="F188" s="71" t="str">
        <f aca="false">IFERROR(INDEX('13F Data'!C:C, MATCH($B188,'13F Data'!A:A,0)),"No CUSIP Match")</f>
        <v>No CUSIP Match</v>
      </c>
      <c r="G188" s="72" t="str">
        <f aca="false">IFERROR(INDEX('13F Data'!D:D,MATCH($B188,'13F Data'!A:A,0)),"No CUSIP Match")</f>
        <v>No CUSIP Match</v>
      </c>
      <c r="J188" s="73" t="n">
        <f aca="false">$V188</f>
        <v>1500</v>
      </c>
      <c r="K188" s="71" t="str">
        <f aca="false">IFERROR(INDEX('EOD Data'!G:G, MATCH($A188, 'EOD Data'!B:B,0)), "No TKR Match")</f>
        <v>No TKR Match</v>
      </c>
      <c r="L188" s="71" t="str">
        <f aca="false">IFERROR(ROUND($J188*$K188,0),"Error")</f>
        <v>Error</v>
      </c>
      <c r="M188" s="71" t="str">
        <f aca="false">IFERROR(IF(AND($J188&lt;10000,$L188&lt;200000),"Yes","No"),"Error")</f>
        <v>No</v>
      </c>
      <c r="P188" s="42" t="str">
        <f aca="false">IF($N188="SOLE",$J188,"")</f>
        <v/>
      </c>
      <c r="Q188" s="42" t="str">
        <f aca="false">IFERROR(IF($N188="Sole",0,IF(AND($N188="OTR",$R188=0),$J188-$P188,IF(AND($N188="OTR", $R188&gt;0), $J188-$P188-$Q188, ""))),"")</f>
        <v/>
      </c>
      <c r="R188" s="42" t="str">
        <f aca="false">IF($P188=$J188, "0","")</f>
        <v/>
      </c>
      <c r="S188" s="42" t="str">
        <f aca="false">IF(OR(ISBLANK($B188),ISBLANK($C188), ISBLANK($E188), ISBLANK($F188), AND(ISBLANK($G188),ISBLANK($H188)), ISBLANK($I188), ISBLANK($L188), AND(ISBLANK($N188), ISBLANK($O188)), AND(ISBLANK($P188), ISBLANK($Q188), ISBLANK($R188))), "No", "Yes")</f>
        <v>No</v>
      </c>
      <c r="T188" s="42" t="str">
        <f aca="false">SUBSTITUTE($U188," ","")</f>
        <v>22160K105</v>
      </c>
      <c r="U188" s="42" t="s">
        <v>277</v>
      </c>
      <c r="V188" s="39" t="n">
        <v>1500</v>
      </c>
    </row>
    <row r="189" customFormat="false" ht="15" hidden="false" customHeight="false" outlineLevel="0" collapsed="false">
      <c r="B189" s="70" t="s">
        <v>279</v>
      </c>
      <c r="C189" s="71" t="str">
        <f aca="false">IFERROR(INDEX('13F Data'!A:A,MATCH($B189,'13F Data'!A:A,0)),"No CUSIP Match")</f>
        <v>No CUSIP Match</v>
      </c>
      <c r="D189" s="71" t="str">
        <f aca="false">IFERROR(IF($B189=$C189,"Yes","No"),"No CUSIP Match")</f>
        <v>No</v>
      </c>
      <c r="E189" s="71"/>
      <c r="F189" s="71" t="str">
        <f aca="false">IFERROR(INDEX('13F Data'!C:C, MATCH($B189,'13F Data'!A:A,0)),"No CUSIP Match")</f>
        <v>No CUSIP Match</v>
      </c>
      <c r="G189" s="72" t="str">
        <f aca="false">IFERROR(INDEX('13F Data'!D:D,MATCH($B189,'13F Data'!A:A,0)),"No CUSIP Match")</f>
        <v>No CUSIP Match</v>
      </c>
      <c r="J189" s="73" t="n">
        <f aca="false">$V189</f>
        <v>57700</v>
      </c>
      <c r="K189" s="71" t="str">
        <f aca="false">IFERROR(INDEX('EOD Data'!G:G, MATCH($A189, 'EOD Data'!B:B,0)), "No TKR Match")</f>
        <v>No TKR Match</v>
      </c>
      <c r="L189" s="71" t="str">
        <f aca="false">IFERROR(ROUND($J189*$K189,0),"Error")</f>
        <v>Error</v>
      </c>
      <c r="M189" s="71" t="str">
        <f aca="false">IFERROR(IF(AND($J189&lt;10000,$L189&lt;200000),"Yes","No"),"Error")</f>
        <v>No</v>
      </c>
      <c r="P189" s="42" t="str">
        <f aca="false">IF($N189="SOLE",$J189,"")</f>
        <v/>
      </c>
      <c r="Q189" s="42" t="str">
        <f aca="false">IFERROR(IF($N189="Sole",0,IF(AND($N189="OTR",$R189=0),$J189-$P189,IF(AND($N189="OTR", $R189&gt;0), $J189-$P189-$Q189, ""))),"")</f>
        <v/>
      </c>
      <c r="R189" s="42" t="str">
        <f aca="false">IF($P189=$J189, "0","")</f>
        <v/>
      </c>
      <c r="S189" s="42" t="str">
        <f aca="false">IF(OR(ISBLANK($B189),ISBLANK($C189), ISBLANK($E189), ISBLANK($F189), AND(ISBLANK($G189),ISBLANK($H189)), ISBLANK($I189), ISBLANK($L189), AND(ISBLANK($N189), ISBLANK($O189)), AND(ISBLANK($P189), ISBLANK($Q189), ISBLANK($R189))), "No", "Yes")</f>
        <v>No</v>
      </c>
      <c r="T189" s="42" t="str">
        <f aca="false">SUBSTITUTE($U189," ","")</f>
        <v>127097103</v>
      </c>
      <c r="U189" s="42" t="s">
        <v>279</v>
      </c>
      <c r="V189" s="39" t="n">
        <v>57700</v>
      </c>
    </row>
    <row r="190" customFormat="false" ht="15" hidden="false" customHeight="false" outlineLevel="0" collapsed="false">
      <c r="B190" s="70" t="s">
        <v>281</v>
      </c>
      <c r="C190" s="71" t="str">
        <f aca="false">IFERROR(INDEX('13F Data'!A:A,MATCH($B190,'13F Data'!A:A,0)),"No CUSIP Match")</f>
        <v>No CUSIP Match</v>
      </c>
      <c r="D190" s="71" t="str">
        <f aca="false">IFERROR(IF($B190=$C190,"Yes","No"),"No CUSIP Match")</f>
        <v>No</v>
      </c>
      <c r="E190" s="71"/>
      <c r="F190" s="71" t="str">
        <f aca="false">IFERROR(INDEX('13F Data'!C:C, MATCH($B190,'13F Data'!A:A,0)),"No CUSIP Match")</f>
        <v>No CUSIP Match</v>
      </c>
      <c r="G190" s="72" t="str">
        <f aca="false">IFERROR(INDEX('13F Data'!D:D,MATCH($B190,'13F Data'!A:A,0)),"No CUSIP Match")</f>
        <v>No CUSIP Match</v>
      </c>
      <c r="J190" s="73" t="n">
        <f aca="false">$V190</f>
        <v>143448</v>
      </c>
      <c r="K190" s="71" t="str">
        <f aca="false">IFERROR(INDEX('EOD Data'!G:G, MATCH($A190, 'EOD Data'!B:B,0)), "No TKR Match")</f>
        <v>No TKR Match</v>
      </c>
      <c r="L190" s="71" t="str">
        <f aca="false">IFERROR(ROUND($J190*$K190,0),"Error")</f>
        <v>Error</v>
      </c>
      <c r="M190" s="71" t="str">
        <f aca="false">IFERROR(IF(AND($J190&lt;10000,$L190&lt;200000),"Yes","No"),"Error")</f>
        <v>No</v>
      </c>
      <c r="P190" s="42" t="str">
        <f aca="false">IF($N190="SOLE",$J190,"")</f>
        <v/>
      </c>
      <c r="Q190" s="42" t="str">
        <f aca="false">IFERROR(IF($N190="Sole",0,IF(AND($N190="OTR",$R190=0),$J190-$P190,IF(AND($N190="OTR", $R190&gt;0), $J190-$P190-$Q190, ""))),"")</f>
        <v/>
      </c>
      <c r="R190" s="42" t="str">
        <f aca="false">IF($P190=$J190, "0","")</f>
        <v/>
      </c>
      <c r="S190" s="42" t="str">
        <f aca="false">IF(OR(ISBLANK($B190),ISBLANK($C190), ISBLANK($E190), ISBLANK($F190), AND(ISBLANK($G190),ISBLANK($H190)), ISBLANK($I190), ISBLANK($L190), AND(ISBLANK($N190), ISBLANK($O190)), AND(ISBLANK($P190), ISBLANK($Q190), ISBLANK($R190))), "No", "Yes")</f>
        <v>No</v>
      </c>
      <c r="T190" s="42" t="str">
        <f aca="false">SUBSTITUTE($U190," ","")</f>
        <v>22207T101</v>
      </c>
      <c r="U190" s="42" t="s">
        <v>281</v>
      </c>
      <c r="V190" s="39" t="n">
        <v>143448</v>
      </c>
    </row>
    <row r="191" customFormat="false" ht="15" hidden="false" customHeight="false" outlineLevel="0" collapsed="false">
      <c r="B191" s="70" t="s">
        <v>283</v>
      </c>
      <c r="C191" s="71" t="str">
        <f aca="false">IFERROR(INDEX('13F Data'!A:A,MATCH($B191,'13F Data'!A:A,0)),"No CUSIP Match")</f>
        <v>No CUSIP Match</v>
      </c>
      <c r="D191" s="71" t="str">
        <f aca="false">IFERROR(IF($B191=$C191,"Yes","No"),"No CUSIP Match")</f>
        <v>No</v>
      </c>
      <c r="E191" s="71"/>
      <c r="F191" s="71" t="str">
        <f aca="false">IFERROR(INDEX('13F Data'!C:C, MATCH($B191,'13F Data'!A:A,0)),"No CUSIP Match")</f>
        <v>No CUSIP Match</v>
      </c>
      <c r="G191" s="72" t="str">
        <f aca="false">IFERROR(INDEX('13F Data'!D:D,MATCH($B191,'13F Data'!A:A,0)),"No CUSIP Match")</f>
        <v>No CUSIP Match</v>
      </c>
      <c r="J191" s="73" t="n">
        <f aca="false">$V191</f>
        <v>14200</v>
      </c>
      <c r="K191" s="71" t="str">
        <f aca="false">IFERROR(INDEX('EOD Data'!G:G, MATCH($A191, 'EOD Data'!B:B,0)), "No TKR Match")</f>
        <v>No TKR Match</v>
      </c>
      <c r="L191" s="71" t="str">
        <f aca="false">IFERROR(ROUND($J191*$K191,0),"Error")</f>
        <v>Error</v>
      </c>
      <c r="M191" s="71" t="str">
        <f aca="false">IFERROR(IF(AND($J191&lt;10000,$L191&lt;200000),"Yes","No"),"Error")</f>
        <v>No</v>
      </c>
      <c r="P191" s="42" t="str">
        <f aca="false">IF($N191="SOLE",$J191,"")</f>
        <v/>
      </c>
      <c r="Q191" s="42" t="str">
        <f aca="false">IFERROR(IF($N191="Sole",0,IF(AND($N191="OTR",$R191=0),$J191-$P191,IF(AND($N191="OTR", $R191&gt;0), $J191-$P191-$Q191, ""))),"")</f>
        <v/>
      </c>
      <c r="R191" s="42" t="str">
        <f aca="false">IF($P191=$J191, "0","")</f>
        <v/>
      </c>
      <c r="S191" s="42" t="str">
        <f aca="false">IF(OR(ISBLANK($B191),ISBLANK($C191), ISBLANK($E191), ISBLANK($F191), AND(ISBLANK($G191),ISBLANK($H191)), ISBLANK($I191), ISBLANK($L191), AND(ISBLANK($N191), ISBLANK($O191)), AND(ISBLANK($P191), ISBLANK($Q191), ISBLANK($R191))), "No", "Yes")</f>
        <v>No</v>
      </c>
      <c r="T191" s="42" t="str">
        <f aca="false">SUBSTITUTE($U191," ","")</f>
        <v>227046109</v>
      </c>
      <c r="U191" s="42" t="s">
        <v>283</v>
      </c>
      <c r="V191" s="39" t="n">
        <v>14200</v>
      </c>
    </row>
    <row r="192" customFormat="false" ht="15" hidden="false" customHeight="false" outlineLevel="0" collapsed="false">
      <c r="B192" s="70" t="s">
        <v>285</v>
      </c>
      <c r="C192" s="71" t="str">
        <f aca="false">IFERROR(INDEX('13F Data'!A:A,MATCH($B192,'13F Data'!A:A,0)),"No CUSIP Match")</f>
        <v>No CUSIP Match</v>
      </c>
      <c r="D192" s="71" t="str">
        <f aca="false">IFERROR(IF($B192=$C192,"Yes","No"),"No CUSIP Match")</f>
        <v>No</v>
      </c>
      <c r="E192" s="71"/>
      <c r="F192" s="71" t="str">
        <f aca="false">IFERROR(INDEX('13F Data'!C:C, MATCH($B192,'13F Data'!A:A,0)),"No CUSIP Match")</f>
        <v>No CUSIP Match</v>
      </c>
      <c r="G192" s="72" t="str">
        <f aca="false">IFERROR(INDEX('13F Data'!D:D,MATCH($B192,'13F Data'!A:A,0)),"No CUSIP Match")</f>
        <v>No CUSIP Match</v>
      </c>
      <c r="J192" s="73" t="n">
        <f aca="false">$V192</f>
        <v>200</v>
      </c>
      <c r="K192" s="71" t="str">
        <f aca="false">IFERROR(INDEX('EOD Data'!G:G, MATCH($A192, 'EOD Data'!B:B,0)), "No TKR Match")</f>
        <v>No TKR Match</v>
      </c>
      <c r="L192" s="71" t="str">
        <f aca="false">IFERROR(ROUND($J192*$K192,0),"Error")</f>
        <v>Error</v>
      </c>
      <c r="M192" s="71" t="str">
        <f aca="false">IFERROR(IF(AND($J192&lt;10000,$L192&lt;200000),"Yes","No"),"Error")</f>
        <v>No</v>
      </c>
      <c r="P192" s="42" t="str">
        <f aca="false">IF($N192="SOLE",$J192,"")</f>
        <v/>
      </c>
      <c r="Q192" s="42" t="str">
        <f aca="false">IFERROR(IF($N192="Sole",0,IF(AND($N192="OTR",$R192=0),$J192-$P192,IF(AND($N192="OTR", $R192&gt;0), $J192-$P192-$Q192, ""))),"")</f>
        <v/>
      </c>
      <c r="R192" s="42" t="str">
        <f aca="false">IF($P192=$J192, "0","")</f>
        <v/>
      </c>
      <c r="S192" s="42" t="str">
        <f aca="false">IF(OR(ISBLANK($B192),ISBLANK($C192), ISBLANK($E192), ISBLANK($F192), AND(ISBLANK($G192),ISBLANK($H192)), ISBLANK($I192), ISBLANK($L192), AND(ISBLANK($N192), ISBLANK($O192)), AND(ISBLANK($P192), ISBLANK($Q192), ISBLANK($R192))), "No", "Yes")</f>
        <v>No</v>
      </c>
      <c r="T192" s="42" t="str">
        <f aca="false">SUBSTITUTE($U192," ","")</f>
        <v>228368106</v>
      </c>
      <c r="U192" s="42" t="s">
        <v>285</v>
      </c>
      <c r="V192" s="39" t="n">
        <v>200</v>
      </c>
    </row>
    <row r="193" customFormat="false" ht="15" hidden="false" customHeight="false" outlineLevel="0" collapsed="false">
      <c r="B193" s="70" t="s">
        <v>287</v>
      </c>
      <c r="C193" s="71" t="str">
        <f aca="false">IFERROR(INDEX('13F Data'!A:A,MATCH($B193,'13F Data'!A:A,0)),"No CUSIP Match")</f>
        <v>No CUSIP Match</v>
      </c>
      <c r="D193" s="71" t="str">
        <f aca="false">IFERROR(IF($B193=$C193,"Yes","No"),"No CUSIP Match")</f>
        <v>No</v>
      </c>
      <c r="E193" s="71"/>
      <c r="F193" s="71" t="str">
        <f aca="false">IFERROR(INDEX('13F Data'!C:C, MATCH($B193,'13F Data'!A:A,0)),"No CUSIP Match")</f>
        <v>No CUSIP Match</v>
      </c>
      <c r="G193" s="72" t="str">
        <f aca="false">IFERROR(INDEX('13F Data'!D:D,MATCH($B193,'13F Data'!A:A,0)),"No CUSIP Match")</f>
        <v>No CUSIP Match</v>
      </c>
      <c r="J193" s="73" t="n">
        <f aca="false">$V193</f>
        <v>18000000</v>
      </c>
      <c r="K193" s="71" t="str">
        <f aca="false">IFERROR(INDEX('EOD Data'!G:G, MATCH($A193, 'EOD Data'!B:B,0)), "No TKR Match")</f>
        <v>No TKR Match</v>
      </c>
      <c r="L193" s="71" t="str">
        <f aca="false">IFERROR(ROUND($J193*$K193,0),"Error")</f>
        <v>Error</v>
      </c>
      <c r="M193" s="71" t="str">
        <f aca="false">IFERROR(IF(AND($J193&lt;10000,$L193&lt;200000),"Yes","No"),"Error")</f>
        <v>No</v>
      </c>
      <c r="P193" s="42" t="str">
        <f aca="false">IF($N193="SOLE",$J193,"")</f>
        <v/>
      </c>
      <c r="Q193" s="42" t="str">
        <f aca="false">IFERROR(IF($N193="Sole",0,IF(AND($N193="OTR",$R193=0),$J193-$P193,IF(AND($N193="OTR", $R193&gt;0), $J193-$P193-$Q193, ""))),"")</f>
        <v/>
      </c>
      <c r="R193" s="42" t="str">
        <f aca="false">IF($P193=$J193, "0","")</f>
        <v/>
      </c>
      <c r="S193" s="42" t="str">
        <f aca="false">IF(OR(ISBLANK($B193),ISBLANK($C193), ISBLANK($E193), ISBLANK($F193), AND(ISBLANK($G193),ISBLANK($H193)), ISBLANK($I193), ISBLANK($L193), AND(ISBLANK($N193), ISBLANK($O193)), AND(ISBLANK($P193), ISBLANK($Q193), ISBLANK($R193))), "No", "Yes")</f>
        <v>No</v>
      </c>
      <c r="T193" s="42" t="str">
        <f aca="false">SUBSTITUTE($U193," ","")</f>
        <v>126349AG4</v>
      </c>
      <c r="U193" s="42" t="s">
        <v>287</v>
      </c>
      <c r="V193" s="39" t="n">
        <v>18000000</v>
      </c>
    </row>
    <row r="194" customFormat="false" ht="15" hidden="false" customHeight="false" outlineLevel="0" collapsed="false">
      <c r="B194" s="70" t="s">
        <v>289</v>
      </c>
      <c r="C194" s="71" t="str">
        <f aca="false">IFERROR(INDEX('13F Data'!A:A,MATCH($B194,'13F Data'!A:A,0)),"No CUSIP Match")</f>
        <v>No CUSIP Match</v>
      </c>
      <c r="D194" s="71" t="str">
        <f aca="false">IFERROR(IF($B194=$C194,"Yes","No"),"No CUSIP Match")</f>
        <v>No</v>
      </c>
      <c r="E194" s="71"/>
      <c r="F194" s="71" t="str">
        <f aca="false">IFERROR(INDEX('13F Data'!C:C, MATCH($B194,'13F Data'!A:A,0)),"No CUSIP Match")</f>
        <v>No CUSIP Match</v>
      </c>
      <c r="G194" s="72" t="str">
        <f aca="false">IFERROR(INDEX('13F Data'!D:D,MATCH($B194,'13F Data'!A:A,0)),"No CUSIP Match")</f>
        <v>No CUSIP Match</v>
      </c>
      <c r="J194" s="73" t="n">
        <f aca="false">$V194</f>
        <v>5000</v>
      </c>
      <c r="K194" s="71" t="str">
        <f aca="false">IFERROR(INDEX('EOD Data'!G:G, MATCH($A194, 'EOD Data'!B:B,0)), "No TKR Match")</f>
        <v>No TKR Match</v>
      </c>
      <c r="L194" s="71" t="str">
        <f aca="false">IFERROR(ROUND($J194*$K194,0),"Error")</f>
        <v>Error</v>
      </c>
      <c r="M194" s="71" t="str">
        <f aca="false">IFERROR(IF(AND($J194&lt;10000,$L194&lt;200000),"Yes","No"),"Error")</f>
        <v>No</v>
      </c>
      <c r="P194" s="42" t="str">
        <f aca="false">IF($N194="SOLE",$J194,"")</f>
        <v/>
      </c>
      <c r="Q194" s="42" t="str">
        <f aca="false">IFERROR(IF($N194="Sole",0,IF(AND($N194="OTR",$R194=0),$J194-$P194,IF(AND($N194="OTR", $R194&gt;0), $J194-$P194-$Q194, ""))),"")</f>
        <v/>
      </c>
      <c r="R194" s="42" t="str">
        <f aca="false">IF($P194=$J194, "0","")</f>
        <v/>
      </c>
      <c r="S194" s="42" t="str">
        <f aca="false">IF(OR(ISBLANK($B194),ISBLANK($C194), ISBLANK($E194), ISBLANK($F194), AND(ISBLANK($G194),ISBLANK($H194)), ISBLANK($I194), ISBLANK($L194), AND(ISBLANK($N194), ISBLANK($O194)), AND(ISBLANK($P194), ISBLANK($Q194), ISBLANK($R194))), "No", "Yes")</f>
        <v>No</v>
      </c>
      <c r="T194" s="42" t="str">
        <f aca="false">SUBSTITUTE($U194," ","")</f>
        <v>126408103</v>
      </c>
      <c r="U194" s="42" t="s">
        <v>289</v>
      </c>
      <c r="V194" s="39" t="n">
        <v>5000</v>
      </c>
    </row>
    <row r="195" customFormat="false" ht="15" hidden="false" customHeight="false" outlineLevel="0" collapsed="false">
      <c r="B195" s="70" t="s">
        <v>289</v>
      </c>
      <c r="C195" s="71" t="str">
        <f aca="false">IFERROR(INDEX('13F Data'!A:A,MATCH($B195,'13F Data'!A:A,0)),"No CUSIP Match")</f>
        <v>No CUSIP Match</v>
      </c>
      <c r="D195" s="71" t="str">
        <f aca="false">IFERROR(IF($B195=$C195,"Yes","No"),"No CUSIP Match")</f>
        <v>No</v>
      </c>
      <c r="E195" s="71"/>
      <c r="F195" s="71" t="str">
        <f aca="false">IFERROR(INDEX('13F Data'!C:C, MATCH($B195,'13F Data'!A:A,0)),"No CUSIP Match")</f>
        <v>No CUSIP Match</v>
      </c>
      <c r="G195" s="72" t="str">
        <f aca="false">IFERROR(INDEX('13F Data'!D:D,MATCH($B195,'13F Data'!A:A,0)),"No CUSIP Match")</f>
        <v>No CUSIP Match</v>
      </c>
      <c r="J195" s="73" t="n">
        <f aca="false">$V195</f>
        <v>5000</v>
      </c>
      <c r="K195" s="71" t="str">
        <f aca="false">IFERROR(INDEX('EOD Data'!G:G, MATCH($A195, 'EOD Data'!B:B,0)), "No TKR Match")</f>
        <v>No TKR Match</v>
      </c>
      <c r="L195" s="71" t="str">
        <f aca="false">IFERROR(ROUND($J195*$K195,0),"Error")</f>
        <v>Error</v>
      </c>
      <c r="M195" s="71" t="str">
        <f aca="false">IFERROR(IF(AND($J195&lt;10000,$L195&lt;200000),"Yes","No"),"Error")</f>
        <v>No</v>
      </c>
      <c r="P195" s="42" t="str">
        <f aca="false">IF($N195="SOLE",$J195,"")</f>
        <v/>
      </c>
      <c r="Q195" s="42" t="str">
        <f aca="false">IFERROR(IF($N195="Sole",0,IF(AND($N195="OTR",$R195=0),$J195-$P195,IF(AND($N195="OTR", $R195&gt;0), $J195-$P195-$Q195, ""))),"")</f>
        <v/>
      </c>
      <c r="R195" s="42" t="str">
        <f aca="false">IF($P195=$J195, "0","")</f>
        <v/>
      </c>
      <c r="S195" s="42" t="str">
        <f aca="false">IF(OR(ISBLANK($B195),ISBLANK($C195), ISBLANK($E195), ISBLANK($F195), AND(ISBLANK($G195),ISBLANK($H195)), ISBLANK($I195), ISBLANK($L195), AND(ISBLANK($N195), ISBLANK($O195)), AND(ISBLANK($P195), ISBLANK($Q195), ISBLANK($R195))), "No", "Yes")</f>
        <v>No</v>
      </c>
      <c r="T195" s="42" t="str">
        <f aca="false">SUBSTITUTE($U195," ","")</f>
        <v>126408103</v>
      </c>
      <c r="U195" s="42" t="s">
        <v>289</v>
      </c>
      <c r="V195" s="39" t="n">
        <v>5000</v>
      </c>
    </row>
    <row r="196" customFormat="false" ht="15" hidden="false" customHeight="false" outlineLevel="0" collapsed="false">
      <c r="B196" s="70" t="s">
        <v>291</v>
      </c>
      <c r="C196" s="71" t="str">
        <f aca="false">IFERROR(INDEX('13F Data'!A:A,MATCH($B196,'13F Data'!A:A,0)),"No CUSIP Match")</f>
        <v>No CUSIP Match</v>
      </c>
      <c r="D196" s="71" t="str">
        <f aca="false">IFERROR(IF($B196=$C196,"Yes","No"),"No CUSIP Match")</f>
        <v>No</v>
      </c>
      <c r="E196" s="71"/>
      <c r="F196" s="71" t="str">
        <f aca="false">IFERROR(INDEX('13F Data'!C:C, MATCH($B196,'13F Data'!A:A,0)),"No CUSIP Match")</f>
        <v>No CUSIP Match</v>
      </c>
      <c r="G196" s="72" t="str">
        <f aca="false">IFERROR(INDEX('13F Data'!D:D,MATCH($B196,'13F Data'!A:A,0)),"No CUSIP Match")</f>
        <v>No CUSIP Match</v>
      </c>
      <c r="J196" s="73" t="n">
        <f aca="false">$V196</f>
        <v>194391</v>
      </c>
      <c r="K196" s="71" t="str">
        <f aca="false">IFERROR(INDEX('EOD Data'!G:G, MATCH($A196, 'EOD Data'!B:B,0)), "No TKR Match")</f>
        <v>No TKR Match</v>
      </c>
      <c r="L196" s="71" t="str">
        <f aca="false">IFERROR(ROUND($J196*$K196,0),"Error")</f>
        <v>Error</v>
      </c>
      <c r="M196" s="71" t="str">
        <f aca="false">IFERROR(IF(AND($J196&lt;10000,$L196&lt;200000),"Yes","No"),"Error")</f>
        <v>No</v>
      </c>
      <c r="P196" s="42" t="str">
        <f aca="false">IF($N196="SOLE",$J196,"")</f>
        <v/>
      </c>
      <c r="Q196" s="42" t="str">
        <f aca="false">IFERROR(IF($N196="Sole",0,IF(AND($N196="OTR",$R196=0),$J196-$P196,IF(AND($N196="OTR", $R196&gt;0), $J196-$P196-$Q196, ""))),"")</f>
        <v/>
      </c>
      <c r="R196" s="42" t="str">
        <f aca="false">IF($P196=$J196, "0","")</f>
        <v/>
      </c>
      <c r="S196" s="42" t="str">
        <f aca="false">IF(OR(ISBLANK($B196),ISBLANK($C196), ISBLANK($E196), ISBLANK($F196), AND(ISBLANK($G196),ISBLANK($H196)), ISBLANK($I196), ISBLANK($L196), AND(ISBLANK($N196), ISBLANK($O196)), AND(ISBLANK($P196), ISBLANK($Q196), ISBLANK($R196))), "No", "Yes")</f>
        <v>No</v>
      </c>
      <c r="T196" s="42" t="str">
        <f aca="false">SUBSTITUTE($U196," ","")</f>
        <v>00BFZ4N46</v>
      </c>
      <c r="U196" s="42" t="s">
        <v>291</v>
      </c>
      <c r="V196" s="39" t="n">
        <v>194391</v>
      </c>
    </row>
    <row r="197" customFormat="false" ht="15" hidden="false" customHeight="false" outlineLevel="0" collapsed="false">
      <c r="B197" s="70" t="s">
        <v>293</v>
      </c>
      <c r="C197" s="71" t="str">
        <f aca="false">IFERROR(INDEX('13F Data'!A:A,MATCH($B197,'13F Data'!A:A,0)),"No CUSIP Match")</f>
        <v>No CUSIP Match</v>
      </c>
      <c r="D197" s="71" t="str">
        <f aca="false">IFERROR(IF($B197=$C197,"Yes","No"),"No CUSIP Match")</f>
        <v>No</v>
      </c>
      <c r="E197" s="71"/>
      <c r="F197" s="71" t="str">
        <f aca="false">IFERROR(INDEX('13F Data'!C:C, MATCH($B197,'13F Data'!A:A,0)),"No CUSIP Match")</f>
        <v>No CUSIP Match</v>
      </c>
      <c r="G197" s="72" t="str">
        <f aca="false">IFERROR(INDEX('13F Data'!D:D,MATCH($B197,'13F Data'!A:A,0)),"No CUSIP Match")</f>
        <v>No CUSIP Match</v>
      </c>
      <c r="J197" s="73" t="n">
        <f aca="false">$V197</f>
        <v>3290000</v>
      </c>
      <c r="K197" s="71" t="str">
        <f aca="false">IFERROR(INDEX('EOD Data'!G:G, MATCH($A197, 'EOD Data'!B:B,0)), "No TKR Match")</f>
        <v>No TKR Match</v>
      </c>
      <c r="L197" s="71" t="str">
        <f aca="false">IFERROR(ROUND($J197*$K197,0),"Error")</f>
        <v>Error</v>
      </c>
      <c r="M197" s="71" t="str">
        <f aca="false">IFERROR(IF(AND($J197&lt;10000,$L197&lt;200000),"Yes","No"),"Error")</f>
        <v>No</v>
      </c>
      <c r="P197" s="42" t="str">
        <f aca="false">IF($N197="SOLE",$J197,"")</f>
        <v/>
      </c>
      <c r="Q197" s="42" t="str">
        <f aca="false">IFERROR(IF($N197="Sole",0,IF(AND($N197="OTR",$R197=0),$J197-$P197,IF(AND($N197="OTR", $R197&gt;0), $J197-$P197-$Q197, ""))),"")</f>
        <v/>
      </c>
      <c r="R197" s="42" t="str">
        <f aca="false">IF($P197=$J197, "0","")</f>
        <v/>
      </c>
      <c r="S197" s="42" t="str">
        <f aca="false">IF(OR(ISBLANK($B197),ISBLANK($C197), ISBLANK($E197), ISBLANK($F197), AND(ISBLANK($G197),ISBLANK($H197)), ISBLANK($I197), ISBLANK($L197), AND(ISBLANK($N197), ISBLANK($O197)), AND(ISBLANK($P197), ISBLANK($Q197), ISBLANK($R197))), "No", "Yes")</f>
        <v>No</v>
      </c>
      <c r="T197" s="42" t="str">
        <f aca="false">SUBSTITUTE($U197," ","")</f>
        <v>232109AG3</v>
      </c>
      <c r="U197" s="42" t="s">
        <v>293</v>
      </c>
      <c r="V197" s="39" t="n">
        <v>3290000</v>
      </c>
    </row>
    <row r="198" customFormat="false" ht="15" hidden="false" customHeight="false" outlineLevel="0" collapsed="false">
      <c r="B198" s="70" t="s">
        <v>295</v>
      </c>
      <c r="C198" s="71" t="str">
        <f aca="false">IFERROR(INDEX('13F Data'!A:A,MATCH($B198,'13F Data'!A:A,0)),"No CUSIP Match")</f>
        <v>No CUSIP Match</v>
      </c>
      <c r="D198" s="71" t="str">
        <f aca="false">IFERROR(IF($B198=$C198,"Yes","No"),"No CUSIP Match")</f>
        <v>No</v>
      </c>
      <c r="E198" s="71"/>
      <c r="F198" s="71" t="str">
        <f aca="false">IFERROR(INDEX('13F Data'!C:C, MATCH($B198,'13F Data'!A:A,0)),"No CUSIP Match")</f>
        <v>No CUSIP Match</v>
      </c>
      <c r="G198" s="72" t="str">
        <f aca="false">IFERROR(INDEX('13F Data'!D:D,MATCH($B198,'13F Data'!A:A,0)),"No CUSIP Match")</f>
        <v>No CUSIP Match</v>
      </c>
      <c r="J198" s="73" t="n">
        <f aca="false">$V198</f>
        <v>31800</v>
      </c>
      <c r="K198" s="71" t="str">
        <f aca="false">IFERROR(INDEX('EOD Data'!G:G, MATCH($A198, 'EOD Data'!B:B,0)), "No TKR Match")</f>
        <v>No TKR Match</v>
      </c>
      <c r="L198" s="71" t="str">
        <f aca="false">IFERROR(ROUND($J198*$K198,0),"Error")</f>
        <v>Error</v>
      </c>
      <c r="M198" s="71" t="str">
        <f aca="false">IFERROR(IF(AND($J198&lt;10000,$L198&lt;200000),"Yes","No"),"Error")</f>
        <v>No</v>
      </c>
      <c r="P198" s="42" t="str">
        <f aca="false">IF($N198="SOLE",$J198,"")</f>
        <v/>
      </c>
      <c r="Q198" s="42" t="str">
        <f aca="false">IFERROR(IF($N198="Sole",0,IF(AND($N198="OTR",$R198=0),$J198-$P198,IF(AND($N198="OTR", $R198&gt;0), $J198-$P198-$Q198, ""))),"")</f>
        <v/>
      </c>
      <c r="R198" s="42" t="str">
        <f aca="false">IF($P198=$J198, "0","")</f>
        <v/>
      </c>
      <c r="S198" s="42" t="str">
        <f aca="false">IF(OR(ISBLANK($B198),ISBLANK($C198), ISBLANK($E198), ISBLANK($F198), AND(ISBLANK($G198),ISBLANK($H198)), ISBLANK($I198), ISBLANK($L198), AND(ISBLANK($N198), ISBLANK($O198)), AND(ISBLANK($P198), ISBLANK($Q198), ISBLANK($R198))), "No", "Yes")</f>
        <v>No</v>
      </c>
      <c r="T198" s="42" t="str">
        <f aca="false">SUBSTITUTE($U198," ","")</f>
        <v>126650100</v>
      </c>
      <c r="U198" s="42" t="s">
        <v>295</v>
      </c>
      <c r="V198" s="39" t="n">
        <v>31800</v>
      </c>
    </row>
    <row r="199" customFormat="false" ht="15" hidden="false" customHeight="false" outlineLevel="0" collapsed="false">
      <c r="B199" s="70" t="s">
        <v>295</v>
      </c>
      <c r="C199" s="71" t="str">
        <f aca="false">IFERROR(INDEX('13F Data'!A:A,MATCH($B199,'13F Data'!A:A,0)),"No CUSIP Match")</f>
        <v>No CUSIP Match</v>
      </c>
      <c r="D199" s="71" t="str">
        <f aca="false">IFERROR(IF($B199=$C199,"Yes","No"),"No CUSIP Match")</f>
        <v>No</v>
      </c>
      <c r="E199" s="71"/>
      <c r="F199" s="71" t="str">
        <f aca="false">IFERROR(INDEX('13F Data'!C:C, MATCH($B199,'13F Data'!A:A,0)),"No CUSIP Match")</f>
        <v>No CUSIP Match</v>
      </c>
      <c r="G199" s="72" t="str">
        <f aca="false">IFERROR(INDEX('13F Data'!D:D,MATCH($B199,'13F Data'!A:A,0)),"No CUSIP Match")</f>
        <v>No CUSIP Match</v>
      </c>
      <c r="J199" s="73" t="n">
        <f aca="false">$V199</f>
        <v>31800</v>
      </c>
      <c r="K199" s="71" t="str">
        <f aca="false">IFERROR(INDEX('EOD Data'!G:G, MATCH($A199, 'EOD Data'!B:B,0)), "No TKR Match")</f>
        <v>No TKR Match</v>
      </c>
      <c r="L199" s="71" t="str">
        <f aca="false">IFERROR(ROUND($J199*$K199,0),"Error")</f>
        <v>Error</v>
      </c>
      <c r="M199" s="71" t="str">
        <f aca="false">IFERROR(IF(AND($J199&lt;10000,$L199&lt;200000),"Yes","No"),"Error")</f>
        <v>No</v>
      </c>
      <c r="P199" s="42" t="str">
        <f aca="false">IF($N199="SOLE",$J199,"")</f>
        <v/>
      </c>
      <c r="Q199" s="42" t="str">
        <f aca="false">IFERROR(IF($N199="Sole",0,IF(AND($N199="OTR",$R199=0),$J199-$P199,IF(AND($N199="OTR", $R199&gt;0), $J199-$P199-$Q199, ""))),"")</f>
        <v/>
      </c>
      <c r="R199" s="42" t="str">
        <f aca="false">IF($P199=$J199, "0","")</f>
        <v/>
      </c>
      <c r="S199" s="42" t="str">
        <f aca="false">IF(OR(ISBLANK($B199),ISBLANK($C199), ISBLANK($E199), ISBLANK($F199), AND(ISBLANK($G199),ISBLANK($H199)), ISBLANK($I199), ISBLANK($L199), AND(ISBLANK($N199), ISBLANK($O199)), AND(ISBLANK($P199), ISBLANK($Q199), ISBLANK($R199))), "No", "Yes")</f>
        <v>No</v>
      </c>
      <c r="T199" s="42" t="str">
        <f aca="false">SUBSTITUTE($U199," ","")</f>
        <v>126650100</v>
      </c>
      <c r="U199" s="42" t="s">
        <v>295</v>
      </c>
      <c r="V199" s="39" t="n">
        <v>31800</v>
      </c>
    </row>
    <row r="200" customFormat="false" ht="15" hidden="false" customHeight="false" outlineLevel="0" collapsed="false">
      <c r="B200" s="70" t="s">
        <v>297</v>
      </c>
      <c r="C200" s="71" t="str">
        <f aca="false">IFERROR(INDEX('13F Data'!A:A,MATCH($B200,'13F Data'!A:A,0)),"No CUSIP Match")</f>
        <v>No CUSIP Match</v>
      </c>
      <c r="D200" s="71" t="str">
        <f aca="false">IFERROR(IF($B200=$C200,"Yes","No"),"No CUSIP Match")</f>
        <v>No</v>
      </c>
      <c r="E200" s="71"/>
      <c r="F200" s="71" t="str">
        <f aca="false">IFERROR(INDEX('13F Data'!C:C, MATCH($B200,'13F Data'!A:A,0)),"No CUSIP Match")</f>
        <v>No CUSIP Match</v>
      </c>
      <c r="G200" s="72" t="str">
        <f aca="false">IFERROR(INDEX('13F Data'!D:D,MATCH($B200,'13F Data'!A:A,0)),"No CUSIP Match")</f>
        <v>No CUSIP Match</v>
      </c>
      <c r="J200" s="73" t="n">
        <f aca="false">$V200</f>
        <v>15250000</v>
      </c>
      <c r="K200" s="71" t="str">
        <f aca="false">IFERROR(INDEX('EOD Data'!G:G, MATCH($A200, 'EOD Data'!B:B,0)), "No TKR Match")</f>
        <v>No TKR Match</v>
      </c>
      <c r="L200" s="71" t="str">
        <f aca="false">IFERROR(ROUND($J200*$K200,0),"Error")</f>
        <v>Error</v>
      </c>
      <c r="M200" s="71" t="str">
        <f aca="false">IFERROR(IF(AND($J200&lt;10000,$L200&lt;200000),"Yes","No"),"Error")</f>
        <v>No</v>
      </c>
      <c r="P200" s="42" t="str">
        <f aca="false">IF($N200="SOLE",$J200,"")</f>
        <v/>
      </c>
      <c r="Q200" s="42" t="str">
        <f aca="false">IFERROR(IF($N200="Sole",0,IF(AND($N200="OTR",$R200=0),$J200-$P200,IF(AND($N200="OTR", $R200&gt;0), $J200-$P200-$Q200, ""))),"")</f>
        <v/>
      </c>
      <c r="R200" s="42" t="str">
        <f aca="false">IF($P200=$J200, "0","")</f>
        <v/>
      </c>
      <c r="S200" s="42" t="str">
        <f aca="false">IF(OR(ISBLANK($B200),ISBLANK($C200), ISBLANK($E200), ISBLANK($F200), AND(ISBLANK($G200),ISBLANK($H200)), ISBLANK($I200), ISBLANK($L200), AND(ISBLANK($N200), ISBLANK($O200)), AND(ISBLANK($P200), ISBLANK($Q200), ISBLANK($R200))), "No", "Yes")</f>
        <v>No</v>
      </c>
      <c r="T200" s="42" t="str">
        <f aca="false">SUBSTITUTE($U200," ","")</f>
        <v>23282WAC4</v>
      </c>
      <c r="U200" s="42" t="s">
        <v>297</v>
      </c>
      <c r="V200" s="39" t="n">
        <v>15250000</v>
      </c>
    </row>
    <row r="201" customFormat="false" ht="15" hidden="false" customHeight="false" outlineLevel="0" collapsed="false">
      <c r="B201" s="70" t="s">
        <v>298</v>
      </c>
      <c r="C201" s="71" t="str">
        <f aca="false">IFERROR(INDEX('13F Data'!A:A,MATCH($B201,'13F Data'!A:A,0)),"No CUSIP Match")</f>
        <v>No CUSIP Match</v>
      </c>
      <c r="D201" s="71" t="str">
        <f aca="false">IFERROR(IF($B201=$C201,"Yes","No"),"No CUSIP Match")</f>
        <v>No</v>
      </c>
      <c r="E201" s="71"/>
      <c r="F201" s="71" t="str">
        <f aca="false">IFERROR(INDEX('13F Data'!C:C, MATCH($B201,'13F Data'!A:A,0)),"No CUSIP Match")</f>
        <v>No CUSIP Match</v>
      </c>
      <c r="G201" s="72" t="str">
        <f aca="false">IFERROR(INDEX('13F Data'!D:D,MATCH($B201,'13F Data'!A:A,0)),"No CUSIP Match")</f>
        <v>No CUSIP Match</v>
      </c>
      <c r="J201" s="73" t="n">
        <f aca="false">$V201</f>
        <v>56300</v>
      </c>
      <c r="K201" s="71" t="str">
        <f aca="false">IFERROR(INDEX('EOD Data'!G:G, MATCH($A201, 'EOD Data'!B:B,0)), "No TKR Match")</f>
        <v>No TKR Match</v>
      </c>
      <c r="L201" s="71" t="str">
        <f aca="false">IFERROR(ROUND($J201*$K201,0),"Error")</f>
        <v>Error</v>
      </c>
      <c r="M201" s="71" t="str">
        <f aca="false">IFERROR(IF(AND($J201&lt;10000,$L201&lt;200000),"Yes","No"),"Error")</f>
        <v>No</v>
      </c>
      <c r="P201" s="42" t="str">
        <f aca="false">IF($N201="SOLE",$J201,"")</f>
        <v/>
      </c>
      <c r="Q201" s="42" t="str">
        <f aca="false">IFERROR(IF($N201="Sole",0,IF(AND($N201="OTR",$R201=0),$J201-$P201,IF(AND($N201="OTR", $R201&gt;0), $J201-$P201-$Q201, ""))),"")</f>
        <v/>
      </c>
      <c r="R201" s="42" t="str">
        <f aca="false">IF($P201=$J201, "0","")</f>
        <v/>
      </c>
      <c r="S201" s="42" t="str">
        <f aca="false">IF(OR(ISBLANK($B201),ISBLANK($C201), ISBLANK($E201), ISBLANK($F201), AND(ISBLANK($G201),ISBLANK($H201)), ISBLANK($I201), ISBLANK($L201), AND(ISBLANK($N201), ISBLANK($O201)), AND(ISBLANK($P201), ISBLANK($Q201), ISBLANK($R201))), "No", "Yes")</f>
        <v>No</v>
      </c>
      <c r="T201" s="42" t="str">
        <f aca="false">SUBSTITUTE($U201," ","")</f>
        <v>23282W605</v>
      </c>
      <c r="U201" s="42" t="s">
        <v>298</v>
      </c>
      <c r="V201" s="39" t="n">
        <v>56300</v>
      </c>
    </row>
    <row r="202" customFormat="false" ht="15" hidden="false" customHeight="false" outlineLevel="0" collapsed="false">
      <c r="B202" s="70" t="s">
        <v>300</v>
      </c>
      <c r="C202" s="71" t="str">
        <f aca="false">IFERROR(INDEX('13F Data'!A:A,MATCH($B202,'13F Data'!A:A,0)),"No CUSIP Match")</f>
        <v>No CUSIP Match</v>
      </c>
      <c r="D202" s="71" t="str">
        <f aca="false">IFERROR(IF($B202=$C202,"Yes","No"),"No CUSIP Match")</f>
        <v>No</v>
      </c>
      <c r="E202" s="71"/>
      <c r="F202" s="71" t="str">
        <f aca="false">IFERROR(INDEX('13F Data'!C:C, MATCH($B202,'13F Data'!A:A,0)),"No CUSIP Match")</f>
        <v>No CUSIP Match</v>
      </c>
      <c r="G202" s="72" t="str">
        <f aca="false">IFERROR(INDEX('13F Data'!D:D,MATCH($B202,'13F Data'!A:A,0)),"No CUSIP Match")</f>
        <v>No CUSIP Match</v>
      </c>
      <c r="J202" s="73" t="n">
        <f aca="false">$V202</f>
        <v>905</v>
      </c>
      <c r="K202" s="71" t="str">
        <f aca="false">IFERROR(INDEX('EOD Data'!G:G, MATCH($A202, 'EOD Data'!B:B,0)), "No TKR Match")</f>
        <v>No TKR Match</v>
      </c>
      <c r="L202" s="71" t="str">
        <f aca="false">IFERROR(ROUND($J202*$K202,0),"Error")</f>
        <v>Error</v>
      </c>
      <c r="M202" s="71" t="str">
        <f aca="false">IFERROR(IF(AND($J202&lt;10000,$L202&lt;200000),"Yes","No"),"Error")</f>
        <v>No</v>
      </c>
      <c r="P202" s="42" t="str">
        <f aca="false">IF($N202="SOLE",$J202,"")</f>
        <v/>
      </c>
      <c r="Q202" s="42" t="str">
        <f aca="false">IFERROR(IF($N202="Sole",0,IF(AND($N202="OTR",$R202=0),$J202-$P202,IF(AND($N202="OTR", $R202&gt;0), $J202-$P202-$Q202, ""))),"")</f>
        <v/>
      </c>
      <c r="R202" s="42" t="str">
        <f aca="false">IF($P202=$J202, "0","")</f>
        <v/>
      </c>
      <c r="S202" s="42" t="str">
        <f aca="false">IF(OR(ISBLANK($B202),ISBLANK($C202), ISBLANK($E202), ISBLANK($F202), AND(ISBLANK($G202),ISBLANK($H202)), ISBLANK($I202), ISBLANK($L202), AND(ISBLANK($N202), ISBLANK($O202)), AND(ISBLANK($P202), ISBLANK($Q202), ISBLANK($R202))), "No", "Yes")</f>
        <v>No</v>
      </c>
      <c r="T202" s="42" t="str">
        <f aca="false">SUBSTITUTE($U202," ","")</f>
        <v>235851102</v>
      </c>
      <c r="U202" s="42" t="s">
        <v>300</v>
      </c>
      <c r="V202" s="39" t="n">
        <v>905</v>
      </c>
    </row>
    <row r="203" customFormat="false" ht="15" hidden="false" customHeight="false" outlineLevel="0" collapsed="false">
      <c r="B203" s="70" t="s">
        <v>300</v>
      </c>
      <c r="C203" s="71" t="str">
        <f aca="false">IFERROR(INDEX('13F Data'!A:A,MATCH($B203,'13F Data'!A:A,0)),"No CUSIP Match")</f>
        <v>No CUSIP Match</v>
      </c>
      <c r="D203" s="71" t="str">
        <f aca="false">IFERROR(IF($B203=$C203,"Yes","No"),"No CUSIP Match")</f>
        <v>No</v>
      </c>
      <c r="E203" s="71"/>
      <c r="F203" s="71" t="str">
        <f aca="false">IFERROR(INDEX('13F Data'!C:C, MATCH($B203,'13F Data'!A:A,0)),"No CUSIP Match")</f>
        <v>No CUSIP Match</v>
      </c>
      <c r="G203" s="72" t="str">
        <f aca="false">IFERROR(INDEX('13F Data'!D:D,MATCH($B203,'13F Data'!A:A,0)),"No CUSIP Match")</f>
        <v>No CUSIP Match</v>
      </c>
      <c r="J203" s="73" t="n">
        <f aca="false">$V203</f>
        <v>10600</v>
      </c>
      <c r="K203" s="71" t="str">
        <f aca="false">IFERROR(INDEX('EOD Data'!G:G, MATCH($A203, 'EOD Data'!B:B,0)), "No TKR Match")</f>
        <v>No TKR Match</v>
      </c>
      <c r="L203" s="71" t="str">
        <f aca="false">IFERROR(ROUND($J203*$K203,0),"Error")</f>
        <v>Error</v>
      </c>
      <c r="M203" s="71" t="str">
        <f aca="false">IFERROR(IF(AND($J203&lt;10000,$L203&lt;200000),"Yes","No"),"Error")</f>
        <v>No</v>
      </c>
      <c r="P203" s="42" t="str">
        <f aca="false">IF($N203="SOLE",$J203,"")</f>
        <v/>
      </c>
      <c r="Q203" s="42" t="str">
        <f aca="false">IFERROR(IF($N203="Sole",0,IF(AND($N203="OTR",$R203=0),$J203-$P203,IF(AND($N203="OTR", $R203&gt;0), $J203-$P203-$Q203, ""))),"")</f>
        <v/>
      </c>
      <c r="R203" s="42" t="str">
        <f aca="false">IF($P203=$J203, "0","")</f>
        <v/>
      </c>
      <c r="S203" s="42" t="str">
        <f aca="false">IF(OR(ISBLANK($B203),ISBLANK($C203), ISBLANK($E203), ISBLANK($F203), AND(ISBLANK($G203),ISBLANK($H203)), ISBLANK($I203), ISBLANK($L203), AND(ISBLANK($N203), ISBLANK($O203)), AND(ISBLANK($P203), ISBLANK($Q203), ISBLANK($R203))), "No", "Yes")</f>
        <v>No</v>
      </c>
      <c r="T203" s="42" t="str">
        <f aca="false">SUBSTITUTE($U203," ","")</f>
        <v>235851102</v>
      </c>
      <c r="U203" s="42" t="s">
        <v>300</v>
      </c>
      <c r="V203" s="39" t="n">
        <v>10600</v>
      </c>
    </row>
    <row r="204" customFormat="false" ht="15" hidden="false" customHeight="false" outlineLevel="0" collapsed="false">
      <c r="B204" s="70" t="s">
        <v>300</v>
      </c>
      <c r="C204" s="71" t="str">
        <f aca="false">IFERROR(INDEX('13F Data'!A:A,MATCH($B204,'13F Data'!A:A,0)),"No CUSIP Match")</f>
        <v>No CUSIP Match</v>
      </c>
      <c r="D204" s="71" t="str">
        <f aca="false">IFERROR(IF($B204=$C204,"Yes","No"),"No CUSIP Match")</f>
        <v>No</v>
      </c>
      <c r="E204" s="71"/>
      <c r="F204" s="71" t="str">
        <f aca="false">IFERROR(INDEX('13F Data'!C:C, MATCH($B204,'13F Data'!A:A,0)),"No CUSIP Match")</f>
        <v>No CUSIP Match</v>
      </c>
      <c r="G204" s="72" t="str">
        <f aca="false">IFERROR(INDEX('13F Data'!D:D,MATCH($B204,'13F Data'!A:A,0)),"No CUSIP Match")</f>
        <v>No CUSIP Match</v>
      </c>
      <c r="J204" s="73" t="n">
        <f aca="false">$V204</f>
        <v>10600</v>
      </c>
      <c r="K204" s="71" t="str">
        <f aca="false">IFERROR(INDEX('EOD Data'!G:G, MATCH($A204, 'EOD Data'!B:B,0)), "No TKR Match")</f>
        <v>No TKR Match</v>
      </c>
      <c r="L204" s="71" t="str">
        <f aca="false">IFERROR(ROUND($J204*$K204,0),"Error")</f>
        <v>Error</v>
      </c>
      <c r="M204" s="71" t="str">
        <f aca="false">IFERROR(IF(AND($J204&lt;10000,$L204&lt;200000),"Yes","No"),"Error")</f>
        <v>No</v>
      </c>
      <c r="P204" s="42" t="str">
        <f aca="false">IF($N204="SOLE",$J204,"")</f>
        <v/>
      </c>
      <c r="Q204" s="42" t="str">
        <f aca="false">IFERROR(IF($N204="Sole",0,IF(AND($N204="OTR",$R204=0),$J204-$P204,IF(AND($N204="OTR", $R204&gt;0), $J204-$P204-$Q204, ""))),"")</f>
        <v/>
      </c>
      <c r="R204" s="42" t="str">
        <f aca="false">IF($P204=$J204, "0","")</f>
        <v/>
      </c>
      <c r="S204" s="42" t="str">
        <f aca="false">IF(OR(ISBLANK($B204),ISBLANK($C204), ISBLANK($E204), ISBLANK($F204), AND(ISBLANK($G204),ISBLANK($H204)), ISBLANK($I204), ISBLANK($L204), AND(ISBLANK($N204), ISBLANK($O204)), AND(ISBLANK($P204), ISBLANK($Q204), ISBLANK($R204))), "No", "Yes")</f>
        <v>No</v>
      </c>
      <c r="T204" s="42" t="str">
        <f aca="false">SUBSTITUTE($U204," ","")</f>
        <v>235851102</v>
      </c>
      <c r="U204" s="42" t="s">
        <v>300</v>
      </c>
      <c r="V204" s="39" t="n">
        <v>10600</v>
      </c>
    </row>
    <row r="205" customFormat="false" ht="15" hidden="false" customHeight="false" outlineLevel="0" collapsed="false">
      <c r="B205" s="70" t="s">
        <v>302</v>
      </c>
      <c r="C205" s="71" t="str">
        <f aca="false">IFERROR(INDEX('13F Data'!A:A,MATCH($B205,'13F Data'!A:A,0)),"No CUSIP Match")</f>
        <v>No CUSIP Match</v>
      </c>
      <c r="D205" s="71" t="str">
        <f aca="false">IFERROR(IF($B205=$C205,"Yes","No"),"No CUSIP Match")</f>
        <v>No</v>
      </c>
      <c r="E205" s="71"/>
      <c r="F205" s="71" t="str">
        <f aca="false">IFERROR(INDEX('13F Data'!C:C, MATCH($B205,'13F Data'!A:A,0)),"No CUSIP Match")</f>
        <v>No CUSIP Match</v>
      </c>
      <c r="G205" s="72" t="str">
        <f aca="false">IFERROR(INDEX('13F Data'!D:D,MATCH($B205,'13F Data'!A:A,0)),"No CUSIP Match")</f>
        <v>No CUSIP Match</v>
      </c>
      <c r="J205" s="73" t="n">
        <f aca="false">$V205</f>
        <v>211</v>
      </c>
      <c r="K205" s="71" t="str">
        <f aca="false">IFERROR(INDEX('EOD Data'!G:G, MATCH($A205, 'EOD Data'!B:B,0)), "No TKR Match")</f>
        <v>No TKR Match</v>
      </c>
      <c r="L205" s="71" t="str">
        <f aca="false">IFERROR(ROUND($J205*$K205,0),"Error")</f>
        <v>Error</v>
      </c>
      <c r="M205" s="71" t="str">
        <f aca="false">IFERROR(IF(AND($J205&lt;10000,$L205&lt;200000),"Yes","No"),"Error")</f>
        <v>No</v>
      </c>
      <c r="P205" s="42" t="str">
        <f aca="false">IF($N205="SOLE",$J205,"")</f>
        <v/>
      </c>
      <c r="Q205" s="42" t="str">
        <f aca="false">IFERROR(IF($N205="Sole",0,IF(AND($N205="OTR",$R205=0),$J205-$P205,IF(AND($N205="OTR", $R205&gt;0), $J205-$P205-$Q205, ""))),"")</f>
        <v/>
      </c>
      <c r="R205" s="42" t="str">
        <f aca="false">IF($P205=$J205, "0","")</f>
        <v/>
      </c>
      <c r="S205" s="42" t="str">
        <f aca="false">IF(OR(ISBLANK($B205),ISBLANK($C205), ISBLANK($E205), ISBLANK($F205), AND(ISBLANK($G205),ISBLANK($H205)), ISBLANK($I205), ISBLANK($L205), AND(ISBLANK($N205), ISBLANK($O205)), AND(ISBLANK($P205), ISBLANK($Q205), ISBLANK($R205))), "No", "Yes")</f>
        <v>No</v>
      </c>
      <c r="T205" s="42" t="str">
        <f aca="false">SUBSTITUTE($U205," ","")</f>
        <v>237194105</v>
      </c>
      <c r="U205" s="42" t="s">
        <v>302</v>
      </c>
      <c r="V205" s="39" t="n">
        <v>211</v>
      </c>
    </row>
    <row r="206" customFormat="false" ht="15" hidden="false" customHeight="false" outlineLevel="0" collapsed="false">
      <c r="B206" s="70" t="s">
        <v>302</v>
      </c>
      <c r="C206" s="71" t="str">
        <f aca="false">IFERROR(INDEX('13F Data'!A:A,MATCH($B206,'13F Data'!A:A,0)),"No CUSIP Match")</f>
        <v>No CUSIP Match</v>
      </c>
      <c r="D206" s="71" t="str">
        <f aca="false">IFERROR(IF($B206=$C206,"Yes","No"),"No CUSIP Match")</f>
        <v>No</v>
      </c>
      <c r="E206" s="71"/>
      <c r="F206" s="71" t="str">
        <f aca="false">IFERROR(INDEX('13F Data'!C:C, MATCH($B206,'13F Data'!A:A,0)),"No CUSIP Match")</f>
        <v>No CUSIP Match</v>
      </c>
      <c r="G206" s="72" t="str">
        <f aca="false">IFERROR(INDEX('13F Data'!D:D,MATCH($B206,'13F Data'!A:A,0)),"No CUSIP Match")</f>
        <v>No CUSIP Match</v>
      </c>
      <c r="J206" s="73" t="n">
        <f aca="false">$V206</f>
        <v>2600</v>
      </c>
      <c r="K206" s="71" t="str">
        <f aca="false">IFERROR(INDEX('EOD Data'!G:G, MATCH($A206, 'EOD Data'!B:B,0)), "No TKR Match")</f>
        <v>No TKR Match</v>
      </c>
      <c r="L206" s="71" t="str">
        <f aca="false">IFERROR(ROUND($J206*$K206,0),"Error")</f>
        <v>Error</v>
      </c>
      <c r="M206" s="71" t="str">
        <f aca="false">IFERROR(IF(AND($J206&lt;10000,$L206&lt;200000),"Yes","No"),"Error")</f>
        <v>No</v>
      </c>
      <c r="P206" s="42" t="str">
        <f aca="false">IF($N206="SOLE",$J206,"")</f>
        <v/>
      </c>
      <c r="Q206" s="42" t="str">
        <f aca="false">IFERROR(IF($N206="Sole",0,IF(AND($N206="OTR",$R206=0),$J206-$P206,IF(AND($N206="OTR", $R206&gt;0), $J206-$P206-$Q206, ""))),"")</f>
        <v/>
      </c>
      <c r="R206" s="42" t="str">
        <f aca="false">IF($P206=$J206, "0","")</f>
        <v/>
      </c>
      <c r="S206" s="42" t="str">
        <f aca="false">IF(OR(ISBLANK($B206),ISBLANK($C206), ISBLANK($E206), ISBLANK($F206), AND(ISBLANK($G206),ISBLANK($H206)), ISBLANK($I206), ISBLANK($L206), AND(ISBLANK($N206), ISBLANK($O206)), AND(ISBLANK($P206), ISBLANK($Q206), ISBLANK($R206))), "No", "Yes")</f>
        <v>No</v>
      </c>
      <c r="T206" s="42" t="str">
        <f aca="false">SUBSTITUTE($U206," ","")</f>
        <v>237194105</v>
      </c>
      <c r="U206" s="42" t="s">
        <v>302</v>
      </c>
      <c r="V206" s="39" t="n">
        <v>2600</v>
      </c>
    </row>
    <row r="207" customFormat="false" ht="15" hidden="false" customHeight="false" outlineLevel="0" collapsed="false">
      <c r="B207" s="70" t="s">
        <v>302</v>
      </c>
      <c r="C207" s="71" t="str">
        <f aca="false">IFERROR(INDEX('13F Data'!A:A,MATCH($B207,'13F Data'!A:A,0)),"No CUSIP Match")</f>
        <v>No CUSIP Match</v>
      </c>
      <c r="D207" s="71" t="str">
        <f aca="false">IFERROR(IF($B207=$C207,"Yes","No"),"No CUSIP Match")</f>
        <v>No</v>
      </c>
      <c r="E207" s="71"/>
      <c r="F207" s="71" t="str">
        <f aca="false">IFERROR(INDEX('13F Data'!C:C, MATCH($B207,'13F Data'!A:A,0)),"No CUSIP Match")</f>
        <v>No CUSIP Match</v>
      </c>
      <c r="G207" s="72" t="str">
        <f aca="false">IFERROR(INDEX('13F Data'!D:D,MATCH($B207,'13F Data'!A:A,0)),"No CUSIP Match")</f>
        <v>No CUSIP Match</v>
      </c>
      <c r="J207" s="73" t="n">
        <f aca="false">$V207</f>
        <v>2600</v>
      </c>
      <c r="K207" s="71" t="str">
        <f aca="false">IFERROR(INDEX('EOD Data'!G:G, MATCH($A207, 'EOD Data'!B:B,0)), "No TKR Match")</f>
        <v>No TKR Match</v>
      </c>
      <c r="L207" s="71" t="str">
        <f aca="false">IFERROR(ROUND($J207*$K207,0),"Error")</f>
        <v>Error</v>
      </c>
      <c r="M207" s="71" t="str">
        <f aca="false">IFERROR(IF(AND($J207&lt;10000,$L207&lt;200000),"Yes","No"),"Error")</f>
        <v>No</v>
      </c>
      <c r="P207" s="42" t="str">
        <f aca="false">IF($N207="SOLE",$J207,"")</f>
        <v/>
      </c>
      <c r="Q207" s="42" t="str">
        <f aca="false">IFERROR(IF($N207="Sole",0,IF(AND($N207="OTR",$R207=0),$J207-$P207,IF(AND($N207="OTR", $R207&gt;0), $J207-$P207-$Q207, ""))),"")</f>
        <v/>
      </c>
      <c r="R207" s="42" t="str">
        <f aca="false">IF($P207=$J207, "0","")</f>
        <v/>
      </c>
      <c r="S207" s="42" t="str">
        <f aca="false">IF(OR(ISBLANK($B207),ISBLANK($C207), ISBLANK($E207), ISBLANK($F207), AND(ISBLANK($G207),ISBLANK($H207)), ISBLANK($I207), ISBLANK($L207), AND(ISBLANK($N207), ISBLANK($O207)), AND(ISBLANK($P207), ISBLANK($Q207), ISBLANK($R207))), "No", "Yes")</f>
        <v>No</v>
      </c>
      <c r="T207" s="42" t="str">
        <f aca="false">SUBSTITUTE($U207," ","")</f>
        <v>237194105</v>
      </c>
      <c r="U207" s="42" t="s">
        <v>302</v>
      </c>
      <c r="V207" s="39" t="n">
        <v>2600</v>
      </c>
    </row>
    <row r="208" customFormat="false" ht="15" hidden="false" customHeight="false" outlineLevel="0" collapsed="false">
      <c r="B208" s="70" t="s">
        <v>304</v>
      </c>
      <c r="C208" s="71" t="str">
        <f aca="false">IFERROR(INDEX('13F Data'!A:A,MATCH($B208,'13F Data'!A:A,0)),"No CUSIP Match")</f>
        <v>No CUSIP Match</v>
      </c>
      <c r="D208" s="71" t="str">
        <f aca="false">IFERROR(IF($B208=$C208,"Yes","No"),"No CUSIP Match")</f>
        <v>No</v>
      </c>
      <c r="E208" s="71"/>
      <c r="F208" s="71" t="str">
        <f aca="false">IFERROR(INDEX('13F Data'!C:C, MATCH($B208,'13F Data'!A:A,0)),"No CUSIP Match")</f>
        <v>No CUSIP Match</v>
      </c>
      <c r="G208" s="72" t="str">
        <f aca="false">IFERROR(INDEX('13F Data'!D:D,MATCH($B208,'13F Data'!A:A,0)),"No CUSIP Match")</f>
        <v>No CUSIP Match</v>
      </c>
      <c r="J208" s="73" t="n">
        <f aca="false">$V208</f>
        <v>21250000</v>
      </c>
      <c r="K208" s="71" t="str">
        <f aca="false">IFERROR(INDEX('EOD Data'!G:G, MATCH($A208, 'EOD Data'!B:B,0)), "No TKR Match")</f>
        <v>No TKR Match</v>
      </c>
      <c r="L208" s="71" t="str">
        <f aca="false">IFERROR(ROUND($J208*$K208,0),"Error")</f>
        <v>Error</v>
      </c>
      <c r="M208" s="71" t="str">
        <f aca="false">IFERROR(IF(AND($J208&lt;10000,$L208&lt;200000),"Yes","No"),"Error")</f>
        <v>No</v>
      </c>
      <c r="P208" s="42" t="str">
        <f aca="false">IF($N208="SOLE",$J208,"")</f>
        <v/>
      </c>
      <c r="Q208" s="42" t="str">
        <f aca="false">IFERROR(IF($N208="Sole",0,IF(AND($N208="OTR",$R208=0),$J208-$P208,IF(AND($N208="OTR", $R208&gt;0), $J208-$P208-$Q208, ""))),"")</f>
        <v/>
      </c>
      <c r="R208" s="42" t="str">
        <f aca="false">IF($P208=$J208, "0","")</f>
        <v/>
      </c>
      <c r="S208" s="42" t="str">
        <f aca="false">IF(OR(ISBLANK($B208),ISBLANK($C208), ISBLANK($E208), ISBLANK($F208), AND(ISBLANK($G208),ISBLANK($H208)), ISBLANK($I208), ISBLANK($L208), AND(ISBLANK($N208), ISBLANK($O208)), AND(ISBLANK($P208), ISBLANK($Q208), ISBLANK($R208))), "No", "Yes")</f>
        <v>No</v>
      </c>
      <c r="T208" s="42" t="str">
        <f aca="false">SUBSTITUTE($U208," ","")</f>
        <v>15677JAD0</v>
      </c>
      <c r="U208" s="42" t="s">
        <v>304</v>
      </c>
      <c r="V208" s="39" t="n">
        <v>21250000</v>
      </c>
    </row>
    <row r="209" customFormat="false" ht="15" hidden="false" customHeight="false" outlineLevel="0" collapsed="false">
      <c r="B209" s="70" t="s">
        <v>306</v>
      </c>
      <c r="C209" s="71" t="str">
        <f aca="false">IFERROR(INDEX('13F Data'!A:A,MATCH($B209,'13F Data'!A:A,0)),"No CUSIP Match")</f>
        <v>No CUSIP Match</v>
      </c>
      <c r="D209" s="71" t="str">
        <f aca="false">IFERROR(IF($B209=$C209,"Yes","No"),"No CUSIP Match")</f>
        <v>No</v>
      </c>
      <c r="E209" s="71"/>
      <c r="F209" s="71" t="str">
        <f aca="false">IFERROR(INDEX('13F Data'!C:C, MATCH($B209,'13F Data'!A:A,0)),"No CUSIP Match")</f>
        <v>No CUSIP Match</v>
      </c>
      <c r="G209" s="72" t="str">
        <f aca="false">IFERROR(INDEX('13F Data'!D:D,MATCH($B209,'13F Data'!A:A,0)),"No CUSIP Match")</f>
        <v>No CUSIP Match</v>
      </c>
      <c r="J209" s="73" t="n">
        <f aca="false">$V209</f>
        <v>2160</v>
      </c>
      <c r="K209" s="71" t="str">
        <f aca="false">IFERROR(INDEX('EOD Data'!G:G, MATCH($A209, 'EOD Data'!B:B,0)), "No TKR Match")</f>
        <v>No TKR Match</v>
      </c>
      <c r="L209" s="71" t="str">
        <f aca="false">IFERROR(ROUND($J209*$K209,0),"Error")</f>
        <v>Error</v>
      </c>
      <c r="M209" s="71" t="str">
        <f aca="false">IFERROR(IF(AND($J209&lt;10000,$L209&lt;200000),"Yes","No"),"Error")</f>
        <v>No</v>
      </c>
      <c r="P209" s="42" t="str">
        <f aca="false">IF($N209="SOLE",$J209,"")</f>
        <v/>
      </c>
      <c r="Q209" s="42" t="str">
        <f aca="false">IFERROR(IF($N209="Sole",0,IF(AND($N209="OTR",$R209=0),$J209-$P209,IF(AND($N209="OTR", $R209&gt;0), $J209-$P209-$Q209, ""))),"")</f>
        <v/>
      </c>
      <c r="R209" s="42" t="str">
        <f aca="false">IF($P209=$J209, "0","")</f>
        <v/>
      </c>
      <c r="S209" s="42" t="str">
        <f aca="false">IF(OR(ISBLANK($B209),ISBLANK($C209), ISBLANK($E209), ISBLANK($F209), AND(ISBLANK($G209),ISBLANK($H209)), ISBLANK($I209), ISBLANK($L209), AND(ISBLANK($N209), ISBLANK($O209)), AND(ISBLANK($P209), ISBLANK($Q209), ISBLANK($R209))), "No", "Yes")</f>
        <v>No</v>
      </c>
      <c r="T209" s="42" t="str">
        <f aca="false">SUBSTITUTE($U209," ","")</f>
        <v>243537107</v>
      </c>
      <c r="U209" s="42" t="s">
        <v>306</v>
      </c>
      <c r="V209" s="39" t="n">
        <v>2160</v>
      </c>
    </row>
    <row r="210" customFormat="false" ht="15" hidden="false" customHeight="false" outlineLevel="0" collapsed="false">
      <c r="B210" s="70" t="s">
        <v>308</v>
      </c>
      <c r="C210" s="71" t="str">
        <f aca="false">IFERROR(INDEX('13F Data'!A:A,MATCH($B210,'13F Data'!A:A,0)),"No CUSIP Match")</f>
        <v>No CUSIP Match</v>
      </c>
      <c r="D210" s="71" t="str">
        <f aca="false">IFERROR(IF($B210=$C210,"Yes","No"),"No CUSIP Match")</f>
        <v>No</v>
      </c>
      <c r="E210" s="71"/>
      <c r="F210" s="71" t="str">
        <f aca="false">IFERROR(INDEX('13F Data'!C:C, MATCH($B210,'13F Data'!A:A,0)),"No CUSIP Match")</f>
        <v>No CUSIP Match</v>
      </c>
      <c r="G210" s="72" t="str">
        <f aca="false">IFERROR(INDEX('13F Data'!D:D,MATCH($B210,'13F Data'!A:A,0)),"No CUSIP Match")</f>
        <v>No CUSIP Match</v>
      </c>
      <c r="J210" s="73" t="n">
        <f aca="false">$V210</f>
        <v>7900</v>
      </c>
      <c r="K210" s="71" t="str">
        <f aca="false">IFERROR(INDEX('EOD Data'!G:G, MATCH($A210, 'EOD Data'!B:B,0)), "No TKR Match")</f>
        <v>No TKR Match</v>
      </c>
      <c r="L210" s="71" t="str">
        <f aca="false">IFERROR(ROUND($J210*$K210,0),"Error")</f>
        <v>Error</v>
      </c>
      <c r="M210" s="71" t="str">
        <f aca="false">IFERROR(IF(AND($J210&lt;10000,$L210&lt;200000),"Yes","No"),"Error")</f>
        <v>No</v>
      </c>
      <c r="P210" s="42" t="str">
        <f aca="false">IF($N210="SOLE",$J210,"")</f>
        <v/>
      </c>
      <c r="Q210" s="42" t="str">
        <f aca="false">IFERROR(IF($N210="Sole",0,IF(AND($N210="OTR",$R210=0),$J210-$P210,IF(AND($N210="OTR", $R210&gt;0), $J210-$P210-$Q210, ""))),"")</f>
        <v/>
      </c>
      <c r="R210" s="42" t="str">
        <f aca="false">IF($P210=$J210, "0","")</f>
        <v/>
      </c>
      <c r="S210" s="42" t="str">
        <f aca="false">IF(OR(ISBLANK($B210),ISBLANK($C210), ISBLANK($E210), ISBLANK($F210), AND(ISBLANK($G210),ISBLANK($H210)), ISBLANK($I210), ISBLANK($L210), AND(ISBLANK($N210), ISBLANK($O210)), AND(ISBLANK($P210), ISBLANK($Q210), ISBLANK($R210))), "No", "Yes")</f>
        <v>No</v>
      </c>
      <c r="T210" s="42" t="str">
        <f aca="false">SUBSTITUTE($U210," ","")</f>
        <v>244199105</v>
      </c>
      <c r="U210" s="42" t="s">
        <v>308</v>
      </c>
      <c r="V210" s="39" t="n">
        <v>7900</v>
      </c>
    </row>
    <row r="211" customFormat="false" ht="15" hidden="false" customHeight="false" outlineLevel="0" collapsed="false">
      <c r="B211" s="70" t="s">
        <v>308</v>
      </c>
      <c r="C211" s="71" t="str">
        <f aca="false">IFERROR(INDEX('13F Data'!A:A,MATCH($B211,'13F Data'!A:A,0)),"No CUSIP Match")</f>
        <v>No CUSIP Match</v>
      </c>
      <c r="D211" s="71" t="str">
        <f aca="false">IFERROR(IF($B211=$C211,"Yes","No"),"No CUSIP Match")</f>
        <v>No</v>
      </c>
      <c r="E211" s="71"/>
      <c r="F211" s="71" t="str">
        <f aca="false">IFERROR(INDEX('13F Data'!C:C, MATCH($B211,'13F Data'!A:A,0)),"No CUSIP Match")</f>
        <v>No CUSIP Match</v>
      </c>
      <c r="G211" s="72" t="str">
        <f aca="false">IFERROR(INDEX('13F Data'!D:D,MATCH($B211,'13F Data'!A:A,0)),"No CUSIP Match")</f>
        <v>No CUSIP Match</v>
      </c>
      <c r="J211" s="73" t="n">
        <f aca="false">$V211</f>
        <v>7900</v>
      </c>
      <c r="K211" s="71" t="str">
        <f aca="false">IFERROR(INDEX('EOD Data'!G:G, MATCH($A211, 'EOD Data'!B:B,0)), "No TKR Match")</f>
        <v>No TKR Match</v>
      </c>
      <c r="L211" s="71" t="str">
        <f aca="false">IFERROR(ROUND($J211*$K211,0),"Error")</f>
        <v>Error</v>
      </c>
      <c r="M211" s="71" t="str">
        <f aca="false">IFERROR(IF(AND($J211&lt;10000,$L211&lt;200000),"Yes","No"),"Error")</f>
        <v>No</v>
      </c>
      <c r="P211" s="42" t="str">
        <f aca="false">IF($N211="SOLE",$J211,"")</f>
        <v/>
      </c>
      <c r="Q211" s="42" t="str">
        <f aca="false">IFERROR(IF($N211="Sole",0,IF(AND($N211="OTR",$R211=0),$J211-$P211,IF(AND($N211="OTR", $R211&gt;0), $J211-$P211-$Q211, ""))),"")</f>
        <v/>
      </c>
      <c r="R211" s="42" t="str">
        <f aca="false">IF($P211=$J211, "0","")</f>
        <v/>
      </c>
      <c r="S211" s="42" t="str">
        <f aca="false">IF(OR(ISBLANK($B211),ISBLANK($C211), ISBLANK($E211), ISBLANK($F211), AND(ISBLANK($G211),ISBLANK($H211)), ISBLANK($I211), ISBLANK($L211), AND(ISBLANK($N211), ISBLANK($O211)), AND(ISBLANK($P211), ISBLANK($Q211), ISBLANK($R211))), "No", "Yes")</f>
        <v>No</v>
      </c>
      <c r="T211" s="42" t="str">
        <f aca="false">SUBSTITUTE($U211," ","")</f>
        <v>244199105</v>
      </c>
      <c r="U211" s="42" t="s">
        <v>308</v>
      </c>
      <c r="V211" s="39" t="n">
        <v>7900</v>
      </c>
    </row>
    <row r="212" customFormat="false" ht="15" hidden="false" customHeight="false" outlineLevel="0" collapsed="false">
      <c r="B212" s="70" t="s">
        <v>310</v>
      </c>
      <c r="C212" s="71" t="str">
        <f aca="false">IFERROR(INDEX('13F Data'!A:A,MATCH($B212,'13F Data'!A:A,0)),"No CUSIP Match")</f>
        <v>No CUSIP Match</v>
      </c>
      <c r="D212" s="71" t="str">
        <f aca="false">IFERROR(IF($B212=$C212,"Yes","No"),"No CUSIP Match")</f>
        <v>No</v>
      </c>
      <c r="E212" s="71"/>
      <c r="F212" s="71" t="str">
        <f aca="false">IFERROR(INDEX('13F Data'!C:C, MATCH($B212,'13F Data'!A:A,0)),"No CUSIP Match")</f>
        <v>No CUSIP Match</v>
      </c>
      <c r="G212" s="72" t="str">
        <f aca="false">IFERROR(INDEX('13F Data'!D:D,MATCH($B212,'13F Data'!A:A,0)),"No CUSIP Match")</f>
        <v>No CUSIP Match</v>
      </c>
      <c r="J212" s="73" t="n">
        <f aca="false">$V212</f>
        <v>26400</v>
      </c>
      <c r="K212" s="71" t="str">
        <f aca="false">IFERROR(INDEX('EOD Data'!G:G, MATCH($A212, 'EOD Data'!B:B,0)), "No TKR Match")</f>
        <v>No TKR Match</v>
      </c>
      <c r="L212" s="71" t="str">
        <f aca="false">IFERROR(ROUND($J212*$K212,0),"Error")</f>
        <v>Error</v>
      </c>
      <c r="M212" s="71" t="str">
        <f aca="false">IFERROR(IF(AND($J212&lt;10000,$L212&lt;200000),"Yes","No"),"Error")</f>
        <v>No</v>
      </c>
      <c r="P212" s="42" t="str">
        <f aca="false">IF($N212="SOLE",$J212,"")</f>
        <v/>
      </c>
      <c r="Q212" s="42" t="str">
        <f aca="false">IFERROR(IF($N212="Sole",0,IF(AND($N212="OTR",$R212=0),$J212-$P212,IF(AND($N212="OTR", $R212&gt;0), $J212-$P212-$Q212, ""))),"")</f>
        <v/>
      </c>
      <c r="R212" s="42" t="str">
        <f aca="false">IF($P212=$J212, "0","")</f>
        <v/>
      </c>
      <c r="S212" s="42" t="str">
        <f aca="false">IF(OR(ISBLANK($B212),ISBLANK($C212), ISBLANK($E212), ISBLANK($F212), AND(ISBLANK($G212),ISBLANK($H212)), ISBLANK($I212), ISBLANK($L212), AND(ISBLANK($N212), ISBLANK($O212)), AND(ISBLANK($P212), ISBLANK($Q212), ISBLANK($R212))), "No", "Yes")</f>
        <v>No</v>
      </c>
      <c r="T212" s="42" t="str">
        <f aca="false">SUBSTITUTE($U212," ","")</f>
        <v>24703L202</v>
      </c>
      <c r="U212" s="42" t="s">
        <v>310</v>
      </c>
      <c r="V212" s="39" t="n">
        <v>26400</v>
      </c>
    </row>
    <row r="213" customFormat="false" ht="15" hidden="false" customHeight="false" outlineLevel="0" collapsed="false">
      <c r="B213" s="70" t="s">
        <v>310</v>
      </c>
      <c r="C213" s="71" t="str">
        <f aca="false">IFERROR(INDEX('13F Data'!A:A,MATCH($B213,'13F Data'!A:A,0)),"No CUSIP Match")</f>
        <v>No CUSIP Match</v>
      </c>
      <c r="D213" s="71" t="str">
        <f aca="false">IFERROR(IF($B213=$C213,"Yes","No"),"No CUSIP Match")</f>
        <v>No</v>
      </c>
      <c r="E213" s="71"/>
      <c r="F213" s="71" t="str">
        <f aca="false">IFERROR(INDEX('13F Data'!C:C, MATCH($B213,'13F Data'!A:A,0)),"No CUSIP Match")</f>
        <v>No CUSIP Match</v>
      </c>
      <c r="G213" s="72" t="str">
        <f aca="false">IFERROR(INDEX('13F Data'!D:D,MATCH($B213,'13F Data'!A:A,0)),"No CUSIP Match")</f>
        <v>No CUSIP Match</v>
      </c>
      <c r="J213" s="73" t="n">
        <f aca="false">$V213</f>
        <v>26400</v>
      </c>
      <c r="K213" s="71" t="str">
        <f aca="false">IFERROR(INDEX('EOD Data'!G:G, MATCH($A213, 'EOD Data'!B:B,0)), "No TKR Match")</f>
        <v>No TKR Match</v>
      </c>
      <c r="L213" s="71" t="str">
        <f aca="false">IFERROR(ROUND($J213*$K213,0),"Error")</f>
        <v>Error</v>
      </c>
      <c r="M213" s="71" t="str">
        <f aca="false">IFERROR(IF(AND($J213&lt;10000,$L213&lt;200000),"Yes","No"),"Error")</f>
        <v>No</v>
      </c>
      <c r="P213" s="42" t="str">
        <f aca="false">IF($N213="SOLE",$J213,"")</f>
        <v/>
      </c>
      <c r="Q213" s="42" t="str">
        <f aca="false">IFERROR(IF($N213="Sole",0,IF(AND($N213="OTR",$R213=0),$J213-$P213,IF(AND($N213="OTR", $R213&gt;0), $J213-$P213-$Q213, ""))),"")</f>
        <v/>
      </c>
      <c r="R213" s="42" t="str">
        <f aca="false">IF($P213=$J213, "0","")</f>
        <v/>
      </c>
      <c r="S213" s="42" t="str">
        <f aca="false">IF(OR(ISBLANK($B213),ISBLANK($C213), ISBLANK($E213), ISBLANK($F213), AND(ISBLANK($G213),ISBLANK($H213)), ISBLANK($I213), ISBLANK($L213), AND(ISBLANK($N213), ISBLANK($O213)), AND(ISBLANK($P213), ISBLANK($Q213), ISBLANK($R213))), "No", "Yes")</f>
        <v>No</v>
      </c>
      <c r="T213" s="42" t="str">
        <f aca="false">SUBSTITUTE($U213," ","")</f>
        <v>24703L202</v>
      </c>
      <c r="U213" s="42" t="s">
        <v>310</v>
      </c>
      <c r="V213" s="39" t="n">
        <v>26400</v>
      </c>
    </row>
    <row r="214" customFormat="false" ht="15" hidden="false" customHeight="false" outlineLevel="0" collapsed="false">
      <c r="B214" s="70" t="s">
        <v>312</v>
      </c>
      <c r="C214" s="71" t="str">
        <f aca="false">IFERROR(INDEX('13F Data'!A:A,MATCH($B214,'13F Data'!A:A,0)),"No CUSIP Match")</f>
        <v>No CUSIP Match</v>
      </c>
      <c r="D214" s="71" t="str">
        <f aca="false">IFERROR(IF($B214=$C214,"Yes","No"),"No CUSIP Match")</f>
        <v>No</v>
      </c>
      <c r="E214" s="71"/>
      <c r="F214" s="71" t="str">
        <f aca="false">IFERROR(INDEX('13F Data'!C:C, MATCH($B214,'13F Data'!A:A,0)),"No CUSIP Match")</f>
        <v>No CUSIP Match</v>
      </c>
      <c r="G214" s="72" t="str">
        <f aca="false">IFERROR(INDEX('13F Data'!D:D,MATCH($B214,'13F Data'!A:A,0)),"No CUSIP Match")</f>
        <v>No CUSIP Match</v>
      </c>
      <c r="J214" s="73" t="n">
        <f aca="false">$V214</f>
        <v>4000000</v>
      </c>
      <c r="K214" s="71" t="str">
        <f aca="false">IFERROR(INDEX('EOD Data'!G:G, MATCH($A214, 'EOD Data'!B:B,0)), "No TKR Match")</f>
        <v>No TKR Match</v>
      </c>
      <c r="L214" s="71" t="str">
        <f aca="false">IFERROR(ROUND($J214*$K214,0),"Error")</f>
        <v>Error</v>
      </c>
      <c r="M214" s="71" t="str">
        <f aca="false">IFERROR(IF(AND($J214&lt;10000,$L214&lt;200000),"Yes","No"),"Error")</f>
        <v>No</v>
      </c>
      <c r="P214" s="42" t="str">
        <f aca="false">IF($N214="SOLE",$J214,"")</f>
        <v/>
      </c>
      <c r="Q214" s="42" t="str">
        <f aca="false">IFERROR(IF($N214="Sole",0,IF(AND($N214="OTR",$R214=0),$J214-$P214,IF(AND($N214="OTR", $R214&gt;0), $J214-$P214-$Q214, ""))),"")</f>
        <v/>
      </c>
      <c r="R214" s="42" t="str">
        <f aca="false">IF($P214=$J214, "0","")</f>
        <v/>
      </c>
      <c r="S214" s="42" t="str">
        <f aca="false">IF(OR(ISBLANK($B214),ISBLANK($C214), ISBLANK($E214), ISBLANK($F214), AND(ISBLANK($G214),ISBLANK($H214)), ISBLANK($I214), ISBLANK($L214), AND(ISBLANK($N214), ISBLANK($O214)), AND(ISBLANK($P214), ISBLANK($Q214), ISBLANK($R214))), "No", "Yes")</f>
        <v>No</v>
      </c>
      <c r="T214" s="42" t="str">
        <f aca="false">SUBSTITUTE($U214," ","")</f>
        <v>25058XAC9</v>
      </c>
      <c r="U214" s="42" t="s">
        <v>312</v>
      </c>
      <c r="V214" s="39" t="n">
        <v>4000000</v>
      </c>
    </row>
    <row r="215" customFormat="false" ht="15" hidden="false" customHeight="false" outlineLevel="0" collapsed="false">
      <c r="B215" s="70" t="s">
        <v>313</v>
      </c>
      <c r="C215" s="71" t="str">
        <f aca="false">IFERROR(INDEX('13F Data'!A:A,MATCH($B215,'13F Data'!A:A,0)),"No CUSIP Match")</f>
        <v>No CUSIP Match</v>
      </c>
      <c r="D215" s="71" t="str">
        <f aca="false">IFERROR(IF($B215=$C215,"Yes","No"),"No CUSIP Match")</f>
        <v>No</v>
      </c>
      <c r="E215" s="71"/>
      <c r="F215" s="71" t="str">
        <f aca="false">IFERROR(INDEX('13F Data'!C:C, MATCH($B215,'13F Data'!A:A,0)),"No CUSIP Match")</f>
        <v>No CUSIP Match</v>
      </c>
      <c r="G215" s="72" t="str">
        <f aca="false">IFERROR(INDEX('13F Data'!D:D,MATCH($B215,'13F Data'!A:A,0)),"No CUSIP Match")</f>
        <v>No CUSIP Match</v>
      </c>
      <c r="J215" s="73" t="n">
        <f aca="false">$V215</f>
        <v>1000000</v>
      </c>
      <c r="K215" s="71" t="str">
        <f aca="false">IFERROR(INDEX('EOD Data'!G:G, MATCH($A215, 'EOD Data'!B:B,0)), "No TKR Match")</f>
        <v>No TKR Match</v>
      </c>
      <c r="L215" s="71" t="str">
        <f aca="false">IFERROR(ROUND($J215*$K215,0),"Error")</f>
        <v>Error</v>
      </c>
      <c r="M215" s="71" t="str">
        <f aca="false">IFERROR(IF(AND($J215&lt;10000,$L215&lt;200000),"Yes","No"),"Error")</f>
        <v>No</v>
      </c>
      <c r="P215" s="42" t="str">
        <f aca="false">IF($N215="SOLE",$J215,"")</f>
        <v/>
      </c>
      <c r="Q215" s="42" t="str">
        <f aca="false">IFERROR(IF($N215="Sole",0,IF(AND($N215="OTR",$R215=0),$J215-$P215,IF(AND($N215="OTR", $R215&gt;0), $J215-$P215-$Q215, ""))),"")</f>
        <v/>
      </c>
      <c r="R215" s="42" t="str">
        <f aca="false">IF($P215=$J215, "0","")</f>
        <v/>
      </c>
      <c r="S215" s="42" t="str">
        <f aca="false">IF(OR(ISBLANK($B215),ISBLANK($C215), ISBLANK($E215), ISBLANK($F215), AND(ISBLANK($G215),ISBLANK($H215)), ISBLANK($I215), ISBLANK($L215), AND(ISBLANK($N215), ISBLANK($O215)), AND(ISBLANK($P215), ISBLANK($Q215), ISBLANK($R215))), "No", "Yes")</f>
        <v>No</v>
      </c>
      <c r="T215" s="42" t="str">
        <f aca="false">SUBSTITUTE($U215," ","")</f>
        <v>25058X105</v>
      </c>
      <c r="U215" s="42" t="s">
        <v>313</v>
      </c>
      <c r="V215" s="39" t="n">
        <v>1000000</v>
      </c>
    </row>
    <row r="216" customFormat="false" ht="15" hidden="false" customHeight="false" outlineLevel="0" collapsed="false">
      <c r="B216" s="70" t="s">
        <v>315</v>
      </c>
      <c r="C216" s="71" t="str">
        <f aca="false">IFERROR(INDEX('13F Data'!A:A,MATCH($B216,'13F Data'!A:A,0)),"No CUSIP Match")</f>
        <v>No CUSIP Match</v>
      </c>
      <c r="D216" s="71" t="str">
        <f aca="false">IFERROR(IF($B216=$C216,"Yes","No"),"No CUSIP Match")</f>
        <v>No</v>
      </c>
      <c r="E216" s="71"/>
      <c r="F216" s="71" t="str">
        <f aca="false">IFERROR(INDEX('13F Data'!C:C, MATCH($B216,'13F Data'!A:A,0)),"No CUSIP Match")</f>
        <v>No CUSIP Match</v>
      </c>
      <c r="G216" s="72" t="str">
        <f aca="false">IFERROR(INDEX('13F Data'!D:D,MATCH($B216,'13F Data'!A:A,0)),"No CUSIP Match")</f>
        <v>No CUSIP Match</v>
      </c>
      <c r="J216" s="73" t="n">
        <f aca="false">$V216</f>
        <v>40270</v>
      </c>
      <c r="K216" s="71" t="str">
        <f aca="false">IFERROR(INDEX('EOD Data'!G:G, MATCH($A216, 'EOD Data'!B:B,0)), "No TKR Match")</f>
        <v>No TKR Match</v>
      </c>
      <c r="L216" s="71" t="str">
        <f aca="false">IFERROR(ROUND($J216*$K216,0),"Error")</f>
        <v>Error</v>
      </c>
      <c r="M216" s="71" t="str">
        <f aca="false">IFERROR(IF(AND($J216&lt;10000,$L216&lt;200000),"Yes","No"),"Error")</f>
        <v>No</v>
      </c>
      <c r="P216" s="42" t="str">
        <f aca="false">IF($N216="SOLE",$J216,"")</f>
        <v/>
      </c>
      <c r="Q216" s="42" t="str">
        <f aca="false">IFERROR(IF($N216="Sole",0,IF(AND($N216="OTR",$R216=0),$J216-$P216,IF(AND($N216="OTR", $R216&gt;0), $J216-$P216-$Q216, ""))),"")</f>
        <v/>
      </c>
      <c r="R216" s="42" t="str">
        <f aca="false">IF($P216=$J216, "0","")</f>
        <v/>
      </c>
      <c r="S216" s="42" t="str">
        <f aca="false">IF(OR(ISBLANK($B216),ISBLANK($C216), ISBLANK($E216), ISBLANK($F216), AND(ISBLANK($G216),ISBLANK($H216)), ISBLANK($I216), ISBLANK($L216), AND(ISBLANK($N216), ISBLANK($O216)), AND(ISBLANK($P216), ISBLANK($Q216), ISBLANK($R216))), "No", "Yes")</f>
        <v>No</v>
      </c>
      <c r="T216" s="42" t="str">
        <f aca="false">SUBSTITUTE($U216," ","")</f>
        <v>252131107</v>
      </c>
      <c r="U216" s="42" t="s">
        <v>315</v>
      </c>
      <c r="V216" s="39" t="n">
        <v>40270</v>
      </c>
    </row>
    <row r="217" customFormat="false" ht="15" hidden="false" customHeight="false" outlineLevel="0" collapsed="false">
      <c r="B217" s="70" t="s">
        <v>317</v>
      </c>
      <c r="C217" s="71" t="str">
        <f aca="false">IFERROR(INDEX('13F Data'!A:A,MATCH($B217,'13F Data'!A:A,0)),"No CUSIP Match")</f>
        <v>No CUSIP Match</v>
      </c>
      <c r="D217" s="71" t="str">
        <f aca="false">IFERROR(IF($B217=$C217,"Yes","No"),"No CUSIP Match")</f>
        <v>No</v>
      </c>
      <c r="E217" s="71"/>
      <c r="F217" s="71" t="str">
        <f aca="false">IFERROR(INDEX('13F Data'!C:C, MATCH($B217,'13F Data'!A:A,0)),"No CUSIP Match")</f>
        <v>No CUSIP Match</v>
      </c>
      <c r="G217" s="72" t="str">
        <f aca="false">IFERROR(INDEX('13F Data'!D:D,MATCH($B217,'13F Data'!A:A,0)),"No CUSIP Match")</f>
        <v>No CUSIP Match</v>
      </c>
      <c r="J217" s="73" t="n">
        <f aca="false">$V217</f>
        <v>2945</v>
      </c>
      <c r="K217" s="71" t="str">
        <f aca="false">IFERROR(INDEX('EOD Data'!G:G, MATCH($A217, 'EOD Data'!B:B,0)), "No TKR Match")</f>
        <v>No TKR Match</v>
      </c>
      <c r="L217" s="71" t="str">
        <f aca="false">IFERROR(ROUND($J217*$K217,0),"Error")</f>
        <v>Error</v>
      </c>
      <c r="M217" s="71" t="str">
        <f aca="false">IFERROR(IF(AND($J217&lt;10000,$L217&lt;200000),"Yes","No"),"Error")</f>
        <v>No</v>
      </c>
      <c r="P217" s="42" t="str">
        <f aca="false">IF($N217="SOLE",$J217,"")</f>
        <v/>
      </c>
      <c r="Q217" s="42" t="str">
        <f aca="false">IFERROR(IF($N217="Sole",0,IF(AND($N217="OTR",$R217=0),$J217-$P217,IF(AND($N217="OTR", $R217&gt;0), $J217-$P217-$Q217, ""))),"")</f>
        <v/>
      </c>
      <c r="R217" s="42" t="str">
        <f aca="false">IF($P217=$J217, "0","")</f>
        <v/>
      </c>
      <c r="S217" s="42" t="str">
        <f aca="false">IF(OR(ISBLANK($B217),ISBLANK($C217), ISBLANK($E217), ISBLANK($F217), AND(ISBLANK($G217),ISBLANK($H217)), ISBLANK($I217), ISBLANK($L217), AND(ISBLANK($N217), ISBLANK($O217)), AND(ISBLANK($P217), ISBLANK($Q217), ISBLANK($R217))), "No", "Yes")</f>
        <v>No</v>
      </c>
      <c r="T217" s="42" t="str">
        <f aca="false">SUBSTITUTE($U217," ","")</f>
        <v>25754A201</v>
      </c>
      <c r="U217" s="42" t="s">
        <v>317</v>
      </c>
      <c r="V217" s="39" t="n">
        <v>2945</v>
      </c>
    </row>
    <row r="218" customFormat="false" ht="15" hidden="false" customHeight="false" outlineLevel="0" collapsed="false">
      <c r="B218" s="70" t="s">
        <v>317</v>
      </c>
      <c r="C218" s="71" t="str">
        <f aca="false">IFERROR(INDEX('13F Data'!A:A,MATCH($B218,'13F Data'!A:A,0)),"No CUSIP Match")</f>
        <v>No CUSIP Match</v>
      </c>
      <c r="D218" s="71" t="str">
        <f aca="false">IFERROR(IF($B218=$C218,"Yes","No"),"No CUSIP Match")</f>
        <v>No</v>
      </c>
      <c r="E218" s="71"/>
      <c r="F218" s="71" t="str">
        <f aca="false">IFERROR(INDEX('13F Data'!C:C, MATCH($B218,'13F Data'!A:A,0)),"No CUSIP Match")</f>
        <v>No CUSIP Match</v>
      </c>
      <c r="G218" s="72" t="str">
        <f aca="false">IFERROR(INDEX('13F Data'!D:D,MATCH($B218,'13F Data'!A:A,0)),"No CUSIP Match")</f>
        <v>No CUSIP Match</v>
      </c>
      <c r="J218" s="73" t="n">
        <f aca="false">$V218</f>
        <v>1100</v>
      </c>
      <c r="K218" s="71" t="str">
        <f aca="false">IFERROR(INDEX('EOD Data'!G:G, MATCH($A218, 'EOD Data'!B:B,0)), "No TKR Match")</f>
        <v>No TKR Match</v>
      </c>
      <c r="L218" s="71" t="str">
        <f aca="false">IFERROR(ROUND($J218*$K218,0),"Error")</f>
        <v>Error</v>
      </c>
      <c r="M218" s="71" t="str">
        <f aca="false">IFERROR(IF(AND($J218&lt;10000,$L218&lt;200000),"Yes","No"),"Error")</f>
        <v>No</v>
      </c>
      <c r="P218" s="42" t="str">
        <f aca="false">IF($N218="SOLE",$J218,"")</f>
        <v/>
      </c>
      <c r="Q218" s="42" t="str">
        <f aca="false">IFERROR(IF($N218="Sole",0,IF(AND($N218="OTR",$R218=0),$J218-$P218,IF(AND($N218="OTR", $R218&gt;0), $J218-$P218-$Q218, ""))),"")</f>
        <v/>
      </c>
      <c r="R218" s="42" t="str">
        <f aca="false">IF($P218=$J218, "0","")</f>
        <v/>
      </c>
      <c r="S218" s="42" t="str">
        <f aca="false">IF(OR(ISBLANK($B218),ISBLANK($C218), ISBLANK($E218), ISBLANK($F218), AND(ISBLANK($G218),ISBLANK($H218)), ISBLANK($I218), ISBLANK($L218), AND(ISBLANK($N218), ISBLANK($O218)), AND(ISBLANK($P218), ISBLANK($Q218), ISBLANK($R218))), "No", "Yes")</f>
        <v>No</v>
      </c>
      <c r="T218" s="42" t="str">
        <f aca="false">SUBSTITUTE($U218," ","")</f>
        <v>25754A201</v>
      </c>
      <c r="U218" s="42" t="s">
        <v>317</v>
      </c>
      <c r="V218" s="39" t="n">
        <v>1100</v>
      </c>
    </row>
    <row r="219" customFormat="false" ht="15" hidden="false" customHeight="false" outlineLevel="0" collapsed="false">
      <c r="B219" s="70" t="s">
        <v>317</v>
      </c>
      <c r="C219" s="71" t="str">
        <f aca="false">IFERROR(INDEX('13F Data'!A:A,MATCH($B219,'13F Data'!A:A,0)),"No CUSIP Match")</f>
        <v>No CUSIP Match</v>
      </c>
      <c r="D219" s="71" t="str">
        <f aca="false">IFERROR(IF($B219=$C219,"Yes","No"),"No CUSIP Match")</f>
        <v>No</v>
      </c>
      <c r="E219" s="71"/>
      <c r="F219" s="71" t="str">
        <f aca="false">IFERROR(INDEX('13F Data'!C:C, MATCH($B219,'13F Data'!A:A,0)),"No CUSIP Match")</f>
        <v>No CUSIP Match</v>
      </c>
      <c r="G219" s="72" t="str">
        <f aca="false">IFERROR(INDEX('13F Data'!D:D,MATCH($B219,'13F Data'!A:A,0)),"No CUSIP Match")</f>
        <v>No CUSIP Match</v>
      </c>
      <c r="J219" s="73" t="n">
        <f aca="false">$V219</f>
        <v>1100</v>
      </c>
      <c r="K219" s="71" t="str">
        <f aca="false">IFERROR(INDEX('EOD Data'!G:G, MATCH($A219, 'EOD Data'!B:B,0)), "No TKR Match")</f>
        <v>No TKR Match</v>
      </c>
      <c r="L219" s="71" t="str">
        <f aca="false">IFERROR(ROUND($J219*$K219,0),"Error")</f>
        <v>Error</v>
      </c>
      <c r="M219" s="71" t="str">
        <f aca="false">IFERROR(IF(AND($J219&lt;10000,$L219&lt;200000),"Yes","No"),"Error")</f>
        <v>No</v>
      </c>
      <c r="P219" s="42" t="str">
        <f aca="false">IF($N219="SOLE",$J219,"")</f>
        <v/>
      </c>
      <c r="Q219" s="42" t="str">
        <f aca="false">IFERROR(IF($N219="Sole",0,IF(AND($N219="OTR",$R219=0),$J219-$P219,IF(AND($N219="OTR", $R219&gt;0), $J219-$P219-$Q219, ""))),"")</f>
        <v/>
      </c>
      <c r="R219" s="42" t="str">
        <f aca="false">IF($P219=$J219, "0","")</f>
        <v/>
      </c>
      <c r="S219" s="42" t="str">
        <f aca="false">IF(OR(ISBLANK($B219),ISBLANK($C219), ISBLANK($E219), ISBLANK($F219), AND(ISBLANK($G219),ISBLANK($H219)), ISBLANK($I219), ISBLANK($L219), AND(ISBLANK($N219), ISBLANK($O219)), AND(ISBLANK($P219), ISBLANK($Q219), ISBLANK($R219))), "No", "Yes")</f>
        <v>No</v>
      </c>
      <c r="T219" s="42" t="str">
        <f aca="false">SUBSTITUTE($U219," ","")</f>
        <v>25754A201</v>
      </c>
      <c r="U219" s="42" t="s">
        <v>317</v>
      </c>
      <c r="V219" s="39" t="n">
        <v>1100</v>
      </c>
    </row>
    <row r="220" customFormat="false" ht="15" hidden="false" customHeight="false" outlineLevel="0" collapsed="false">
      <c r="B220" s="70" t="s">
        <v>319</v>
      </c>
      <c r="C220" s="71" t="str">
        <f aca="false">IFERROR(INDEX('13F Data'!A:A,MATCH($B220,'13F Data'!A:A,0)),"No CUSIP Match")</f>
        <v>No CUSIP Match</v>
      </c>
      <c r="D220" s="71" t="str">
        <f aca="false">IFERROR(IF($B220=$C220,"Yes","No"),"No CUSIP Match")</f>
        <v>No</v>
      </c>
      <c r="E220" s="71"/>
      <c r="F220" s="71" t="str">
        <f aca="false">IFERROR(INDEX('13F Data'!C:C, MATCH($B220,'13F Data'!A:A,0)),"No CUSIP Match")</f>
        <v>No CUSIP Match</v>
      </c>
      <c r="G220" s="72" t="str">
        <f aca="false">IFERROR(INDEX('13F Data'!D:D,MATCH($B220,'13F Data'!A:A,0)),"No CUSIP Match")</f>
        <v>No CUSIP Match</v>
      </c>
      <c r="J220" s="73" t="n">
        <f aca="false">$V220</f>
        <v>9800</v>
      </c>
      <c r="K220" s="71" t="str">
        <f aca="false">IFERROR(INDEX('EOD Data'!G:G, MATCH($A220, 'EOD Data'!B:B,0)), "No TKR Match")</f>
        <v>No TKR Match</v>
      </c>
      <c r="L220" s="71" t="str">
        <f aca="false">IFERROR(ROUND($J220*$K220,0),"Error")</f>
        <v>Error</v>
      </c>
      <c r="M220" s="71" t="str">
        <f aca="false">IFERROR(IF(AND($J220&lt;10000,$L220&lt;200000),"Yes","No"),"Error")</f>
        <v>No</v>
      </c>
      <c r="P220" s="42" t="str">
        <f aca="false">IF($N220="SOLE",$J220,"")</f>
        <v/>
      </c>
      <c r="Q220" s="42" t="str">
        <f aca="false">IFERROR(IF($N220="Sole",0,IF(AND($N220="OTR",$R220=0),$J220-$P220,IF(AND($N220="OTR", $R220&gt;0), $J220-$P220-$Q220, ""))),"")</f>
        <v/>
      </c>
      <c r="R220" s="42" t="str">
        <f aca="false">IF($P220=$J220, "0","")</f>
        <v/>
      </c>
      <c r="S220" s="42" t="str">
        <f aca="false">IF(OR(ISBLANK($B220),ISBLANK($C220), ISBLANK($E220), ISBLANK($F220), AND(ISBLANK($G220),ISBLANK($H220)), ISBLANK($I220), ISBLANK($L220), AND(ISBLANK($N220), ISBLANK($O220)), AND(ISBLANK($P220), ISBLANK($Q220), ISBLANK($R220))), "No", "Yes")</f>
        <v>No</v>
      </c>
      <c r="T220" s="42" t="str">
        <f aca="false">SUBSTITUTE($U220," ","")</f>
        <v>23331A109</v>
      </c>
      <c r="U220" s="42" t="s">
        <v>319</v>
      </c>
      <c r="V220" s="39" t="n">
        <v>9800</v>
      </c>
    </row>
    <row r="221" customFormat="false" ht="15" hidden="false" customHeight="false" outlineLevel="0" collapsed="false">
      <c r="B221" s="70" t="s">
        <v>319</v>
      </c>
      <c r="C221" s="71" t="str">
        <f aca="false">IFERROR(INDEX('13F Data'!A:A,MATCH($B221,'13F Data'!A:A,0)),"No CUSIP Match")</f>
        <v>No CUSIP Match</v>
      </c>
      <c r="D221" s="71" t="str">
        <f aca="false">IFERROR(IF($B221=$C221,"Yes","No"),"No CUSIP Match")</f>
        <v>No</v>
      </c>
      <c r="E221" s="71"/>
      <c r="F221" s="71" t="str">
        <f aca="false">IFERROR(INDEX('13F Data'!C:C, MATCH($B221,'13F Data'!A:A,0)),"No CUSIP Match")</f>
        <v>No CUSIP Match</v>
      </c>
      <c r="G221" s="72" t="str">
        <f aca="false">IFERROR(INDEX('13F Data'!D:D,MATCH($B221,'13F Data'!A:A,0)),"No CUSIP Match")</f>
        <v>No CUSIP Match</v>
      </c>
      <c r="J221" s="73" t="n">
        <f aca="false">$V221</f>
        <v>59800</v>
      </c>
      <c r="K221" s="71" t="str">
        <f aca="false">IFERROR(INDEX('EOD Data'!G:G, MATCH($A221, 'EOD Data'!B:B,0)), "No TKR Match")</f>
        <v>No TKR Match</v>
      </c>
      <c r="L221" s="71" t="str">
        <f aca="false">IFERROR(ROUND($J221*$K221,0),"Error")</f>
        <v>Error</v>
      </c>
      <c r="M221" s="71" t="str">
        <f aca="false">IFERROR(IF(AND($J221&lt;10000,$L221&lt;200000),"Yes","No"),"Error")</f>
        <v>No</v>
      </c>
      <c r="P221" s="42" t="str">
        <f aca="false">IF($N221="SOLE",$J221,"")</f>
        <v/>
      </c>
      <c r="Q221" s="42" t="str">
        <f aca="false">IFERROR(IF($N221="Sole",0,IF(AND($N221="OTR",$R221=0),$J221-$P221,IF(AND($N221="OTR", $R221&gt;0), $J221-$P221-$Q221, ""))),"")</f>
        <v/>
      </c>
      <c r="R221" s="42" t="str">
        <f aca="false">IF($P221=$J221, "0","")</f>
        <v/>
      </c>
      <c r="S221" s="42" t="str">
        <f aca="false">IF(OR(ISBLANK($B221),ISBLANK($C221), ISBLANK($E221), ISBLANK($F221), AND(ISBLANK($G221),ISBLANK($H221)), ISBLANK($I221), ISBLANK($L221), AND(ISBLANK($N221), ISBLANK($O221)), AND(ISBLANK($P221), ISBLANK($Q221), ISBLANK($R221))), "No", "Yes")</f>
        <v>No</v>
      </c>
      <c r="T221" s="42" t="str">
        <f aca="false">SUBSTITUTE($U221," ","")</f>
        <v>23331A109</v>
      </c>
      <c r="U221" s="42" t="s">
        <v>319</v>
      </c>
      <c r="V221" s="39" t="n">
        <v>59800</v>
      </c>
    </row>
    <row r="222" customFormat="false" ht="15" hidden="false" customHeight="false" outlineLevel="0" collapsed="false">
      <c r="B222" s="70" t="s">
        <v>321</v>
      </c>
      <c r="C222" s="71" t="str">
        <f aca="false">IFERROR(INDEX('13F Data'!A:A,MATCH($B222,'13F Data'!A:A,0)),"No CUSIP Match")</f>
        <v>No CUSIP Match</v>
      </c>
      <c r="D222" s="71" t="str">
        <f aca="false">IFERROR(IF($B222=$C222,"Yes","No"),"No CUSIP Match")</f>
        <v>No</v>
      </c>
      <c r="E222" s="71"/>
      <c r="F222" s="71" t="str">
        <f aca="false">IFERROR(INDEX('13F Data'!C:C, MATCH($B222,'13F Data'!A:A,0)),"No CUSIP Match")</f>
        <v>No CUSIP Match</v>
      </c>
      <c r="G222" s="72" t="str">
        <f aca="false">IFERROR(INDEX('13F Data'!D:D,MATCH($B222,'13F Data'!A:A,0)),"No CUSIP Match")</f>
        <v>No CUSIP Match</v>
      </c>
      <c r="J222" s="73" t="n">
        <f aca="false">$V222</f>
        <v>8967</v>
      </c>
      <c r="K222" s="71" t="str">
        <f aca="false">IFERROR(INDEX('EOD Data'!G:G, MATCH($A222, 'EOD Data'!B:B,0)), "No TKR Match")</f>
        <v>No TKR Match</v>
      </c>
      <c r="L222" s="71" t="str">
        <f aca="false">IFERROR(ROUND($J222*$K222,0),"Error")</f>
        <v>Error</v>
      </c>
      <c r="M222" s="71" t="str">
        <f aca="false">IFERROR(IF(AND($J222&lt;10000,$L222&lt;200000),"Yes","No"),"Error")</f>
        <v>No</v>
      </c>
      <c r="P222" s="42" t="str">
        <f aca="false">IF($N222="SOLE",$J222,"")</f>
        <v/>
      </c>
      <c r="Q222" s="42" t="str">
        <f aca="false">IFERROR(IF($N222="Sole",0,IF(AND($N222="OTR",$R222=0),$J222-$P222,IF(AND($N222="OTR", $R222&gt;0), $J222-$P222-$Q222, ""))),"")</f>
        <v/>
      </c>
      <c r="R222" s="42" t="str">
        <f aca="false">IF($P222=$J222, "0","")</f>
        <v/>
      </c>
      <c r="S222" s="42" t="str">
        <f aca="false">IF(OR(ISBLANK($B222),ISBLANK($C222), ISBLANK($E222), ISBLANK($F222), AND(ISBLANK($G222),ISBLANK($H222)), ISBLANK($I222), ISBLANK($L222), AND(ISBLANK($N222), ISBLANK($O222)), AND(ISBLANK($P222), ISBLANK($Q222), ISBLANK($R222))), "No", "Yes")</f>
        <v>No</v>
      </c>
      <c r="T222" s="42" t="str">
        <f aca="false">SUBSTITUTE($U222," ","")</f>
        <v>26441C204</v>
      </c>
      <c r="U222" s="42" t="s">
        <v>321</v>
      </c>
      <c r="V222" s="39" t="n">
        <v>8967</v>
      </c>
    </row>
    <row r="223" customFormat="false" ht="15" hidden="false" customHeight="false" outlineLevel="0" collapsed="false">
      <c r="B223" s="70" t="s">
        <v>321</v>
      </c>
      <c r="C223" s="71" t="str">
        <f aca="false">IFERROR(INDEX('13F Data'!A:A,MATCH($B223,'13F Data'!A:A,0)),"No CUSIP Match")</f>
        <v>No CUSIP Match</v>
      </c>
      <c r="D223" s="71" t="str">
        <f aca="false">IFERROR(IF($B223=$C223,"Yes","No"),"No CUSIP Match")</f>
        <v>No</v>
      </c>
      <c r="E223" s="71"/>
      <c r="F223" s="71" t="str">
        <f aca="false">IFERROR(INDEX('13F Data'!C:C, MATCH($B223,'13F Data'!A:A,0)),"No CUSIP Match")</f>
        <v>No CUSIP Match</v>
      </c>
      <c r="G223" s="72" t="str">
        <f aca="false">IFERROR(INDEX('13F Data'!D:D,MATCH($B223,'13F Data'!A:A,0)),"No CUSIP Match")</f>
        <v>No CUSIP Match</v>
      </c>
      <c r="J223" s="73" t="n">
        <f aca="false">$V223</f>
        <v>9100</v>
      </c>
      <c r="K223" s="71" t="str">
        <f aca="false">IFERROR(INDEX('EOD Data'!G:G, MATCH($A223, 'EOD Data'!B:B,0)), "No TKR Match")</f>
        <v>No TKR Match</v>
      </c>
      <c r="L223" s="71" t="str">
        <f aca="false">IFERROR(ROUND($J223*$K223,0),"Error")</f>
        <v>Error</v>
      </c>
      <c r="M223" s="71" t="str">
        <f aca="false">IFERROR(IF(AND($J223&lt;10000,$L223&lt;200000),"Yes","No"),"Error")</f>
        <v>No</v>
      </c>
      <c r="P223" s="42" t="str">
        <f aca="false">IF($N223="SOLE",$J223,"")</f>
        <v/>
      </c>
      <c r="Q223" s="42" t="str">
        <f aca="false">IFERROR(IF($N223="Sole",0,IF(AND($N223="OTR",$R223=0),$J223-$P223,IF(AND($N223="OTR", $R223&gt;0), $J223-$P223-$Q223, ""))),"")</f>
        <v/>
      </c>
      <c r="R223" s="42" t="str">
        <f aca="false">IF($P223=$J223, "0","")</f>
        <v/>
      </c>
      <c r="S223" s="42" t="str">
        <f aca="false">IF(OR(ISBLANK($B223),ISBLANK($C223), ISBLANK($E223), ISBLANK($F223), AND(ISBLANK($G223),ISBLANK($H223)), ISBLANK($I223), ISBLANK($L223), AND(ISBLANK($N223), ISBLANK($O223)), AND(ISBLANK($P223), ISBLANK($Q223), ISBLANK($R223))), "No", "Yes")</f>
        <v>No</v>
      </c>
      <c r="T223" s="42" t="str">
        <f aca="false">SUBSTITUTE($U223," ","")</f>
        <v>26441C204</v>
      </c>
      <c r="U223" s="42" t="s">
        <v>321</v>
      </c>
      <c r="V223" s="39" t="n">
        <v>9100</v>
      </c>
    </row>
    <row r="224" customFormat="false" ht="15" hidden="false" customHeight="false" outlineLevel="0" collapsed="false">
      <c r="B224" s="70" t="s">
        <v>321</v>
      </c>
      <c r="C224" s="71" t="str">
        <f aca="false">IFERROR(INDEX('13F Data'!A:A,MATCH($B224,'13F Data'!A:A,0)),"No CUSIP Match")</f>
        <v>No CUSIP Match</v>
      </c>
      <c r="D224" s="71" t="str">
        <f aca="false">IFERROR(IF($B224=$C224,"Yes","No"),"No CUSIP Match")</f>
        <v>No</v>
      </c>
      <c r="E224" s="71"/>
      <c r="F224" s="71" t="str">
        <f aca="false">IFERROR(INDEX('13F Data'!C:C, MATCH($B224,'13F Data'!A:A,0)),"No CUSIP Match")</f>
        <v>No CUSIP Match</v>
      </c>
      <c r="G224" s="72" t="str">
        <f aca="false">IFERROR(INDEX('13F Data'!D:D,MATCH($B224,'13F Data'!A:A,0)),"No CUSIP Match")</f>
        <v>No CUSIP Match</v>
      </c>
      <c r="J224" s="73" t="n">
        <f aca="false">$V224</f>
        <v>30900</v>
      </c>
      <c r="K224" s="71" t="str">
        <f aca="false">IFERROR(INDEX('EOD Data'!G:G, MATCH($A224, 'EOD Data'!B:B,0)), "No TKR Match")</f>
        <v>No TKR Match</v>
      </c>
      <c r="L224" s="71" t="str">
        <f aca="false">IFERROR(ROUND($J224*$K224,0),"Error")</f>
        <v>Error</v>
      </c>
      <c r="M224" s="71" t="str">
        <f aca="false">IFERROR(IF(AND($J224&lt;10000,$L224&lt;200000),"Yes","No"),"Error")</f>
        <v>No</v>
      </c>
      <c r="P224" s="42" t="str">
        <f aca="false">IF($N224="SOLE",$J224,"")</f>
        <v/>
      </c>
      <c r="Q224" s="42" t="str">
        <f aca="false">IFERROR(IF($N224="Sole",0,IF(AND($N224="OTR",$R224=0),$J224-$P224,IF(AND($N224="OTR", $R224&gt;0), $J224-$P224-$Q224, ""))),"")</f>
        <v/>
      </c>
      <c r="R224" s="42" t="str">
        <f aca="false">IF($P224=$J224, "0","")</f>
        <v/>
      </c>
      <c r="S224" s="42" t="str">
        <f aca="false">IF(OR(ISBLANK($B224),ISBLANK($C224), ISBLANK($E224), ISBLANK($F224), AND(ISBLANK($G224),ISBLANK($H224)), ISBLANK($I224), ISBLANK($L224), AND(ISBLANK($N224), ISBLANK($O224)), AND(ISBLANK($P224), ISBLANK($Q224), ISBLANK($R224))), "No", "Yes")</f>
        <v>No</v>
      </c>
      <c r="T224" s="42" t="str">
        <f aca="false">SUBSTITUTE($U224," ","")</f>
        <v>26441C204</v>
      </c>
      <c r="U224" s="42" t="s">
        <v>321</v>
      </c>
      <c r="V224" s="39" t="n">
        <v>30900</v>
      </c>
    </row>
    <row r="225" customFormat="false" ht="15" hidden="false" customHeight="false" outlineLevel="0" collapsed="false">
      <c r="B225" s="70" t="s">
        <v>323</v>
      </c>
      <c r="C225" s="71" t="str">
        <f aca="false">IFERROR(INDEX('13F Data'!A:A,MATCH($B225,'13F Data'!A:A,0)),"No CUSIP Match")</f>
        <v>No CUSIP Match</v>
      </c>
      <c r="D225" s="71" t="str">
        <f aca="false">IFERROR(IF($B225=$C225,"Yes","No"),"No CUSIP Match")</f>
        <v>No</v>
      </c>
      <c r="E225" s="71"/>
      <c r="F225" s="71" t="str">
        <f aca="false">IFERROR(INDEX('13F Data'!C:C, MATCH($B225,'13F Data'!A:A,0)),"No CUSIP Match")</f>
        <v>No CUSIP Match</v>
      </c>
      <c r="G225" s="72" t="str">
        <f aca="false">IFERROR(INDEX('13F Data'!D:D,MATCH($B225,'13F Data'!A:A,0)),"No CUSIP Match")</f>
        <v>No CUSIP Match</v>
      </c>
      <c r="J225" s="73" t="n">
        <f aca="false">$V225</f>
        <v>5500000</v>
      </c>
      <c r="K225" s="71" t="str">
        <f aca="false">IFERROR(INDEX('EOD Data'!G:G, MATCH($A225, 'EOD Data'!B:B,0)), "No TKR Match")</f>
        <v>No TKR Match</v>
      </c>
      <c r="L225" s="71" t="str">
        <f aca="false">IFERROR(ROUND($J225*$K225,0),"Error")</f>
        <v>Error</v>
      </c>
      <c r="M225" s="71" t="str">
        <f aca="false">IFERROR(IF(AND($J225&lt;10000,$L225&lt;200000),"Yes","No"),"Error")</f>
        <v>No</v>
      </c>
      <c r="P225" s="42" t="str">
        <f aca="false">IF($N225="SOLE",$J225,"")</f>
        <v/>
      </c>
      <c r="Q225" s="42" t="str">
        <f aca="false">IFERROR(IF($N225="Sole",0,IF(AND($N225="OTR",$R225=0),$J225-$P225,IF(AND($N225="OTR", $R225&gt;0), $J225-$P225-$Q225, ""))),"")</f>
        <v/>
      </c>
      <c r="R225" s="42" t="str">
        <f aca="false">IF($P225=$J225, "0","")</f>
        <v/>
      </c>
      <c r="S225" s="42" t="str">
        <f aca="false">IF(OR(ISBLANK($B225),ISBLANK($C225), ISBLANK($E225), ISBLANK($F225), AND(ISBLANK($G225),ISBLANK($H225)), ISBLANK($I225), ISBLANK($L225), AND(ISBLANK($N225), ISBLANK($O225)), AND(ISBLANK($P225), ISBLANK($Q225), ISBLANK($R225))), "No", "Yes")</f>
        <v>No</v>
      </c>
      <c r="T225" s="42" t="str">
        <f aca="false">SUBSTITUTE($U225," ","")</f>
        <v>268158AD4</v>
      </c>
      <c r="U225" s="42" t="s">
        <v>323</v>
      </c>
      <c r="V225" s="39" t="n">
        <v>5500000</v>
      </c>
    </row>
    <row r="226" customFormat="false" ht="15" hidden="false" customHeight="false" outlineLevel="0" collapsed="false">
      <c r="B226" s="70" t="s">
        <v>325</v>
      </c>
      <c r="C226" s="71" t="str">
        <f aca="false">IFERROR(INDEX('13F Data'!A:A,MATCH($B226,'13F Data'!A:A,0)),"No CUSIP Match")</f>
        <v>No CUSIP Match</v>
      </c>
      <c r="D226" s="71" t="str">
        <f aca="false">IFERROR(IF($B226=$C226,"Yes","No"),"No CUSIP Match")</f>
        <v>No</v>
      </c>
      <c r="E226" s="71"/>
      <c r="F226" s="71" t="str">
        <f aca="false">IFERROR(INDEX('13F Data'!C:C, MATCH($B226,'13F Data'!A:A,0)),"No CUSIP Match")</f>
        <v>No CUSIP Match</v>
      </c>
      <c r="G226" s="72" t="str">
        <f aca="false">IFERROR(INDEX('13F Data'!D:D,MATCH($B226,'13F Data'!A:A,0)),"No CUSIP Match")</f>
        <v>No CUSIP Match</v>
      </c>
      <c r="J226" s="73" t="n">
        <f aca="false">$V226</f>
        <v>12500</v>
      </c>
      <c r="K226" s="71" t="str">
        <f aca="false">IFERROR(INDEX('EOD Data'!G:G, MATCH($A226, 'EOD Data'!B:B,0)), "No TKR Match")</f>
        <v>No TKR Match</v>
      </c>
      <c r="L226" s="71" t="str">
        <f aca="false">IFERROR(ROUND($J226*$K226,0),"Error")</f>
        <v>Error</v>
      </c>
      <c r="M226" s="71" t="str">
        <f aca="false">IFERROR(IF(AND($J226&lt;10000,$L226&lt;200000),"Yes","No"),"Error")</f>
        <v>No</v>
      </c>
      <c r="P226" s="42" t="str">
        <f aca="false">IF($N226="SOLE",$J226,"")</f>
        <v/>
      </c>
      <c r="Q226" s="42" t="str">
        <f aca="false">IFERROR(IF($N226="Sole",0,IF(AND($N226="OTR",$R226=0),$J226-$P226,IF(AND($N226="OTR", $R226&gt;0), $J226-$P226-$Q226, ""))),"")</f>
        <v/>
      </c>
      <c r="R226" s="42" t="str">
        <f aca="false">IF($P226=$J226, "0","")</f>
        <v/>
      </c>
      <c r="S226" s="42" t="str">
        <f aca="false">IF(OR(ISBLANK($B226),ISBLANK($C226), ISBLANK($E226), ISBLANK($F226), AND(ISBLANK($G226),ISBLANK($H226)), ISBLANK($I226), ISBLANK($L226), AND(ISBLANK($N226), ISBLANK($O226)), AND(ISBLANK($P226), ISBLANK($Q226), ISBLANK($R226))), "No", "Yes")</f>
        <v>No</v>
      </c>
      <c r="T226" s="42" t="str">
        <f aca="false">SUBSTITUTE($U226," ","")</f>
        <v>00B8KQN82</v>
      </c>
      <c r="U226" s="42" t="s">
        <v>325</v>
      </c>
      <c r="V226" s="39" t="n">
        <v>12500</v>
      </c>
    </row>
    <row r="227" customFormat="false" ht="15" hidden="false" customHeight="false" outlineLevel="0" collapsed="false">
      <c r="B227" s="70" t="s">
        <v>325</v>
      </c>
      <c r="C227" s="71" t="str">
        <f aca="false">IFERROR(INDEX('13F Data'!A:A,MATCH($B227,'13F Data'!A:A,0)),"No CUSIP Match")</f>
        <v>No CUSIP Match</v>
      </c>
      <c r="D227" s="71" t="str">
        <f aca="false">IFERROR(IF($B227=$C227,"Yes","No"),"No CUSIP Match")</f>
        <v>No</v>
      </c>
      <c r="E227" s="71"/>
      <c r="F227" s="71" t="str">
        <f aca="false">IFERROR(INDEX('13F Data'!C:C, MATCH($B227,'13F Data'!A:A,0)),"No CUSIP Match")</f>
        <v>No CUSIP Match</v>
      </c>
      <c r="G227" s="72" t="str">
        <f aca="false">IFERROR(INDEX('13F Data'!D:D,MATCH($B227,'13F Data'!A:A,0)),"No CUSIP Match")</f>
        <v>No CUSIP Match</v>
      </c>
      <c r="J227" s="73" t="n">
        <f aca="false">$V227</f>
        <v>12500</v>
      </c>
      <c r="K227" s="71" t="str">
        <f aca="false">IFERROR(INDEX('EOD Data'!G:G, MATCH($A227, 'EOD Data'!B:B,0)), "No TKR Match")</f>
        <v>No TKR Match</v>
      </c>
      <c r="L227" s="71" t="str">
        <f aca="false">IFERROR(ROUND($J227*$K227,0),"Error")</f>
        <v>Error</v>
      </c>
      <c r="M227" s="71" t="str">
        <f aca="false">IFERROR(IF(AND($J227&lt;10000,$L227&lt;200000),"Yes","No"),"Error")</f>
        <v>No</v>
      </c>
      <c r="P227" s="42" t="str">
        <f aca="false">IF($N227="SOLE",$J227,"")</f>
        <v/>
      </c>
      <c r="Q227" s="42" t="str">
        <f aca="false">IFERROR(IF($N227="Sole",0,IF(AND($N227="OTR",$R227=0),$J227-$P227,IF(AND($N227="OTR", $R227&gt;0), $J227-$P227-$Q227, ""))),"")</f>
        <v/>
      </c>
      <c r="R227" s="42" t="str">
        <f aca="false">IF($P227=$J227, "0","")</f>
        <v/>
      </c>
      <c r="S227" s="42" t="str">
        <f aca="false">IF(OR(ISBLANK($B227),ISBLANK($C227), ISBLANK($E227), ISBLANK($F227), AND(ISBLANK($G227),ISBLANK($H227)), ISBLANK($I227), ISBLANK($L227), AND(ISBLANK($N227), ISBLANK($O227)), AND(ISBLANK($P227), ISBLANK($Q227), ISBLANK($R227))), "No", "Yes")</f>
        <v>No</v>
      </c>
      <c r="T227" s="42" t="str">
        <f aca="false">SUBSTITUTE($U227," ","")</f>
        <v>00B8KQN82</v>
      </c>
      <c r="U227" s="42" t="s">
        <v>325</v>
      </c>
      <c r="V227" s="39" t="n">
        <v>12500</v>
      </c>
    </row>
    <row r="228" customFormat="false" ht="15" hidden="false" customHeight="false" outlineLevel="0" collapsed="false">
      <c r="B228" s="70" t="s">
        <v>327</v>
      </c>
      <c r="C228" s="71" t="str">
        <f aca="false">IFERROR(INDEX('13F Data'!A:A,MATCH($B228,'13F Data'!A:A,0)),"No CUSIP Match")</f>
        <v>No CUSIP Match</v>
      </c>
      <c r="D228" s="71" t="str">
        <f aca="false">IFERROR(IF($B228=$C228,"Yes","No"),"No CUSIP Match")</f>
        <v>No</v>
      </c>
      <c r="E228" s="71"/>
      <c r="F228" s="71" t="str">
        <f aca="false">IFERROR(INDEX('13F Data'!C:C, MATCH($B228,'13F Data'!A:A,0)),"No CUSIP Match")</f>
        <v>No CUSIP Match</v>
      </c>
      <c r="G228" s="72" t="str">
        <f aca="false">IFERROR(INDEX('13F Data'!D:D,MATCH($B228,'13F Data'!A:A,0)),"No CUSIP Match")</f>
        <v>No CUSIP Match</v>
      </c>
      <c r="J228" s="73" t="n">
        <f aca="false">$V228</f>
        <v>994</v>
      </c>
      <c r="K228" s="71" t="str">
        <f aca="false">IFERROR(INDEX('EOD Data'!G:G, MATCH($A228, 'EOD Data'!B:B,0)), "No TKR Match")</f>
        <v>No TKR Match</v>
      </c>
      <c r="L228" s="71" t="str">
        <f aca="false">IFERROR(ROUND($J228*$K228,0),"Error")</f>
        <v>Error</v>
      </c>
      <c r="M228" s="71" t="str">
        <f aca="false">IFERROR(IF(AND($J228&lt;10000,$L228&lt;200000),"Yes","No"),"Error")</f>
        <v>No</v>
      </c>
      <c r="P228" s="42" t="str">
        <f aca="false">IF($N228="SOLE",$J228,"")</f>
        <v/>
      </c>
      <c r="Q228" s="42" t="str">
        <f aca="false">IFERROR(IF($N228="Sole",0,IF(AND($N228="OTR",$R228=0),$J228-$P228,IF(AND($N228="OTR", $R228&gt;0), $J228-$P228-$Q228, ""))),"")</f>
        <v/>
      </c>
      <c r="R228" s="42" t="str">
        <f aca="false">IF($P228=$J228, "0","")</f>
        <v/>
      </c>
      <c r="S228" s="42" t="str">
        <f aca="false">IF(OR(ISBLANK($B228),ISBLANK($C228), ISBLANK($E228), ISBLANK($F228), AND(ISBLANK($G228),ISBLANK($H228)), ISBLANK($I228), ISBLANK($L228), AND(ISBLANK($N228), ISBLANK($O228)), AND(ISBLANK($P228), ISBLANK($Q228), ISBLANK($R228))), "No", "Yes")</f>
        <v>No</v>
      </c>
      <c r="T228" s="42" t="str">
        <f aca="false">SUBSTITUTE($U228," ","")</f>
        <v>278642103</v>
      </c>
      <c r="U228" s="42" t="s">
        <v>327</v>
      </c>
      <c r="V228" s="39" t="n">
        <v>994</v>
      </c>
    </row>
    <row r="229" customFormat="false" ht="15" hidden="false" customHeight="false" outlineLevel="0" collapsed="false">
      <c r="B229" s="70" t="s">
        <v>327</v>
      </c>
      <c r="C229" s="71" t="str">
        <f aca="false">IFERROR(INDEX('13F Data'!A:A,MATCH($B229,'13F Data'!A:A,0)),"No CUSIP Match")</f>
        <v>No CUSIP Match</v>
      </c>
      <c r="D229" s="71" t="str">
        <f aca="false">IFERROR(IF($B229=$C229,"Yes","No"),"No CUSIP Match")</f>
        <v>No</v>
      </c>
      <c r="E229" s="71"/>
      <c r="F229" s="71" t="str">
        <f aca="false">IFERROR(INDEX('13F Data'!C:C, MATCH($B229,'13F Data'!A:A,0)),"No CUSIP Match")</f>
        <v>No CUSIP Match</v>
      </c>
      <c r="G229" s="72" t="str">
        <f aca="false">IFERROR(INDEX('13F Data'!D:D,MATCH($B229,'13F Data'!A:A,0)),"No CUSIP Match")</f>
        <v>No CUSIP Match</v>
      </c>
      <c r="J229" s="73" t="n">
        <f aca="false">$V229</f>
        <v>9600</v>
      </c>
      <c r="K229" s="71" t="str">
        <f aca="false">IFERROR(INDEX('EOD Data'!G:G, MATCH($A229, 'EOD Data'!B:B,0)), "No TKR Match")</f>
        <v>No TKR Match</v>
      </c>
      <c r="L229" s="71" t="str">
        <f aca="false">IFERROR(ROUND($J229*$K229,0),"Error")</f>
        <v>Error</v>
      </c>
      <c r="M229" s="71" t="str">
        <f aca="false">IFERROR(IF(AND($J229&lt;10000,$L229&lt;200000),"Yes","No"),"Error")</f>
        <v>No</v>
      </c>
      <c r="P229" s="42" t="str">
        <f aca="false">IF($N229="SOLE",$J229,"")</f>
        <v/>
      </c>
      <c r="Q229" s="42" t="str">
        <f aca="false">IFERROR(IF($N229="Sole",0,IF(AND($N229="OTR",$R229=0),$J229-$P229,IF(AND($N229="OTR", $R229&gt;0), $J229-$P229-$Q229, ""))),"")</f>
        <v/>
      </c>
      <c r="R229" s="42" t="str">
        <f aca="false">IF($P229=$J229, "0","")</f>
        <v/>
      </c>
      <c r="S229" s="42" t="str">
        <f aca="false">IF(OR(ISBLANK($B229),ISBLANK($C229), ISBLANK($E229), ISBLANK($F229), AND(ISBLANK($G229),ISBLANK($H229)), ISBLANK($I229), ISBLANK($L229), AND(ISBLANK($N229), ISBLANK($O229)), AND(ISBLANK($P229), ISBLANK($Q229), ISBLANK($R229))), "No", "Yes")</f>
        <v>No</v>
      </c>
      <c r="T229" s="42" t="str">
        <f aca="false">SUBSTITUTE($U229," ","")</f>
        <v>278642103</v>
      </c>
      <c r="U229" s="42" t="s">
        <v>327</v>
      </c>
      <c r="V229" s="39" t="n">
        <v>9600</v>
      </c>
    </row>
    <row r="230" customFormat="false" ht="15" hidden="false" customHeight="false" outlineLevel="0" collapsed="false">
      <c r="B230" s="70" t="s">
        <v>327</v>
      </c>
      <c r="C230" s="71" t="str">
        <f aca="false">IFERROR(INDEX('13F Data'!A:A,MATCH($B230,'13F Data'!A:A,0)),"No CUSIP Match")</f>
        <v>No CUSIP Match</v>
      </c>
      <c r="D230" s="71" t="str">
        <f aca="false">IFERROR(IF($B230=$C230,"Yes","No"),"No CUSIP Match")</f>
        <v>No</v>
      </c>
      <c r="E230" s="71"/>
      <c r="F230" s="71" t="str">
        <f aca="false">IFERROR(INDEX('13F Data'!C:C, MATCH($B230,'13F Data'!A:A,0)),"No CUSIP Match")</f>
        <v>No CUSIP Match</v>
      </c>
      <c r="G230" s="72" t="str">
        <f aca="false">IFERROR(INDEX('13F Data'!D:D,MATCH($B230,'13F Data'!A:A,0)),"No CUSIP Match")</f>
        <v>No CUSIP Match</v>
      </c>
      <c r="J230" s="73" t="n">
        <f aca="false">$V230</f>
        <v>9600</v>
      </c>
      <c r="K230" s="71" t="str">
        <f aca="false">IFERROR(INDEX('EOD Data'!G:G, MATCH($A230, 'EOD Data'!B:B,0)), "No TKR Match")</f>
        <v>No TKR Match</v>
      </c>
      <c r="L230" s="71" t="str">
        <f aca="false">IFERROR(ROUND($J230*$K230,0),"Error")</f>
        <v>Error</v>
      </c>
      <c r="M230" s="71" t="str">
        <f aca="false">IFERROR(IF(AND($J230&lt;10000,$L230&lt;200000),"Yes","No"),"Error")</f>
        <v>No</v>
      </c>
      <c r="P230" s="42" t="str">
        <f aca="false">IF($N230="SOLE",$J230,"")</f>
        <v/>
      </c>
      <c r="Q230" s="42" t="str">
        <f aca="false">IFERROR(IF($N230="Sole",0,IF(AND($N230="OTR",$R230=0),$J230-$P230,IF(AND($N230="OTR", $R230&gt;0), $J230-$P230-$Q230, ""))),"")</f>
        <v/>
      </c>
      <c r="R230" s="42" t="str">
        <f aca="false">IF($P230=$J230, "0","")</f>
        <v/>
      </c>
      <c r="S230" s="42" t="str">
        <f aca="false">IF(OR(ISBLANK($B230),ISBLANK($C230), ISBLANK($E230), ISBLANK($F230), AND(ISBLANK($G230),ISBLANK($H230)), ISBLANK($I230), ISBLANK($L230), AND(ISBLANK($N230), ISBLANK($O230)), AND(ISBLANK($P230), ISBLANK($Q230), ISBLANK($R230))), "No", "Yes")</f>
        <v>No</v>
      </c>
      <c r="T230" s="42" t="str">
        <f aca="false">SUBSTITUTE($U230," ","")</f>
        <v>278642103</v>
      </c>
      <c r="U230" s="42" t="s">
        <v>327</v>
      </c>
      <c r="V230" s="39" t="n">
        <v>9600</v>
      </c>
    </row>
    <row r="231" customFormat="false" ht="15" hidden="false" customHeight="false" outlineLevel="0" collapsed="false">
      <c r="B231" s="70" t="s">
        <v>329</v>
      </c>
      <c r="C231" s="71" t="str">
        <f aca="false">IFERROR(INDEX('13F Data'!A:A,MATCH($B231,'13F Data'!A:A,0)),"No CUSIP Match")</f>
        <v>No CUSIP Match</v>
      </c>
      <c r="D231" s="71" t="str">
        <f aca="false">IFERROR(IF($B231=$C231,"Yes","No"),"No CUSIP Match")</f>
        <v>No</v>
      </c>
      <c r="E231" s="71"/>
      <c r="F231" s="71" t="str">
        <f aca="false">IFERROR(INDEX('13F Data'!C:C, MATCH($B231,'13F Data'!A:A,0)),"No CUSIP Match")</f>
        <v>No CUSIP Match</v>
      </c>
      <c r="G231" s="72" t="str">
        <f aca="false">IFERROR(INDEX('13F Data'!D:D,MATCH($B231,'13F Data'!A:A,0)),"No CUSIP Match")</f>
        <v>No CUSIP Match</v>
      </c>
      <c r="J231" s="73" t="n">
        <f aca="false">$V231</f>
        <v>3000000</v>
      </c>
      <c r="K231" s="71" t="str">
        <f aca="false">IFERROR(INDEX('EOD Data'!G:G, MATCH($A231, 'EOD Data'!B:B,0)), "No TKR Match")</f>
        <v>No TKR Match</v>
      </c>
      <c r="L231" s="71" t="str">
        <f aca="false">IFERROR(ROUND($J231*$K231,0),"Error")</f>
        <v>Error</v>
      </c>
      <c r="M231" s="71" t="str">
        <f aca="false">IFERROR(IF(AND($J231&lt;10000,$L231&lt;200000),"Yes","No"),"Error")</f>
        <v>No</v>
      </c>
      <c r="P231" s="42" t="str">
        <f aca="false">IF($N231="SOLE",$J231,"")</f>
        <v/>
      </c>
      <c r="Q231" s="42" t="str">
        <f aca="false">IFERROR(IF($N231="Sole",0,IF(AND($N231="OTR",$R231=0),$J231-$P231,IF(AND($N231="OTR", $R231&gt;0), $J231-$P231-$Q231, ""))),"")</f>
        <v/>
      </c>
      <c r="R231" s="42" t="str">
        <f aca="false">IF($P231=$J231, "0","")</f>
        <v/>
      </c>
      <c r="S231" s="42" t="str">
        <f aca="false">IF(OR(ISBLANK($B231),ISBLANK($C231), ISBLANK($E231), ISBLANK($F231), AND(ISBLANK($G231),ISBLANK($H231)), ISBLANK($I231), ISBLANK($L231), AND(ISBLANK($N231), ISBLANK($O231)), AND(ISBLANK($P231), ISBLANK($Q231), ISBLANK($R231))), "No", "Yes")</f>
        <v>No</v>
      </c>
      <c r="T231" s="42" t="str">
        <f aca="false">SUBSTITUTE($U231," ","")</f>
        <v>25470MAF6</v>
      </c>
      <c r="U231" s="42" t="s">
        <v>329</v>
      </c>
      <c r="V231" s="39" t="n">
        <v>3000000</v>
      </c>
    </row>
    <row r="232" customFormat="false" ht="15" hidden="false" customHeight="false" outlineLevel="0" collapsed="false">
      <c r="B232" s="70" t="s">
        <v>331</v>
      </c>
      <c r="C232" s="71" t="str">
        <f aca="false">IFERROR(INDEX('13F Data'!A:A,MATCH($B232,'13F Data'!A:A,0)),"No CUSIP Match")</f>
        <v>No CUSIP Match</v>
      </c>
      <c r="D232" s="71" t="str">
        <f aca="false">IFERROR(IF($B232=$C232,"Yes","No"),"No CUSIP Match")</f>
        <v>No</v>
      </c>
      <c r="E232" s="71"/>
      <c r="F232" s="71" t="str">
        <f aca="false">IFERROR(INDEX('13F Data'!C:C, MATCH($B232,'13F Data'!A:A,0)),"No CUSIP Match")</f>
        <v>No CUSIP Match</v>
      </c>
      <c r="G232" s="72" t="str">
        <f aca="false">IFERROR(INDEX('13F Data'!D:D,MATCH($B232,'13F Data'!A:A,0)),"No CUSIP Match")</f>
        <v>No CUSIP Match</v>
      </c>
      <c r="J232" s="73" t="n">
        <f aca="false">$V232</f>
        <v>10</v>
      </c>
      <c r="K232" s="71" t="str">
        <f aca="false">IFERROR(INDEX('EOD Data'!G:G, MATCH($A232, 'EOD Data'!B:B,0)), "No TKR Match")</f>
        <v>No TKR Match</v>
      </c>
      <c r="L232" s="71" t="str">
        <f aca="false">IFERROR(ROUND($J232*$K232,0),"Error")</f>
        <v>Error</v>
      </c>
      <c r="M232" s="71" t="str">
        <f aca="false">IFERROR(IF(AND($J232&lt;10000,$L232&lt;200000),"Yes","No"),"Error")</f>
        <v>No</v>
      </c>
      <c r="P232" s="42" t="str">
        <f aca="false">IF($N232="SOLE",$J232,"")</f>
        <v/>
      </c>
      <c r="Q232" s="42" t="str">
        <f aca="false">IFERROR(IF($N232="Sole",0,IF(AND($N232="OTR",$R232=0),$J232-$P232,IF(AND($N232="OTR", $R232&gt;0), $J232-$P232-$Q232, ""))),"")</f>
        <v/>
      </c>
      <c r="R232" s="42" t="str">
        <f aca="false">IF($P232=$J232, "0","")</f>
        <v/>
      </c>
      <c r="S232" s="42" t="str">
        <f aca="false">IF(OR(ISBLANK($B232),ISBLANK($C232), ISBLANK($E232), ISBLANK($F232), AND(ISBLANK($G232),ISBLANK($H232)), ISBLANK($I232), ISBLANK($L232), AND(ISBLANK($N232), ISBLANK($O232)), AND(ISBLANK($P232), ISBLANK($Q232), ISBLANK($R232))), "No", "Yes")</f>
        <v>No</v>
      </c>
      <c r="T232" s="42" t="str">
        <f aca="false">SUBSTITUTE($U232," ","")</f>
        <v>036752103</v>
      </c>
      <c r="U232" s="42" t="s">
        <v>331</v>
      </c>
      <c r="V232" s="39" t="n">
        <v>10</v>
      </c>
    </row>
    <row r="233" customFormat="false" ht="15" hidden="false" customHeight="false" outlineLevel="0" collapsed="false">
      <c r="B233" s="70" t="s">
        <v>331</v>
      </c>
      <c r="C233" s="71" t="str">
        <f aca="false">IFERROR(INDEX('13F Data'!A:A,MATCH($B233,'13F Data'!A:A,0)),"No CUSIP Match")</f>
        <v>No CUSIP Match</v>
      </c>
      <c r="D233" s="71" t="str">
        <f aca="false">IFERROR(IF($B233=$C233,"Yes","No"),"No CUSIP Match")</f>
        <v>No</v>
      </c>
      <c r="E233" s="71"/>
      <c r="F233" s="71" t="str">
        <f aca="false">IFERROR(INDEX('13F Data'!C:C, MATCH($B233,'13F Data'!A:A,0)),"No CUSIP Match")</f>
        <v>No CUSIP Match</v>
      </c>
      <c r="G233" s="72" t="str">
        <f aca="false">IFERROR(INDEX('13F Data'!D:D,MATCH($B233,'13F Data'!A:A,0)),"No CUSIP Match")</f>
        <v>No CUSIP Match</v>
      </c>
      <c r="J233" s="73" t="n">
        <f aca="false">$V233</f>
        <v>200</v>
      </c>
      <c r="K233" s="71" t="str">
        <f aca="false">IFERROR(INDEX('EOD Data'!G:G, MATCH($A233, 'EOD Data'!B:B,0)), "No TKR Match")</f>
        <v>No TKR Match</v>
      </c>
      <c r="L233" s="71" t="str">
        <f aca="false">IFERROR(ROUND($J233*$K233,0),"Error")</f>
        <v>Error</v>
      </c>
      <c r="M233" s="71" t="str">
        <f aca="false">IFERROR(IF(AND($J233&lt;10000,$L233&lt;200000),"Yes","No"),"Error")</f>
        <v>No</v>
      </c>
      <c r="P233" s="42" t="str">
        <f aca="false">IF($N233="SOLE",$J233,"")</f>
        <v/>
      </c>
      <c r="Q233" s="42" t="str">
        <f aca="false">IFERROR(IF($N233="Sole",0,IF(AND($N233="OTR",$R233=0),$J233-$P233,IF(AND($N233="OTR", $R233&gt;0), $J233-$P233-$Q233, ""))),"")</f>
        <v/>
      </c>
      <c r="R233" s="42" t="str">
        <f aca="false">IF($P233=$J233, "0","")</f>
        <v/>
      </c>
      <c r="S233" s="42" t="str">
        <f aca="false">IF(OR(ISBLANK($B233),ISBLANK($C233), ISBLANK($E233), ISBLANK($F233), AND(ISBLANK($G233),ISBLANK($H233)), ISBLANK($I233), ISBLANK($L233), AND(ISBLANK($N233), ISBLANK($O233)), AND(ISBLANK($P233), ISBLANK($Q233), ISBLANK($R233))), "No", "Yes")</f>
        <v>No</v>
      </c>
      <c r="T233" s="42" t="str">
        <f aca="false">SUBSTITUTE($U233," ","")</f>
        <v>036752103</v>
      </c>
      <c r="U233" s="42" t="s">
        <v>331</v>
      </c>
      <c r="V233" s="39" t="n">
        <v>200</v>
      </c>
    </row>
    <row r="234" customFormat="false" ht="15" hidden="false" customHeight="false" outlineLevel="0" collapsed="false">
      <c r="B234" s="70" t="s">
        <v>331</v>
      </c>
      <c r="C234" s="71" t="str">
        <f aca="false">IFERROR(INDEX('13F Data'!A:A,MATCH($B234,'13F Data'!A:A,0)),"No CUSIP Match")</f>
        <v>No CUSIP Match</v>
      </c>
      <c r="D234" s="71" t="str">
        <f aca="false">IFERROR(IF($B234=$C234,"Yes","No"),"No CUSIP Match")</f>
        <v>No</v>
      </c>
      <c r="E234" s="71"/>
      <c r="F234" s="71" t="str">
        <f aca="false">IFERROR(INDEX('13F Data'!C:C, MATCH($B234,'13F Data'!A:A,0)),"No CUSIP Match")</f>
        <v>No CUSIP Match</v>
      </c>
      <c r="G234" s="72" t="str">
        <f aca="false">IFERROR(INDEX('13F Data'!D:D,MATCH($B234,'13F Data'!A:A,0)),"No CUSIP Match")</f>
        <v>No CUSIP Match</v>
      </c>
      <c r="J234" s="73" t="n">
        <f aca="false">$V234</f>
        <v>200</v>
      </c>
      <c r="K234" s="71" t="str">
        <f aca="false">IFERROR(INDEX('EOD Data'!G:G, MATCH($A234, 'EOD Data'!B:B,0)), "No TKR Match")</f>
        <v>No TKR Match</v>
      </c>
      <c r="L234" s="71" t="str">
        <f aca="false">IFERROR(ROUND($J234*$K234,0),"Error")</f>
        <v>Error</v>
      </c>
      <c r="M234" s="71" t="str">
        <f aca="false">IFERROR(IF(AND($J234&lt;10000,$L234&lt;200000),"Yes","No"),"Error")</f>
        <v>No</v>
      </c>
      <c r="P234" s="42" t="str">
        <f aca="false">IF($N234="SOLE",$J234,"")</f>
        <v/>
      </c>
      <c r="Q234" s="42" t="str">
        <f aca="false">IFERROR(IF($N234="Sole",0,IF(AND($N234="OTR",$R234=0),$J234-$P234,IF(AND($N234="OTR", $R234&gt;0), $J234-$P234-$Q234, ""))),"")</f>
        <v/>
      </c>
      <c r="R234" s="42" t="str">
        <f aca="false">IF($P234=$J234, "0","")</f>
        <v/>
      </c>
      <c r="S234" s="42" t="str">
        <f aca="false">IF(OR(ISBLANK($B234),ISBLANK($C234), ISBLANK($E234), ISBLANK($F234), AND(ISBLANK($G234),ISBLANK($H234)), ISBLANK($I234), ISBLANK($L234), AND(ISBLANK($N234), ISBLANK($O234)), AND(ISBLANK($P234), ISBLANK($Q234), ISBLANK($R234))), "No", "Yes")</f>
        <v>No</v>
      </c>
      <c r="T234" s="42" t="str">
        <f aca="false">SUBSTITUTE($U234," ","")</f>
        <v>036752103</v>
      </c>
      <c r="U234" s="42" t="s">
        <v>331</v>
      </c>
      <c r="V234" s="39" t="n">
        <v>200</v>
      </c>
    </row>
    <row r="235" customFormat="false" ht="15" hidden="false" customHeight="false" outlineLevel="0" collapsed="false">
      <c r="B235" s="70" t="s">
        <v>333</v>
      </c>
      <c r="C235" s="71" t="str">
        <f aca="false">IFERROR(INDEX('13F Data'!A:A,MATCH($B235,'13F Data'!A:A,0)),"No CUSIP Match")</f>
        <v>No CUSIP Match</v>
      </c>
      <c r="D235" s="71" t="str">
        <f aca="false">IFERROR(IF($B235=$C235,"Yes","No"),"No CUSIP Match")</f>
        <v>No</v>
      </c>
      <c r="E235" s="71"/>
      <c r="F235" s="71" t="str">
        <f aca="false">IFERROR(INDEX('13F Data'!C:C, MATCH($B235,'13F Data'!A:A,0)),"No CUSIP Match")</f>
        <v>No CUSIP Match</v>
      </c>
      <c r="G235" s="72" t="str">
        <f aca="false">IFERROR(INDEX('13F Data'!D:D,MATCH($B235,'13F Data'!A:A,0)),"No CUSIP Match")</f>
        <v>No CUSIP Match</v>
      </c>
      <c r="J235" s="73" t="n">
        <f aca="false">$V235</f>
        <v>10513</v>
      </c>
      <c r="K235" s="71" t="str">
        <f aca="false">IFERROR(INDEX('EOD Data'!G:G, MATCH($A235, 'EOD Data'!B:B,0)), "No TKR Match")</f>
        <v>No TKR Match</v>
      </c>
      <c r="L235" s="71" t="str">
        <f aca="false">IFERROR(ROUND($J235*$K235,0),"Error")</f>
        <v>Error</v>
      </c>
      <c r="M235" s="71" t="str">
        <f aca="false">IFERROR(IF(AND($J235&lt;10000,$L235&lt;200000),"Yes","No"),"Error")</f>
        <v>No</v>
      </c>
      <c r="P235" s="42" t="str">
        <f aca="false">IF($N235="SOLE",$J235,"")</f>
        <v/>
      </c>
      <c r="Q235" s="42" t="str">
        <f aca="false">IFERROR(IF($N235="Sole",0,IF(AND($N235="OTR",$R235=0),$J235-$P235,IF(AND($N235="OTR", $R235&gt;0), $J235-$P235-$Q235, ""))),"")</f>
        <v/>
      </c>
      <c r="R235" s="42" t="str">
        <f aca="false">IF($P235=$J235, "0","")</f>
        <v/>
      </c>
      <c r="S235" s="42" t="str">
        <f aca="false">IF(OR(ISBLANK($B235),ISBLANK($C235), ISBLANK($E235), ISBLANK($F235), AND(ISBLANK($G235),ISBLANK($H235)), ISBLANK($I235), ISBLANK($L235), AND(ISBLANK($N235), ISBLANK($O235)), AND(ISBLANK($P235), ISBLANK($Q235), ISBLANK($R235))), "No", "Yes")</f>
        <v>No</v>
      </c>
      <c r="T235" s="42" t="str">
        <f aca="false">SUBSTITUTE($U235," ","")</f>
        <v>26856L103</v>
      </c>
      <c r="U235" s="42" t="s">
        <v>333</v>
      </c>
      <c r="V235" s="39" t="n">
        <v>10513</v>
      </c>
    </row>
    <row r="236" customFormat="false" ht="15" hidden="false" customHeight="false" outlineLevel="0" collapsed="false">
      <c r="B236" s="70" t="s">
        <v>335</v>
      </c>
      <c r="C236" s="71" t="str">
        <f aca="false">IFERROR(INDEX('13F Data'!A:A,MATCH($B236,'13F Data'!A:A,0)),"No CUSIP Match")</f>
        <v>No CUSIP Match</v>
      </c>
      <c r="D236" s="71" t="str">
        <f aca="false">IFERROR(IF($B236=$C236,"Yes","No"),"No CUSIP Match")</f>
        <v>No</v>
      </c>
      <c r="E236" s="71"/>
      <c r="F236" s="71" t="str">
        <f aca="false">IFERROR(INDEX('13F Data'!C:C, MATCH($B236,'13F Data'!A:A,0)),"No CUSIP Match")</f>
        <v>No CUSIP Match</v>
      </c>
      <c r="G236" s="72" t="str">
        <f aca="false">IFERROR(INDEX('13F Data'!D:D,MATCH($B236,'13F Data'!A:A,0)),"No CUSIP Match")</f>
        <v>No CUSIP Match</v>
      </c>
      <c r="J236" s="73" t="n">
        <f aca="false">$V236</f>
        <v>293</v>
      </c>
      <c r="K236" s="71" t="str">
        <f aca="false">IFERROR(INDEX('EOD Data'!G:G, MATCH($A236, 'EOD Data'!B:B,0)), "No TKR Match")</f>
        <v>No TKR Match</v>
      </c>
      <c r="L236" s="71" t="str">
        <f aca="false">IFERROR(ROUND($J236*$K236,0),"Error")</f>
        <v>Error</v>
      </c>
      <c r="M236" s="71" t="str">
        <f aca="false">IFERROR(IF(AND($J236&lt;10000,$L236&lt;200000),"Yes","No"),"Error")</f>
        <v>No</v>
      </c>
      <c r="P236" s="42" t="str">
        <f aca="false">IF($N236="SOLE",$J236,"")</f>
        <v/>
      </c>
      <c r="Q236" s="42" t="str">
        <f aca="false">IFERROR(IF($N236="Sole",0,IF(AND($N236="OTR",$R236=0),$J236-$P236,IF(AND($N236="OTR", $R236&gt;0), $J236-$P236-$Q236, ""))),"")</f>
        <v/>
      </c>
      <c r="R236" s="42" t="str">
        <f aca="false">IF($P236=$J236, "0","")</f>
        <v/>
      </c>
      <c r="S236" s="42" t="str">
        <f aca="false">IF(OR(ISBLANK($B236),ISBLANK($C236), ISBLANK($E236), ISBLANK($F236), AND(ISBLANK($G236),ISBLANK($H236)), ISBLANK($I236), ISBLANK($L236), AND(ISBLANK($N236), ISBLANK($O236)), AND(ISBLANK($P236), ISBLANK($Q236), ISBLANK($R236))), "No", "Yes")</f>
        <v>No</v>
      </c>
      <c r="T236" s="42" t="str">
        <f aca="false">SUBSTITUTE($U236," ","")</f>
        <v>532457108</v>
      </c>
      <c r="U236" s="42" t="s">
        <v>335</v>
      </c>
      <c r="V236" s="39" t="n">
        <v>293</v>
      </c>
    </row>
    <row r="237" customFormat="false" ht="15" hidden="false" customHeight="false" outlineLevel="0" collapsed="false">
      <c r="B237" s="70" t="s">
        <v>335</v>
      </c>
      <c r="C237" s="71" t="str">
        <f aca="false">IFERROR(INDEX('13F Data'!A:A,MATCH($B237,'13F Data'!A:A,0)),"No CUSIP Match")</f>
        <v>No CUSIP Match</v>
      </c>
      <c r="D237" s="71" t="str">
        <f aca="false">IFERROR(IF($B237=$C237,"Yes","No"),"No CUSIP Match")</f>
        <v>No</v>
      </c>
      <c r="E237" s="71"/>
      <c r="F237" s="71" t="str">
        <f aca="false">IFERROR(INDEX('13F Data'!C:C, MATCH($B237,'13F Data'!A:A,0)),"No CUSIP Match")</f>
        <v>No CUSIP Match</v>
      </c>
      <c r="G237" s="72" t="str">
        <f aca="false">IFERROR(INDEX('13F Data'!D:D,MATCH($B237,'13F Data'!A:A,0)),"No CUSIP Match")</f>
        <v>No CUSIP Match</v>
      </c>
      <c r="J237" s="73" t="n">
        <f aca="false">$V237</f>
        <v>9600</v>
      </c>
      <c r="K237" s="71" t="str">
        <f aca="false">IFERROR(INDEX('EOD Data'!G:G, MATCH($A237, 'EOD Data'!B:B,0)), "No TKR Match")</f>
        <v>No TKR Match</v>
      </c>
      <c r="L237" s="71" t="str">
        <f aca="false">IFERROR(ROUND($J237*$K237,0),"Error")</f>
        <v>Error</v>
      </c>
      <c r="M237" s="71" t="str">
        <f aca="false">IFERROR(IF(AND($J237&lt;10000,$L237&lt;200000),"Yes","No"),"Error")</f>
        <v>No</v>
      </c>
      <c r="P237" s="42" t="str">
        <f aca="false">IF($N237="SOLE",$J237,"")</f>
        <v/>
      </c>
      <c r="Q237" s="42" t="str">
        <f aca="false">IFERROR(IF($N237="Sole",0,IF(AND($N237="OTR",$R237=0),$J237-$P237,IF(AND($N237="OTR", $R237&gt;0), $J237-$P237-$Q237, ""))),"")</f>
        <v/>
      </c>
      <c r="R237" s="42" t="str">
        <f aca="false">IF($P237=$J237, "0","")</f>
        <v/>
      </c>
      <c r="S237" s="42" t="str">
        <f aca="false">IF(OR(ISBLANK($B237),ISBLANK($C237), ISBLANK($E237), ISBLANK($F237), AND(ISBLANK($G237),ISBLANK($H237)), ISBLANK($I237), ISBLANK($L237), AND(ISBLANK($N237), ISBLANK($O237)), AND(ISBLANK($P237), ISBLANK($Q237), ISBLANK($R237))), "No", "Yes")</f>
        <v>No</v>
      </c>
      <c r="T237" s="42" t="str">
        <f aca="false">SUBSTITUTE($U237," ","")</f>
        <v>532457108</v>
      </c>
      <c r="U237" s="42" t="s">
        <v>335</v>
      </c>
      <c r="V237" s="39" t="n">
        <v>9600</v>
      </c>
    </row>
    <row r="238" customFormat="false" ht="15" hidden="false" customHeight="false" outlineLevel="0" collapsed="false">
      <c r="B238" s="70" t="s">
        <v>335</v>
      </c>
      <c r="C238" s="71" t="str">
        <f aca="false">IFERROR(INDEX('13F Data'!A:A,MATCH($B238,'13F Data'!A:A,0)),"No CUSIP Match")</f>
        <v>No CUSIP Match</v>
      </c>
      <c r="D238" s="71" t="str">
        <f aca="false">IFERROR(IF($B238=$C238,"Yes","No"),"No CUSIP Match")</f>
        <v>No</v>
      </c>
      <c r="E238" s="71"/>
      <c r="F238" s="71" t="str">
        <f aca="false">IFERROR(INDEX('13F Data'!C:C, MATCH($B238,'13F Data'!A:A,0)),"No CUSIP Match")</f>
        <v>No CUSIP Match</v>
      </c>
      <c r="G238" s="72" t="str">
        <f aca="false">IFERROR(INDEX('13F Data'!D:D,MATCH($B238,'13F Data'!A:A,0)),"No CUSIP Match")</f>
        <v>No CUSIP Match</v>
      </c>
      <c r="J238" s="73" t="n">
        <f aca="false">$V238</f>
        <v>9600</v>
      </c>
      <c r="K238" s="71" t="str">
        <f aca="false">IFERROR(INDEX('EOD Data'!G:G, MATCH($A238, 'EOD Data'!B:B,0)), "No TKR Match")</f>
        <v>No TKR Match</v>
      </c>
      <c r="L238" s="71" t="str">
        <f aca="false">IFERROR(ROUND($J238*$K238,0),"Error")</f>
        <v>Error</v>
      </c>
      <c r="M238" s="71" t="str">
        <f aca="false">IFERROR(IF(AND($J238&lt;10000,$L238&lt;200000),"Yes","No"),"Error")</f>
        <v>No</v>
      </c>
      <c r="P238" s="42" t="str">
        <f aca="false">IF($N238="SOLE",$J238,"")</f>
        <v/>
      </c>
      <c r="Q238" s="42" t="str">
        <f aca="false">IFERROR(IF($N238="Sole",0,IF(AND($N238="OTR",$R238=0),$J238-$P238,IF(AND($N238="OTR", $R238&gt;0), $J238-$P238-$Q238, ""))),"")</f>
        <v/>
      </c>
      <c r="R238" s="42" t="str">
        <f aca="false">IF($P238=$J238, "0","")</f>
        <v/>
      </c>
      <c r="S238" s="42" t="str">
        <f aca="false">IF(OR(ISBLANK($B238),ISBLANK($C238), ISBLANK($E238), ISBLANK($F238), AND(ISBLANK($G238),ISBLANK($H238)), ISBLANK($I238), ISBLANK($L238), AND(ISBLANK($N238), ISBLANK($O238)), AND(ISBLANK($P238), ISBLANK($Q238), ISBLANK($R238))), "No", "Yes")</f>
        <v>No</v>
      </c>
      <c r="T238" s="42" t="str">
        <f aca="false">SUBSTITUTE($U238," ","")</f>
        <v>532457108</v>
      </c>
      <c r="U238" s="42" t="s">
        <v>335</v>
      </c>
      <c r="V238" s="39" t="n">
        <v>9600</v>
      </c>
    </row>
    <row r="239" customFormat="false" ht="15" hidden="false" customHeight="false" outlineLevel="0" collapsed="false">
      <c r="B239" s="70" t="s">
        <v>337</v>
      </c>
      <c r="C239" s="71" t="str">
        <f aca="false">IFERROR(INDEX('13F Data'!A:A,MATCH($B239,'13F Data'!A:A,0)),"No CUSIP Match")</f>
        <v>No CUSIP Match</v>
      </c>
      <c r="D239" s="71" t="str">
        <f aca="false">IFERROR(IF($B239=$C239,"Yes","No"),"No CUSIP Match")</f>
        <v>No</v>
      </c>
      <c r="E239" s="71"/>
      <c r="F239" s="71" t="str">
        <f aca="false">IFERROR(INDEX('13F Data'!C:C, MATCH($B239,'13F Data'!A:A,0)),"No CUSIP Match")</f>
        <v>No CUSIP Match</v>
      </c>
      <c r="G239" s="72" t="str">
        <f aca="false">IFERROR(INDEX('13F Data'!D:D,MATCH($B239,'13F Data'!A:A,0)),"No CUSIP Match")</f>
        <v>No CUSIP Match</v>
      </c>
      <c r="J239" s="73" t="n">
        <f aca="false">$V239</f>
        <v>8500</v>
      </c>
      <c r="K239" s="71" t="str">
        <f aca="false">IFERROR(INDEX('EOD Data'!G:G, MATCH($A239, 'EOD Data'!B:B,0)), "No TKR Match")</f>
        <v>No TKR Match</v>
      </c>
      <c r="L239" s="71" t="str">
        <f aca="false">IFERROR(ROUND($J239*$K239,0),"Error")</f>
        <v>Error</v>
      </c>
      <c r="M239" s="71" t="str">
        <f aca="false">IFERROR(IF(AND($J239&lt;10000,$L239&lt;200000),"Yes","No"),"Error")</f>
        <v>No</v>
      </c>
      <c r="P239" s="42" t="str">
        <f aca="false">IF($N239="SOLE",$J239,"")</f>
        <v/>
      </c>
      <c r="Q239" s="42" t="str">
        <f aca="false">IFERROR(IF($N239="Sole",0,IF(AND($N239="OTR",$R239=0),$J239-$P239,IF(AND($N239="OTR", $R239&gt;0), $J239-$P239-$Q239, ""))),"")</f>
        <v/>
      </c>
      <c r="R239" s="42" t="str">
        <f aca="false">IF($P239=$J239, "0","")</f>
        <v/>
      </c>
      <c r="S239" s="42" t="str">
        <f aca="false">IF(OR(ISBLANK($B239),ISBLANK($C239), ISBLANK($E239), ISBLANK($F239), AND(ISBLANK($G239),ISBLANK($H239)), ISBLANK($I239), ISBLANK($L239), AND(ISBLANK($N239), ISBLANK($O239)), AND(ISBLANK($P239), ISBLANK($Q239), ISBLANK($R239))), "No", "Yes")</f>
        <v>No</v>
      </c>
      <c r="T239" s="42" t="str">
        <f aca="false">SUBSTITUTE($U239," ","")</f>
        <v>29084Q100</v>
      </c>
      <c r="U239" s="42" t="s">
        <v>337</v>
      </c>
      <c r="V239" s="39" t="n">
        <v>8500</v>
      </c>
    </row>
    <row r="240" customFormat="false" ht="15" hidden="false" customHeight="false" outlineLevel="0" collapsed="false">
      <c r="B240" s="70" t="s">
        <v>339</v>
      </c>
      <c r="C240" s="71" t="str">
        <f aca="false">IFERROR(INDEX('13F Data'!A:A,MATCH($B240,'13F Data'!A:A,0)),"No CUSIP Match")</f>
        <v>No CUSIP Match</v>
      </c>
      <c r="D240" s="71" t="str">
        <f aca="false">IFERROR(IF($B240=$C240,"Yes","No"),"No CUSIP Match")</f>
        <v>No</v>
      </c>
      <c r="E240" s="71"/>
      <c r="F240" s="71" t="str">
        <f aca="false">IFERROR(INDEX('13F Data'!C:C, MATCH($B240,'13F Data'!A:A,0)),"No CUSIP Match")</f>
        <v>No CUSIP Match</v>
      </c>
      <c r="G240" s="72" t="str">
        <f aca="false">IFERROR(INDEX('13F Data'!D:D,MATCH($B240,'13F Data'!A:A,0)),"No CUSIP Match")</f>
        <v>No CUSIP Match</v>
      </c>
      <c r="J240" s="73" t="n">
        <f aca="false">$V240</f>
        <v>31800</v>
      </c>
      <c r="K240" s="71" t="str">
        <f aca="false">IFERROR(INDEX('EOD Data'!G:G, MATCH($A240, 'EOD Data'!B:B,0)), "No TKR Match")</f>
        <v>No TKR Match</v>
      </c>
      <c r="L240" s="71" t="str">
        <f aca="false">IFERROR(ROUND($J240*$K240,0),"Error")</f>
        <v>Error</v>
      </c>
      <c r="M240" s="71" t="str">
        <f aca="false">IFERROR(IF(AND($J240&lt;10000,$L240&lt;200000),"Yes","No"),"Error")</f>
        <v>No</v>
      </c>
      <c r="P240" s="42" t="str">
        <f aca="false">IF($N240="SOLE",$J240,"")</f>
        <v/>
      </c>
      <c r="Q240" s="42" t="str">
        <f aca="false">IFERROR(IF($N240="Sole",0,IF(AND($N240="OTR",$R240=0),$J240-$P240,IF(AND($N240="OTR", $R240&gt;0), $J240-$P240-$Q240, ""))),"")</f>
        <v/>
      </c>
      <c r="R240" s="42" t="str">
        <f aca="false">IF($P240=$J240, "0","")</f>
        <v/>
      </c>
      <c r="S240" s="42" t="str">
        <f aca="false">IF(OR(ISBLANK($B240),ISBLANK($C240), ISBLANK($E240), ISBLANK($F240), AND(ISBLANK($G240),ISBLANK($H240)), ISBLANK($I240), ISBLANK($L240), AND(ISBLANK($N240), ISBLANK($O240)), AND(ISBLANK($P240), ISBLANK($Q240), ISBLANK($R240))), "No", "Yes")</f>
        <v>No</v>
      </c>
      <c r="T240" s="42" t="str">
        <f aca="false">SUBSTITUTE($U240," ","")</f>
        <v>81369Y506</v>
      </c>
      <c r="U240" s="42" t="s">
        <v>339</v>
      </c>
      <c r="V240" s="39" t="n">
        <v>31800</v>
      </c>
    </row>
    <row r="241" customFormat="false" ht="15" hidden="false" customHeight="false" outlineLevel="0" collapsed="false">
      <c r="B241" s="70" t="s">
        <v>339</v>
      </c>
      <c r="C241" s="71" t="str">
        <f aca="false">IFERROR(INDEX('13F Data'!A:A,MATCH($B241,'13F Data'!A:A,0)),"No CUSIP Match")</f>
        <v>No CUSIP Match</v>
      </c>
      <c r="D241" s="71" t="str">
        <f aca="false">IFERROR(IF($B241=$C241,"Yes","No"),"No CUSIP Match")</f>
        <v>No</v>
      </c>
      <c r="E241" s="71"/>
      <c r="F241" s="71" t="str">
        <f aca="false">IFERROR(INDEX('13F Data'!C:C, MATCH($B241,'13F Data'!A:A,0)),"No CUSIP Match")</f>
        <v>No CUSIP Match</v>
      </c>
      <c r="G241" s="72" t="str">
        <f aca="false">IFERROR(INDEX('13F Data'!D:D,MATCH($B241,'13F Data'!A:A,0)),"No CUSIP Match")</f>
        <v>No CUSIP Match</v>
      </c>
      <c r="J241" s="73" t="n">
        <f aca="false">$V241</f>
        <v>31800</v>
      </c>
      <c r="K241" s="71" t="str">
        <f aca="false">IFERROR(INDEX('EOD Data'!G:G, MATCH($A241, 'EOD Data'!B:B,0)), "No TKR Match")</f>
        <v>No TKR Match</v>
      </c>
      <c r="L241" s="71" t="str">
        <f aca="false">IFERROR(ROUND($J241*$K241,0),"Error")</f>
        <v>Error</v>
      </c>
      <c r="M241" s="71" t="str">
        <f aca="false">IFERROR(IF(AND($J241&lt;10000,$L241&lt;200000),"Yes","No"),"Error")</f>
        <v>No</v>
      </c>
      <c r="P241" s="42" t="str">
        <f aca="false">IF($N241="SOLE",$J241,"")</f>
        <v/>
      </c>
      <c r="Q241" s="42" t="str">
        <f aca="false">IFERROR(IF($N241="Sole",0,IF(AND($N241="OTR",$R241=0),$J241-$P241,IF(AND($N241="OTR", $R241&gt;0), $J241-$P241-$Q241, ""))),"")</f>
        <v/>
      </c>
      <c r="R241" s="42" t="str">
        <f aca="false">IF($P241=$J241, "0","")</f>
        <v/>
      </c>
      <c r="S241" s="42" t="str">
        <f aca="false">IF(OR(ISBLANK($B241),ISBLANK($C241), ISBLANK($E241), ISBLANK($F241), AND(ISBLANK($G241),ISBLANK($H241)), ISBLANK($I241), ISBLANK($L241), AND(ISBLANK($N241), ISBLANK($O241)), AND(ISBLANK($P241), ISBLANK($Q241), ISBLANK($R241))), "No", "Yes")</f>
        <v>No</v>
      </c>
      <c r="T241" s="42" t="str">
        <f aca="false">SUBSTITUTE($U241," ","")</f>
        <v>81369Y506</v>
      </c>
      <c r="U241" s="42" t="s">
        <v>339</v>
      </c>
      <c r="V241" s="39" t="n">
        <v>31800</v>
      </c>
    </row>
    <row r="242" customFormat="false" ht="15" hidden="false" customHeight="false" outlineLevel="0" collapsed="false">
      <c r="B242" s="70" t="s">
        <v>341</v>
      </c>
      <c r="C242" s="71" t="str">
        <f aca="false">IFERROR(INDEX('13F Data'!A:A,MATCH($B242,'13F Data'!A:A,0)),"No CUSIP Match")</f>
        <v>No CUSIP Match</v>
      </c>
      <c r="D242" s="71" t="str">
        <f aca="false">IFERROR(IF($B242=$C242,"Yes","No"),"No CUSIP Match")</f>
        <v>No</v>
      </c>
      <c r="E242" s="71"/>
      <c r="F242" s="71" t="str">
        <f aca="false">IFERROR(INDEX('13F Data'!C:C, MATCH($B242,'13F Data'!A:A,0)),"No CUSIP Match")</f>
        <v>No CUSIP Match</v>
      </c>
      <c r="G242" s="72" t="str">
        <f aca="false">IFERROR(INDEX('13F Data'!D:D,MATCH($B242,'13F Data'!A:A,0)),"No CUSIP Match")</f>
        <v>No CUSIP Match</v>
      </c>
      <c r="J242" s="73" t="n">
        <f aca="false">$V242</f>
        <v>108813</v>
      </c>
      <c r="K242" s="71" t="str">
        <f aca="false">IFERROR(INDEX('EOD Data'!G:G, MATCH($A242, 'EOD Data'!B:B,0)), "No TKR Match")</f>
        <v>No TKR Match</v>
      </c>
      <c r="L242" s="71" t="str">
        <f aca="false">IFERROR(ROUND($J242*$K242,0),"Error")</f>
        <v>Error</v>
      </c>
      <c r="M242" s="71" t="str">
        <f aca="false">IFERROR(IF(AND($J242&lt;10000,$L242&lt;200000),"Yes","No"),"Error")</f>
        <v>No</v>
      </c>
      <c r="P242" s="42" t="str">
        <f aca="false">IF($N242="SOLE",$J242,"")</f>
        <v/>
      </c>
      <c r="Q242" s="42" t="str">
        <f aca="false">IFERROR(IF($N242="Sole",0,IF(AND($N242="OTR",$R242=0),$J242-$P242,IF(AND($N242="OTR", $R242&gt;0), $J242-$P242-$Q242, ""))),"")</f>
        <v/>
      </c>
      <c r="R242" s="42" t="str">
        <f aca="false">IF($P242=$J242, "0","")</f>
        <v/>
      </c>
      <c r="S242" s="42" t="str">
        <f aca="false">IF(OR(ISBLANK($B242),ISBLANK($C242), ISBLANK($E242), ISBLANK($F242), AND(ISBLANK($G242),ISBLANK($H242)), ISBLANK($I242), ISBLANK($L242), AND(ISBLANK($N242), ISBLANK($O242)), AND(ISBLANK($P242), ISBLANK($Q242), ISBLANK($R242))), "No", "Yes")</f>
        <v>No</v>
      </c>
      <c r="T242" s="42" t="str">
        <f aca="false">SUBSTITUTE($U242," ","")</f>
        <v>292812104</v>
      </c>
      <c r="U242" s="42" t="s">
        <v>341</v>
      </c>
      <c r="V242" s="39" t="n">
        <v>108813</v>
      </c>
    </row>
    <row r="243" customFormat="false" ht="15" hidden="false" customHeight="false" outlineLevel="0" collapsed="false">
      <c r="B243" s="70" t="s">
        <v>343</v>
      </c>
      <c r="C243" s="71" t="str">
        <f aca="false">IFERROR(INDEX('13F Data'!A:A,MATCH($B243,'13F Data'!A:A,0)),"No CUSIP Match")</f>
        <v>No CUSIP Match</v>
      </c>
      <c r="D243" s="71" t="str">
        <f aca="false">IFERROR(IF($B243=$C243,"Yes","No"),"No CUSIP Match")</f>
        <v>No</v>
      </c>
      <c r="E243" s="71"/>
      <c r="F243" s="71" t="str">
        <f aca="false">IFERROR(INDEX('13F Data'!C:C, MATCH($B243,'13F Data'!A:A,0)),"No CUSIP Match")</f>
        <v>No CUSIP Match</v>
      </c>
      <c r="G243" s="72" t="str">
        <f aca="false">IFERROR(INDEX('13F Data'!D:D,MATCH($B243,'13F Data'!A:A,0)),"No CUSIP Match")</f>
        <v>No CUSIP Match</v>
      </c>
      <c r="J243" s="73" t="n">
        <f aca="false">$V243</f>
        <v>30172000</v>
      </c>
      <c r="K243" s="71" t="str">
        <f aca="false">IFERROR(INDEX('EOD Data'!G:G, MATCH($A243, 'EOD Data'!B:B,0)), "No TKR Match")</f>
        <v>No TKR Match</v>
      </c>
      <c r="L243" s="71" t="str">
        <f aca="false">IFERROR(ROUND($J243*$K243,0),"Error")</f>
        <v>Error</v>
      </c>
      <c r="M243" s="71" t="str">
        <f aca="false">IFERROR(IF(AND($J243&lt;10000,$L243&lt;200000),"Yes","No"),"Error")</f>
        <v>No</v>
      </c>
      <c r="P243" s="42" t="str">
        <f aca="false">IF($N243="SOLE",$J243,"")</f>
        <v/>
      </c>
      <c r="Q243" s="42" t="str">
        <f aca="false">IFERROR(IF($N243="Sole",0,IF(AND($N243="OTR",$R243=0),$J243-$P243,IF(AND($N243="OTR", $R243&gt;0), $J243-$P243-$Q243, ""))),"")</f>
        <v/>
      </c>
      <c r="R243" s="42" t="str">
        <f aca="false">IF($P243=$J243, "0","")</f>
        <v/>
      </c>
      <c r="S243" s="42" t="str">
        <f aca="false">IF(OR(ISBLANK($B243),ISBLANK($C243), ISBLANK($E243), ISBLANK($F243), AND(ISBLANK($G243),ISBLANK($H243)), ISBLANK($I243), ISBLANK($L243), AND(ISBLANK($N243), ISBLANK($O243)), AND(ISBLANK($P243), ISBLANK($Q243), ISBLANK($R243))), "No", "Yes")</f>
        <v>No</v>
      </c>
      <c r="T243" s="42" t="str">
        <f aca="false">SUBSTITUTE($U243," ","")</f>
        <v>194014AA4</v>
      </c>
      <c r="U243" s="42" t="s">
        <v>343</v>
      </c>
      <c r="V243" s="39" t="n">
        <v>30172000</v>
      </c>
    </row>
    <row r="244" customFormat="false" ht="15" hidden="false" customHeight="false" outlineLevel="0" collapsed="false">
      <c r="B244" s="70" t="s">
        <v>345</v>
      </c>
      <c r="C244" s="71" t="str">
        <f aca="false">IFERROR(INDEX('13F Data'!A:A,MATCH($B244,'13F Data'!A:A,0)),"No CUSIP Match")</f>
        <v>No CUSIP Match</v>
      </c>
      <c r="D244" s="71" t="str">
        <f aca="false">IFERROR(IF($B244=$C244,"Yes","No"),"No CUSIP Match")</f>
        <v>No</v>
      </c>
      <c r="E244" s="71"/>
      <c r="F244" s="71" t="str">
        <f aca="false">IFERROR(INDEX('13F Data'!C:C, MATCH($B244,'13F Data'!A:A,0)),"No CUSIP Match")</f>
        <v>No CUSIP Match</v>
      </c>
      <c r="G244" s="72" t="str">
        <f aca="false">IFERROR(INDEX('13F Data'!D:D,MATCH($B244,'13F Data'!A:A,0)),"No CUSIP Match")</f>
        <v>No CUSIP Match</v>
      </c>
      <c r="J244" s="73" t="n">
        <f aca="false">$V244</f>
        <v>11000000</v>
      </c>
      <c r="K244" s="71" t="str">
        <f aca="false">IFERROR(INDEX('EOD Data'!G:G, MATCH($A244, 'EOD Data'!B:B,0)), "No TKR Match")</f>
        <v>No TKR Match</v>
      </c>
      <c r="L244" s="71" t="str">
        <f aca="false">IFERROR(ROUND($J244*$K244,0),"Error")</f>
        <v>Error</v>
      </c>
      <c r="M244" s="71" t="str">
        <f aca="false">IFERROR(IF(AND($J244&lt;10000,$L244&lt;200000),"Yes","No"),"Error")</f>
        <v>No</v>
      </c>
      <c r="P244" s="42" t="str">
        <f aca="false">IF($N244="SOLE",$J244,"")</f>
        <v/>
      </c>
      <c r="Q244" s="42" t="str">
        <f aca="false">IFERROR(IF($N244="Sole",0,IF(AND($N244="OTR",$R244=0),$J244-$P244,IF(AND($N244="OTR", $R244&gt;0), $J244-$P244-$Q244, ""))),"")</f>
        <v/>
      </c>
      <c r="R244" s="42" t="str">
        <f aca="false">IF($P244=$J244, "0","")</f>
        <v/>
      </c>
      <c r="S244" s="42" t="str">
        <f aca="false">IF(OR(ISBLANK($B244),ISBLANK($C244), ISBLANK($E244), ISBLANK($F244), AND(ISBLANK($G244),ISBLANK($H244)), ISBLANK($I244), ISBLANK($L244), AND(ISBLANK($N244), ISBLANK($O244)), AND(ISBLANK($P244), ISBLANK($Q244), ISBLANK($R244))), "No", "Yes")</f>
        <v>No</v>
      </c>
      <c r="T244" s="42" t="str">
        <f aca="false">SUBSTITUTE($U244," ","")</f>
        <v>293594AC1</v>
      </c>
      <c r="U244" s="42" t="s">
        <v>345</v>
      </c>
      <c r="V244" s="39" t="n">
        <v>11000000</v>
      </c>
    </row>
    <row r="245" customFormat="false" ht="15" hidden="false" customHeight="false" outlineLevel="0" collapsed="false">
      <c r="B245" s="70" t="s">
        <v>347</v>
      </c>
      <c r="C245" s="71" t="str">
        <f aca="false">IFERROR(INDEX('13F Data'!A:A,MATCH($B245,'13F Data'!A:A,0)),"No CUSIP Match")</f>
        <v>No CUSIP Match</v>
      </c>
      <c r="D245" s="71" t="str">
        <f aca="false">IFERROR(IF($B245=$C245,"Yes","No"),"No CUSIP Match")</f>
        <v>No</v>
      </c>
      <c r="E245" s="71"/>
      <c r="F245" s="71" t="str">
        <f aca="false">IFERROR(INDEX('13F Data'!C:C, MATCH($B245,'13F Data'!A:A,0)),"No CUSIP Match")</f>
        <v>No CUSIP Match</v>
      </c>
      <c r="G245" s="72" t="str">
        <f aca="false">IFERROR(INDEX('13F Data'!D:D,MATCH($B245,'13F Data'!A:A,0)),"No CUSIP Match")</f>
        <v>No CUSIP Match</v>
      </c>
      <c r="J245" s="73" t="n">
        <f aca="false">$V245</f>
        <v>14500000</v>
      </c>
      <c r="K245" s="71" t="str">
        <f aca="false">IFERROR(INDEX('EOD Data'!G:G, MATCH($A245, 'EOD Data'!B:B,0)), "No TKR Match")</f>
        <v>No TKR Match</v>
      </c>
      <c r="L245" s="71" t="str">
        <f aca="false">IFERROR(ROUND($J245*$K245,0),"Error")</f>
        <v>Error</v>
      </c>
      <c r="M245" s="71" t="str">
        <f aca="false">IFERROR(IF(AND($J245&lt;10000,$L245&lt;200000),"Yes","No"),"Error")</f>
        <v>No</v>
      </c>
      <c r="P245" s="42" t="str">
        <f aca="false">IF($N245="SOLE",$J245,"")</f>
        <v/>
      </c>
      <c r="Q245" s="42" t="str">
        <f aca="false">IFERROR(IF($N245="Sole",0,IF(AND($N245="OTR",$R245=0),$J245-$P245,IF(AND($N245="OTR", $R245&gt;0), $J245-$P245-$Q245, ""))),"")</f>
        <v/>
      </c>
      <c r="R245" s="42" t="str">
        <f aca="false">IF($P245=$J245, "0","")</f>
        <v/>
      </c>
      <c r="S245" s="42" t="str">
        <f aca="false">IF(OR(ISBLANK($B245),ISBLANK($C245), ISBLANK($E245), ISBLANK($F245), AND(ISBLANK($G245),ISBLANK($H245)), ISBLANK($I245), ISBLANK($L245), AND(ISBLANK($N245), ISBLANK($O245)), AND(ISBLANK($P245), ISBLANK($Q245), ISBLANK($R245))), "No", "Yes")</f>
        <v>No</v>
      </c>
      <c r="T245" s="42" t="str">
        <f aca="false">SUBSTITUTE($U245," ","")</f>
        <v>29355AAK3</v>
      </c>
      <c r="U245" s="42" t="s">
        <v>347</v>
      </c>
      <c r="V245" s="39" t="n">
        <v>14500000</v>
      </c>
    </row>
    <row r="246" customFormat="false" ht="15" hidden="false" customHeight="false" outlineLevel="0" collapsed="false">
      <c r="B246" s="70" t="s">
        <v>349</v>
      </c>
      <c r="C246" s="71" t="str">
        <f aca="false">IFERROR(INDEX('13F Data'!A:A,MATCH($B246,'13F Data'!A:A,0)),"No CUSIP Match")</f>
        <v>No CUSIP Match</v>
      </c>
      <c r="D246" s="71" t="str">
        <f aca="false">IFERROR(IF($B246=$C246,"Yes","No"),"No CUSIP Match")</f>
        <v>No</v>
      </c>
      <c r="E246" s="71"/>
      <c r="F246" s="71" t="str">
        <f aca="false">IFERROR(INDEX('13F Data'!C:C, MATCH($B246,'13F Data'!A:A,0)),"No CUSIP Match")</f>
        <v>No CUSIP Match</v>
      </c>
      <c r="G246" s="72" t="str">
        <f aca="false">IFERROR(INDEX('13F Data'!D:D,MATCH($B246,'13F Data'!A:A,0)),"No CUSIP Match")</f>
        <v>No CUSIP Match</v>
      </c>
      <c r="J246" s="73" t="n">
        <f aca="false">$V246</f>
        <v>254</v>
      </c>
      <c r="K246" s="71" t="str">
        <f aca="false">IFERROR(INDEX('EOD Data'!G:G, MATCH($A246, 'EOD Data'!B:B,0)), "No TKR Match")</f>
        <v>No TKR Match</v>
      </c>
      <c r="L246" s="71" t="str">
        <f aca="false">IFERROR(ROUND($J246*$K246,0),"Error")</f>
        <v>Error</v>
      </c>
      <c r="M246" s="71" t="str">
        <f aca="false">IFERROR(IF(AND($J246&lt;10000,$L246&lt;200000),"Yes","No"),"Error")</f>
        <v>No</v>
      </c>
      <c r="P246" s="42" t="str">
        <f aca="false">IF($N246="SOLE",$J246,"")</f>
        <v/>
      </c>
      <c r="Q246" s="42" t="str">
        <f aca="false">IFERROR(IF($N246="Sole",0,IF(AND($N246="OTR",$R246=0),$J246-$P246,IF(AND($N246="OTR", $R246&gt;0), $J246-$P246-$Q246, ""))),"")</f>
        <v/>
      </c>
      <c r="R246" s="42" t="str">
        <f aca="false">IF($P246=$J246, "0","")</f>
        <v/>
      </c>
      <c r="S246" s="42" t="str">
        <f aca="false">IF(OR(ISBLANK($B246),ISBLANK($C246), ISBLANK($E246), ISBLANK($F246), AND(ISBLANK($G246),ISBLANK($H246)), ISBLANK($I246), ISBLANK($L246), AND(ISBLANK($N246), ISBLANK($O246)), AND(ISBLANK($P246), ISBLANK($Q246), ISBLANK($R246))), "No", "Yes")</f>
        <v>No</v>
      </c>
      <c r="T246" s="42" t="str">
        <f aca="false">SUBSTITUTE($U246," ","")</f>
        <v>29362U104</v>
      </c>
      <c r="U246" s="42" t="s">
        <v>349</v>
      </c>
      <c r="V246" s="39" t="n">
        <v>254</v>
      </c>
    </row>
    <row r="247" customFormat="false" ht="15" hidden="false" customHeight="false" outlineLevel="0" collapsed="false">
      <c r="B247" s="70" t="s">
        <v>349</v>
      </c>
      <c r="C247" s="71" t="str">
        <f aca="false">IFERROR(INDEX('13F Data'!A:A,MATCH($B247,'13F Data'!A:A,0)),"No CUSIP Match")</f>
        <v>No CUSIP Match</v>
      </c>
      <c r="D247" s="71" t="str">
        <f aca="false">IFERROR(IF($B247=$C247,"Yes","No"),"No CUSIP Match")</f>
        <v>No</v>
      </c>
      <c r="E247" s="71"/>
      <c r="F247" s="71" t="str">
        <f aca="false">IFERROR(INDEX('13F Data'!C:C, MATCH($B247,'13F Data'!A:A,0)),"No CUSIP Match")</f>
        <v>No CUSIP Match</v>
      </c>
      <c r="G247" s="72" t="str">
        <f aca="false">IFERROR(INDEX('13F Data'!D:D,MATCH($B247,'13F Data'!A:A,0)),"No CUSIP Match")</f>
        <v>No CUSIP Match</v>
      </c>
      <c r="J247" s="73" t="n">
        <f aca="false">$V247</f>
        <v>28900</v>
      </c>
      <c r="K247" s="71" t="str">
        <f aca="false">IFERROR(INDEX('EOD Data'!G:G, MATCH($A247, 'EOD Data'!B:B,0)), "No TKR Match")</f>
        <v>No TKR Match</v>
      </c>
      <c r="L247" s="71" t="str">
        <f aca="false">IFERROR(ROUND($J247*$K247,0),"Error")</f>
        <v>Error</v>
      </c>
      <c r="M247" s="71" t="str">
        <f aca="false">IFERROR(IF(AND($J247&lt;10000,$L247&lt;200000),"Yes","No"),"Error")</f>
        <v>No</v>
      </c>
      <c r="P247" s="42" t="str">
        <f aca="false">IF($N247="SOLE",$J247,"")</f>
        <v/>
      </c>
      <c r="Q247" s="42" t="str">
        <f aca="false">IFERROR(IF($N247="Sole",0,IF(AND($N247="OTR",$R247=0),$J247-$P247,IF(AND($N247="OTR", $R247&gt;0), $J247-$P247-$Q247, ""))),"")</f>
        <v/>
      </c>
      <c r="R247" s="42" t="str">
        <f aca="false">IF($P247=$J247, "0","")</f>
        <v/>
      </c>
      <c r="S247" s="42" t="str">
        <f aca="false">IF(OR(ISBLANK($B247),ISBLANK($C247), ISBLANK($E247), ISBLANK($F247), AND(ISBLANK($G247),ISBLANK($H247)), ISBLANK($I247), ISBLANK($L247), AND(ISBLANK($N247), ISBLANK($O247)), AND(ISBLANK($P247), ISBLANK($Q247), ISBLANK($R247))), "No", "Yes")</f>
        <v>No</v>
      </c>
      <c r="T247" s="42" t="str">
        <f aca="false">SUBSTITUTE($U247," ","")</f>
        <v>29362U104</v>
      </c>
      <c r="U247" s="42" t="s">
        <v>349</v>
      </c>
      <c r="V247" s="39" t="n">
        <v>28900</v>
      </c>
    </row>
    <row r="248" customFormat="false" ht="15" hidden="false" customHeight="false" outlineLevel="0" collapsed="false">
      <c r="B248" s="70" t="s">
        <v>351</v>
      </c>
      <c r="C248" s="71" t="str">
        <f aca="false">IFERROR(INDEX('13F Data'!A:A,MATCH($B248,'13F Data'!A:A,0)),"No CUSIP Match")</f>
        <v>No CUSIP Match</v>
      </c>
      <c r="D248" s="71" t="str">
        <f aca="false">IFERROR(IF($B248=$C248,"Yes","No"),"No CUSIP Match")</f>
        <v>No</v>
      </c>
      <c r="E248" s="71"/>
      <c r="F248" s="71" t="str">
        <f aca="false">IFERROR(INDEX('13F Data'!C:C, MATCH($B248,'13F Data'!A:A,0)),"No CUSIP Match")</f>
        <v>No CUSIP Match</v>
      </c>
      <c r="G248" s="72" t="str">
        <f aca="false">IFERROR(INDEX('13F Data'!D:D,MATCH($B248,'13F Data'!A:A,0)),"No CUSIP Match")</f>
        <v>No CUSIP Match</v>
      </c>
      <c r="J248" s="73" t="n">
        <f aca="false">$V248</f>
        <v>27800000</v>
      </c>
      <c r="K248" s="71" t="str">
        <f aca="false">IFERROR(INDEX('EOD Data'!G:G, MATCH($A248, 'EOD Data'!B:B,0)), "No TKR Match")</f>
        <v>No TKR Match</v>
      </c>
      <c r="L248" s="71" t="str">
        <f aca="false">IFERROR(ROUND($J248*$K248,0),"Error")</f>
        <v>Error</v>
      </c>
      <c r="M248" s="71" t="str">
        <f aca="false">IFERROR(IF(AND($J248&lt;10000,$L248&lt;200000),"Yes","No"),"Error")</f>
        <v>No</v>
      </c>
      <c r="P248" s="42" t="str">
        <f aca="false">IF($N248="SOLE",$J248,"")</f>
        <v/>
      </c>
      <c r="Q248" s="42" t="str">
        <f aca="false">IFERROR(IF($N248="Sole",0,IF(AND($N248="OTR",$R248=0),$J248-$P248,IF(AND($N248="OTR", $R248&gt;0), $J248-$P248-$Q248, ""))),"")</f>
        <v/>
      </c>
      <c r="R248" s="42" t="str">
        <f aca="false">IF($P248=$J248, "0","")</f>
        <v/>
      </c>
      <c r="S248" s="42" t="str">
        <f aca="false">IF(OR(ISBLANK($B248),ISBLANK($C248), ISBLANK($E248), ISBLANK($F248), AND(ISBLANK($G248),ISBLANK($H248)), ISBLANK($I248), ISBLANK($L248), AND(ISBLANK($N248), ISBLANK($O248)), AND(ISBLANK($P248), ISBLANK($Q248), ISBLANK($R248))), "No", "Yes")</f>
        <v>No</v>
      </c>
      <c r="T248" s="42" t="str">
        <f aca="false">SUBSTITUTE($U248," ","")</f>
        <v>29404KAG1</v>
      </c>
      <c r="U248" s="42" t="s">
        <v>351</v>
      </c>
      <c r="V248" s="39" t="n">
        <v>27800000</v>
      </c>
    </row>
    <row r="249" customFormat="false" ht="15" hidden="false" customHeight="false" outlineLevel="0" collapsed="false">
      <c r="B249" s="70" t="s">
        <v>353</v>
      </c>
      <c r="C249" s="71" t="str">
        <f aca="false">IFERROR(INDEX('13F Data'!A:A,MATCH($B249,'13F Data'!A:A,0)),"No CUSIP Match")</f>
        <v>No CUSIP Match</v>
      </c>
      <c r="D249" s="71" t="str">
        <f aca="false">IFERROR(IF($B249=$C249,"Yes","No"),"No CUSIP Match")</f>
        <v>No</v>
      </c>
      <c r="E249" s="71"/>
      <c r="F249" s="71" t="str">
        <f aca="false">IFERROR(INDEX('13F Data'!C:C, MATCH($B249,'13F Data'!A:A,0)),"No CUSIP Match")</f>
        <v>No CUSIP Match</v>
      </c>
      <c r="G249" s="72" t="str">
        <f aca="false">IFERROR(INDEX('13F Data'!D:D,MATCH($B249,'13F Data'!A:A,0)),"No CUSIP Match")</f>
        <v>No CUSIP Match</v>
      </c>
      <c r="J249" s="73" t="n">
        <f aca="false">$V249</f>
        <v>88028</v>
      </c>
      <c r="K249" s="71" t="str">
        <f aca="false">IFERROR(INDEX('EOD Data'!G:G, MATCH($A249, 'EOD Data'!B:B,0)), "No TKR Match")</f>
        <v>No TKR Match</v>
      </c>
      <c r="L249" s="71" t="str">
        <f aca="false">IFERROR(ROUND($J249*$K249,0),"Error")</f>
        <v>Error</v>
      </c>
      <c r="M249" s="71" t="str">
        <f aca="false">IFERROR(IF(AND($J249&lt;10000,$L249&lt;200000),"Yes","No"),"Error")</f>
        <v>No</v>
      </c>
      <c r="P249" s="42" t="str">
        <f aca="false">IF($N249="SOLE",$J249,"")</f>
        <v/>
      </c>
      <c r="Q249" s="42" t="str">
        <f aca="false">IFERROR(IF($N249="Sole",0,IF(AND($N249="OTR",$R249=0),$J249-$P249,IF(AND($N249="OTR", $R249&gt;0), $J249-$P249-$Q249, ""))),"")</f>
        <v/>
      </c>
      <c r="R249" s="42" t="str">
        <f aca="false">IF($P249=$J249, "0","")</f>
        <v/>
      </c>
      <c r="S249" s="42" t="str">
        <f aca="false">IF(OR(ISBLANK($B249),ISBLANK($C249), ISBLANK($E249), ISBLANK($F249), AND(ISBLANK($G249),ISBLANK($H249)), ISBLANK($I249), ISBLANK($L249), AND(ISBLANK($N249), ISBLANK($O249)), AND(ISBLANK($P249), ISBLANK($Q249), ISBLANK($R249))), "No", "Yes")</f>
        <v>No</v>
      </c>
      <c r="T249" s="42" t="str">
        <f aca="false">SUBSTITUTE($U249," ","")</f>
        <v>415864107</v>
      </c>
      <c r="U249" s="42" t="s">
        <v>353</v>
      </c>
      <c r="V249" s="39" t="n">
        <v>88028</v>
      </c>
    </row>
    <row r="250" customFormat="false" ht="15" hidden="false" customHeight="false" outlineLevel="0" collapsed="false">
      <c r="B250" s="70" t="s">
        <v>355</v>
      </c>
      <c r="C250" s="71" t="str">
        <f aca="false">IFERROR(INDEX('13F Data'!A:A,MATCH($B250,'13F Data'!A:A,0)),"No CUSIP Match")</f>
        <v>No CUSIP Match</v>
      </c>
      <c r="D250" s="71" t="str">
        <f aca="false">IFERROR(IF($B250=$C250,"Yes","No"),"No CUSIP Match")</f>
        <v>No</v>
      </c>
      <c r="E250" s="71"/>
      <c r="F250" s="71" t="str">
        <f aca="false">IFERROR(INDEX('13F Data'!C:C, MATCH($B250,'13F Data'!A:A,0)),"No CUSIP Match")</f>
        <v>No CUSIP Match</v>
      </c>
      <c r="G250" s="72" t="str">
        <f aca="false">IFERROR(INDEX('13F Data'!D:D,MATCH($B250,'13F Data'!A:A,0)),"No CUSIP Match")</f>
        <v>No CUSIP Match</v>
      </c>
      <c r="J250" s="73" t="n">
        <f aca="false">$V250</f>
        <v>1215</v>
      </c>
      <c r="K250" s="71" t="str">
        <f aca="false">IFERROR(INDEX('EOD Data'!G:G, MATCH($A250, 'EOD Data'!B:B,0)), "No TKR Match")</f>
        <v>No TKR Match</v>
      </c>
      <c r="L250" s="71" t="str">
        <f aca="false">IFERROR(ROUND($J250*$K250,0),"Error")</f>
        <v>Error</v>
      </c>
      <c r="M250" s="71" t="str">
        <f aca="false">IFERROR(IF(AND($J250&lt;10000,$L250&lt;200000),"Yes","No"),"Error")</f>
        <v>No</v>
      </c>
      <c r="P250" s="42" t="str">
        <f aca="false">IF($N250="SOLE",$J250,"")</f>
        <v/>
      </c>
      <c r="Q250" s="42" t="str">
        <f aca="false">IFERROR(IF($N250="Sole",0,IF(AND($N250="OTR",$R250=0),$J250-$P250,IF(AND($N250="OTR", $R250&gt;0), $J250-$P250-$Q250, ""))),"")</f>
        <v/>
      </c>
      <c r="R250" s="42" t="str">
        <f aca="false">IF($P250=$J250, "0","")</f>
        <v/>
      </c>
      <c r="S250" s="42" t="str">
        <f aca="false">IF(OR(ISBLANK($B250),ISBLANK($C250), ISBLANK($E250), ISBLANK($F250), AND(ISBLANK($G250),ISBLANK($H250)), ISBLANK($I250), ISBLANK($L250), AND(ISBLANK($N250), ISBLANK($O250)), AND(ISBLANK($P250), ISBLANK($Q250), ISBLANK($R250))), "No", "Yes")</f>
        <v>No</v>
      </c>
      <c r="T250" s="42" t="str">
        <f aca="false">SUBSTITUTE($U250," ","")</f>
        <v>26875P101</v>
      </c>
      <c r="U250" s="42" t="s">
        <v>355</v>
      </c>
      <c r="V250" s="39" t="n">
        <v>1215</v>
      </c>
    </row>
    <row r="251" customFormat="false" ht="15" hidden="false" customHeight="false" outlineLevel="0" collapsed="false">
      <c r="B251" s="70" t="s">
        <v>355</v>
      </c>
      <c r="C251" s="71" t="str">
        <f aca="false">IFERROR(INDEX('13F Data'!A:A,MATCH($B251,'13F Data'!A:A,0)),"No CUSIP Match")</f>
        <v>No CUSIP Match</v>
      </c>
      <c r="D251" s="71" t="str">
        <f aca="false">IFERROR(IF($B251=$C251,"Yes","No"),"No CUSIP Match")</f>
        <v>No</v>
      </c>
      <c r="E251" s="71"/>
      <c r="F251" s="71" t="str">
        <f aca="false">IFERROR(INDEX('13F Data'!C:C, MATCH($B251,'13F Data'!A:A,0)),"No CUSIP Match")</f>
        <v>No CUSIP Match</v>
      </c>
      <c r="G251" s="72" t="str">
        <f aca="false">IFERROR(INDEX('13F Data'!D:D,MATCH($B251,'13F Data'!A:A,0)),"No CUSIP Match")</f>
        <v>No CUSIP Match</v>
      </c>
      <c r="J251" s="73" t="n">
        <f aca="false">$V251</f>
        <v>59600</v>
      </c>
      <c r="K251" s="71" t="str">
        <f aca="false">IFERROR(INDEX('EOD Data'!G:G, MATCH($A251, 'EOD Data'!B:B,0)), "No TKR Match")</f>
        <v>No TKR Match</v>
      </c>
      <c r="L251" s="71" t="str">
        <f aca="false">IFERROR(ROUND($J251*$K251,0),"Error")</f>
        <v>Error</v>
      </c>
      <c r="M251" s="71" t="str">
        <f aca="false">IFERROR(IF(AND($J251&lt;10000,$L251&lt;200000),"Yes","No"),"Error")</f>
        <v>No</v>
      </c>
      <c r="P251" s="42" t="str">
        <f aca="false">IF($N251="SOLE",$J251,"")</f>
        <v/>
      </c>
      <c r="Q251" s="42" t="str">
        <f aca="false">IFERROR(IF($N251="Sole",0,IF(AND($N251="OTR",$R251=0),$J251-$P251,IF(AND($N251="OTR", $R251&gt;0), $J251-$P251-$Q251, ""))),"")</f>
        <v/>
      </c>
      <c r="R251" s="42" t="str">
        <f aca="false">IF($P251=$J251, "0","")</f>
        <v/>
      </c>
      <c r="S251" s="42" t="str">
        <f aca="false">IF(OR(ISBLANK($B251),ISBLANK($C251), ISBLANK($E251), ISBLANK($F251), AND(ISBLANK($G251),ISBLANK($H251)), ISBLANK($I251), ISBLANK($L251), AND(ISBLANK($N251), ISBLANK($O251)), AND(ISBLANK($P251), ISBLANK($Q251), ISBLANK($R251))), "No", "Yes")</f>
        <v>No</v>
      </c>
      <c r="T251" s="42" t="str">
        <f aca="false">SUBSTITUTE($U251," ","")</f>
        <v>26875P101</v>
      </c>
      <c r="U251" s="42" t="s">
        <v>355</v>
      </c>
      <c r="V251" s="39" t="n">
        <v>59600</v>
      </c>
    </row>
    <row r="252" customFormat="false" ht="15" hidden="false" customHeight="false" outlineLevel="0" collapsed="false">
      <c r="B252" s="70" t="s">
        <v>355</v>
      </c>
      <c r="C252" s="71" t="str">
        <f aca="false">IFERROR(INDEX('13F Data'!A:A,MATCH($B252,'13F Data'!A:A,0)),"No CUSIP Match")</f>
        <v>No CUSIP Match</v>
      </c>
      <c r="D252" s="71" t="str">
        <f aca="false">IFERROR(IF($B252=$C252,"Yes","No"),"No CUSIP Match")</f>
        <v>No</v>
      </c>
      <c r="E252" s="71"/>
      <c r="F252" s="71" t="str">
        <f aca="false">IFERROR(INDEX('13F Data'!C:C, MATCH($B252,'13F Data'!A:A,0)),"No CUSIP Match")</f>
        <v>No CUSIP Match</v>
      </c>
      <c r="G252" s="72" t="str">
        <f aca="false">IFERROR(INDEX('13F Data'!D:D,MATCH($B252,'13F Data'!A:A,0)),"No CUSIP Match")</f>
        <v>No CUSIP Match</v>
      </c>
      <c r="J252" s="73" t="n">
        <f aca="false">$V252</f>
        <v>17600</v>
      </c>
      <c r="K252" s="71" t="str">
        <f aca="false">IFERROR(INDEX('EOD Data'!G:G, MATCH($A252, 'EOD Data'!B:B,0)), "No TKR Match")</f>
        <v>No TKR Match</v>
      </c>
      <c r="L252" s="71" t="str">
        <f aca="false">IFERROR(ROUND($J252*$K252,0),"Error")</f>
        <v>Error</v>
      </c>
      <c r="M252" s="71" t="str">
        <f aca="false">IFERROR(IF(AND($J252&lt;10000,$L252&lt;200000),"Yes","No"),"Error")</f>
        <v>No</v>
      </c>
      <c r="P252" s="42" t="str">
        <f aca="false">IF($N252="SOLE",$J252,"")</f>
        <v/>
      </c>
      <c r="Q252" s="42" t="str">
        <f aca="false">IFERROR(IF($N252="Sole",0,IF(AND($N252="OTR",$R252=0),$J252-$P252,IF(AND($N252="OTR", $R252&gt;0), $J252-$P252-$Q252, ""))),"")</f>
        <v/>
      </c>
      <c r="R252" s="42" t="str">
        <f aca="false">IF($P252=$J252, "0","")</f>
        <v/>
      </c>
      <c r="S252" s="42" t="str">
        <f aca="false">IF(OR(ISBLANK($B252),ISBLANK($C252), ISBLANK($E252), ISBLANK($F252), AND(ISBLANK($G252),ISBLANK($H252)), ISBLANK($I252), ISBLANK($L252), AND(ISBLANK($N252), ISBLANK($O252)), AND(ISBLANK($P252), ISBLANK($Q252), ISBLANK($R252))), "No", "Yes")</f>
        <v>No</v>
      </c>
      <c r="T252" s="42" t="str">
        <f aca="false">SUBSTITUTE($U252," ","")</f>
        <v>26875P101</v>
      </c>
      <c r="U252" s="42" t="s">
        <v>355</v>
      </c>
      <c r="V252" s="39" t="n">
        <v>17600</v>
      </c>
    </row>
    <row r="253" customFormat="false" ht="15" hidden="false" customHeight="false" outlineLevel="0" collapsed="false">
      <c r="B253" s="70" t="s">
        <v>357</v>
      </c>
      <c r="C253" s="71" t="str">
        <f aca="false">IFERROR(INDEX('13F Data'!A:A,MATCH($B253,'13F Data'!A:A,0)),"No CUSIP Match")</f>
        <v>No CUSIP Match</v>
      </c>
      <c r="D253" s="71" t="str">
        <f aca="false">IFERROR(IF($B253=$C253,"Yes","No"),"No CUSIP Match")</f>
        <v>No</v>
      </c>
      <c r="E253" s="71"/>
      <c r="F253" s="71" t="str">
        <f aca="false">IFERROR(INDEX('13F Data'!C:C, MATCH($B253,'13F Data'!A:A,0)),"No CUSIP Match")</f>
        <v>No CUSIP Match</v>
      </c>
      <c r="G253" s="72" t="str">
        <f aca="false">IFERROR(INDEX('13F Data'!D:D,MATCH($B253,'13F Data'!A:A,0)),"No CUSIP Match")</f>
        <v>No CUSIP Match</v>
      </c>
      <c r="J253" s="73" t="n">
        <f aca="false">$V253</f>
        <v>102</v>
      </c>
      <c r="K253" s="71" t="str">
        <f aca="false">IFERROR(INDEX('EOD Data'!G:G, MATCH($A253, 'EOD Data'!B:B,0)), "No TKR Match")</f>
        <v>No TKR Match</v>
      </c>
      <c r="L253" s="71" t="str">
        <f aca="false">IFERROR(ROUND($J253*$K253,0),"Error")</f>
        <v>Error</v>
      </c>
      <c r="M253" s="71" t="str">
        <f aca="false">IFERROR(IF(AND($J253&lt;10000,$L253&lt;200000),"Yes","No"),"Error")</f>
        <v>No</v>
      </c>
      <c r="P253" s="42" t="str">
        <f aca="false">IF($N253="SOLE",$J253,"")</f>
        <v/>
      </c>
      <c r="Q253" s="42" t="str">
        <f aca="false">IFERROR(IF($N253="Sole",0,IF(AND($N253="OTR",$R253=0),$J253-$P253,IF(AND($N253="OTR", $R253&gt;0), $J253-$P253-$Q253, ""))),"")</f>
        <v/>
      </c>
      <c r="R253" s="42" t="str">
        <f aca="false">IF($P253=$J253, "0","")</f>
        <v/>
      </c>
      <c r="S253" s="42" t="str">
        <f aca="false">IF(OR(ISBLANK($B253),ISBLANK($C253), ISBLANK($E253), ISBLANK($F253), AND(ISBLANK($G253),ISBLANK($H253)), ISBLANK($I253), ISBLANK($L253), AND(ISBLANK($N253), ISBLANK($O253)), AND(ISBLANK($P253), ISBLANK($Q253), ISBLANK($R253))), "No", "Yes")</f>
        <v>No</v>
      </c>
      <c r="T253" s="42" t="str">
        <f aca="false">SUBSTITUTE($U253," ","")</f>
        <v>29444U700</v>
      </c>
      <c r="U253" s="42" t="s">
        <v>357</v>
      </c>
      <c r="V253" s="39" t="n">
        <v>102</v>
      </c>
    </row>
    <row r="254" customFormat="false" ht="15" hidden="false" customHeight="false" outlineLevel="0" collapsed="false">
      <c r="B254" s="70" t="s">
        <v>357</v>
      </c>
      <c r="C254" s="71" t="str">
        <f aca="false">IFERROR(INDEX('13F Data'!A:A,MATCH($B254,'13F Data'!A:A,0)),"No CUSIP Match")</f>
        <v>No CUSIP Match</v>
      </c>
      <c r="D254" s="71" t="str">
        <f aca="false">IFERROR(IF($B254=$C254,"Yes","No"),"No CUSIP Match")</f>
        <v>No</v>
      </c>
      <c r="E254" s="71"/>
      <c r="F254" s="71" t="str">
        <f aca="false">IFERROR(INDEX('13F Data'!C:C, MATCH($B254,'13F Data'!A:A,0)),"No CUSIP Match")</f>
        <v>No CUSIP Match</v>
      </c>
      <c r="G254" s="72" t="str">
        <f aca="false">IFERROR(INDEX('13F Data'!D:D,MATCH($B254,'13F Data'!A:A,0)),"No CUSIP Match")</f>
        <v>No CUSIP Match</v>
      </c>
      <c r="J254" s="73" t="n">
        <f aca="false">$V254</f>
        <v>2300</v>
      </c>
      <c r="K254" s="71" t="str">
        <f aca="false">IFERROR(INDEX('EOD Data'!G:G, MATCH($A254, 'EOD Data'!B:B,0)), "No TKR Match")</f>
        <v>No TKR Match</v>
      </c>
      <c r="L254" s="71" t="str">
        <f aca="false">IFERROR(ROUND($J254*$K254,0),"Error")</f>
        <v>Error</v>
      </c>
      <c r="M254" s="71" t="str">
        <f aca="false">IFERROR(IF(AND($J254&lt;10000,$L254&lt;200000),"Yes","No"),"Error")</f>
        <v>No</v>
      </c>
      <c r="P254" s="42" t="str">
        <f aca="false">IF($N254="SOLE",$J254,"")</f>
        <v/>
      </c>
      <c r="Q254" s="42" t="str">
        <f aca="false">IFERROR(IF($N254="Sole",0,IF(AND($N254="OTR",$R254=0),$J254-$P254,IF(AND($N254="OTR", $R254&gt;0), $J254-$P254-$Q254, ""))),"")</f>
        <v/>
      </c>
      <c r="R254" s="42" t="str">
        <f aca="false">IF($P254=$J254, "0","")</f>
        <v/>
      </c>
      <c r="S254" s="42" t="str">
        <f aca="false">IF(OR(ISBLANK($B254),ISBLANK($C254), ISBLANK($E254), ISBLANK($F254), AND(ISBLANK($G254),ISBLANK($H254)), ISBLANK($I254), ISBLANK($L254), AND(ISBLANK($N254), ISBLANK($O254)), AND(ISBLANK($P254), ISBLANK($Q254), ISBLANK($R254))), "No", "Yes")</f>
        <v>No</v>
      </c>
      <c r="T254" s="42" t="str">
        <f aca="false">SUBSTITUTE($U254," ","")</f>
        <v>29444U700</v>
      </c>
      <c r="U254" s="42" t="s">
        <v>357</v>
      </c>
      <c r="V254" s="39" t="n">
        <v>2300</v>
      </c>
    </row>
    <row r="255" customFormat="false" ht="15" hidden="false" customHeight="false" outlineLevel="0" collapsed="false">
      <c r="B255" s="70" t="s">
        <v>357</v>
      </c>
      <c r="C255" s="71" t="str">
        <f aca="false">IFERROR(INDEX('13F Data'!A:A,MATCH($B255,'13F Data'!A:A,0)),"No CUSIP Match")</f>
        <v>No CUSIP Match</v>
      </c>
      <c r="D255" s="71" t="str">
        <f aca="false">IFERROR(IF($B255=$C255,"Yes","No"),"No CUSIP Match")</f>
        <v>No</v>
      </c>
      <c r="E255" s="71"/>
      <c r="F255" s="71" t="str">
        <f aca="false">IFERROR(INDEX('13F Data'!C:C, MATCH($B255,'13F Data'!A:A,0)),"No CUSIP Match")</f>
        <v>No CUSIP Match</v>
      </c>
      <c r="G255" s="72" t="str">
        <f aca="false">IFERROR(INDEX('13F Data'!D:D,MATCH($B255,'13F Data'!A:A,0)),"No CUSIP Match")</f>
        <v>No CUSIP Match</v>
      </c>
      <c r="J255" s="73" t="n">
        <f aca="false">$V255</f>
        <v>2300</v>
      </c>
      <c r="K255" s="71" t="str">
        <f aca="false">IFERROR(INDEX('EOD Data'!G:G, MATCH($A255, 'EOD Data'!B:B,0)), "No TKR Match")</f>
        <v>No TKR Match</v>
      </c>
      <c r="L255" s="71" t="str">
        <f aca="false">IFERROR(ROUND($J255*$K255,0),"Error")</f>
        <v>Error</v>
      </c>
      <c r="M255" s="71" t="str">
        <f aca="false">IFERROR(IF(AND($J255&lt;10000,$L255&lt;200000),"Yes","No"),"Error")</f>
        <v>No</v>
      </c>
      <c r="P255" s="42" t="str">
        <f aca="false">IF($N255="SOLE",$J255,"")</f>
        <v/>
      </c>
      <c r="Q255" s="42" t="str">
        <f aca="false">IFERROR(IF($N255="Sole",0,IF(AND($N255="OTR",$R255=0),$J255-$P255,IF(AND($N255="OTR", $R255&gt;0), $J255-$P255-$Q255, ""))),"")</f>
        <v/>
      </c>
      <c r="R255" s="42" t="str">
        <f aca="false">IF($P255=$J255, "0","")</f>
        <v/>
      </c>
      <c r="S255" s="42" t="str">
        <f aca="false">IF(OR(ISBLANK($B255),ISBLANK($C255), ISBLANK($E255), ISBLANK($F255), AND(ISBLANK($G255),ISBLANK($H255)), ISBLANK($I255), ISBLANK($L255), AND(ISBLANK($N255), ISBLANK($O255)), AND(ISBLANK($P255), ISBLANK($Q255), ISBLANK($R255))), "No", "Yes")</f>
        <v>No</v>
      </c>
      <c r="T255" s="42" t="str">
        <f aca="false">SUBSTITUTE($U255," ","")</f>
        <v>29444U700</v>
      </c>
      <c r="U255" s="42" t="s">
        <v>357</v>
      </c>
      <c r="V255" s="39" t="n">
        <v>2300</v>
      </c>
    </row>
    <row r="256" customFormat="false" ht="15" hidden="false" customHeight="false" outlineLevel="0" collapsed="false">
      <c r="B256" s="70" t="s">
        <v>359</v>
      </c>
      <c r="C256" s="71" t="str">
        <f aca="false">IFERROR(INDEX('13F Data'!A:A,MATCH($B256,'13F Data'!A:A,0)),"No CUSIP Match")</f>
        <v>No CUSIP Match</v>
      </c>
      <c r="D256" s="71" t="str">
        <f aca="false">IFERROR(IF($B256=$C256,"Yes","No"),"No CUSIP Match")</f>
        <v>No</v>
      </c>
      <c r="E256" s="71"/>
      <c r="F256" s="71" t="str">
        <f aca="false">IFERROR(INDEX('13F Data'!C:C, MATCH($B256,'13F Data'!A:A,0)),"No CUSIP Match")</f>
        <v>No CUSIP Match</v>
      </c>
      <c r="G256" s="72" t="str">
        <f aca="false">IFERROR(INDEX('13F Data'!D:D,MATCH($B256,'13F Data'!A:A,0)),"No CUSIP Match")</f>
        <v>No CUSIP Match</v>
      </c>
      <c r="J256" s="73" t="n">
        <f aca="false">$V256</f>
        <v>5500000</v>
      </c>
      <c r="K256" s="71" t="str">
        <f aca="false">IFERROR(INDEX('EOD Data'!G:G, MATCH($A256, 'EOD Data'!B:B,0)), "No TKR Match")</f>
        <v>No TKR Match</v>
      </c>
      <c r="L256" s="71" t="str">
        <f aca="false">IFERROR(ROUND($J256*$K256,0),"Error")</f>
        <v>Error</v>
      </c>
      <c r="M256" s="71" t="str">
        <f aca="false">IFERROR(IF(AND($J256&lt;10000,$L256&lt;200000),"Yes","No"),"Error")</f>
        <v>No</v>
      </c>
      <c r="P256" s="42" t="str">
        <f aca="false">IF($N256="SOLE",$J256,"")</f>
        <v/>
      </c>
      <c r="Q256" s="42" t="str">
        <f aca="false">IFERROR(IF($N256="Sole",0,IF(AND($N256="OTR",$R256=0),$J256-$P256,IF(AND($N256="OTR", $R256&gt;0), $J256-$P256-$Q256, ""))),"")</f>
        <v/>
      </c>
      <c r="R256" s="42" t="str">
        <f aca="false">IF($P256=$J256, "0","")</f>
        <v/>
      </c>
      <c r="S256" s="42" t="str">
        <f aca="false">IF(OR(ISBLANK($B256),ISBLANK($C256), ISBLANK($E256), ISBLANK($F256), AND(ISBLANK($G256),ISBLANK($H256)), ISBLANK($I256), ISBLANK($L256), AND(ISBLANK($N256), ISBLANK($O256)), AND(ISBLANK($P256), ISBLANK($Q256), ISBLANK($R256))), "No", "Yes")</f>
        <v>No</v>
      </c>
      <c r="T256" s="42" t="str">
        <f aca="false">SUBSTITUTE($U256," ","")</f>
        <v>29664WAB1</v>
      </c>
      <c r="U256" s="42" t="s">
        <v>359</v>
      </c>
      <c r="V256" s="39" t="n">
        <v>5500000</v>
      </c>
    </row>
    <row r="257" customFormat="false" ht="15" hidden="false" customHeight="false" outlineLevel="0" collapsed="false">
      <c r="B257" s="70" t="s">
        <v>361</v>
      </c>
      <c r="C257" s="71" t="str">
        <f aca="false">IFERROR(INDEX('13F Data'!A:A,MATCH($B257,'13F Data'!A:A,0)),"No CUSIP Match")</f>
        <v>No CUSIP Match</v>
      </c>
      <c r="D257" s="71" t="str">
        <f aca="false">IFERROR(IF($B257=$C257,"Yes","No"),"No CUSIP Match")</f>
        <v>No</v>
      </c>
      <c r="E257" s="71"/>
      <c r="F257" s="71" t="str">
        <f aca="false">IFERROR(INDEX('13F Data'!C:C, MATCH($B257,'13F Data'!A:A,0)),"No CUSIP Match")</f>
        <v>No CUSIP Match</v>
      </c>
      <c r="G257" s="72" t="str">
        <f aca="false">IFERROR(INDEX('13F Data'!D:D,MATCH($B257,'13F Data'!A:A,0)),"No CUSIP Match")</f>
        <v>No CUSIP Match</v>
      </c>
      <c r="J257" s="73" t="n">
        <f aca="false">$V257</f>
        <v>16000</v>
      </c>
      <c r="K257" s="71" t="str">
        <f aca="false">IFERROR(INDEX('EOD Data'!G:G, MATCH($A257, 'EOD Data'!B:B,0)), "No TKR Match")</f>
        <v>No TKR Match</v>
      </c>
      <c r="L257" s="71" t="str">
        <f aca="false">IFERROR(ROUND($J257*$K257,0),"Error")</f>
        <v>Error</v>
      </c>
      <c r="M257" s="71" t="str">
        <f aca="false">IFERROR(IF(AND($J257&lt;10000,$L257&lt;200000),"Yes","No"),"Error")</f>
        <v>No</v>
      </c>
      <c r="P257" s="42" t="str">
        <f aca="false">IF($N257="SOLE",$J257,"")</f>
        <v/>
      </c>
      <c r="Q257" s="42" t="str">
        <f aca="false">IFERROR(IF($N257="Sole",0,IF(AND($N257="OTR",$R257=0),$J257-$P257,IF(AND($N257="OTR", $R257&gt;0), $J257-$P257-$Q257, ""))),"")</f>
        <v/>
      </c>
      <c r="R257" s="42" t="str">
        <f aca="false">IF($P257=$J257, "0","")</f>
        <v/>
      </c>
      <c r="S257" s="42" t="str">
        <f aca="false">IF(OR(ISBLANK($B257),ISBLANK($C257), ISBLANK($E257), ISBLANK($F257), AND(ISBLANK($G257),ISBLANK($H257)), ISBLANK($I257), ISBLANK($L257), AND(ISBLANK($N257), ISBLANK($O257)), AND(ISBLANK($P257), ISBLANK($Q257), ISBLANK($R257))), "No", "Yes")</f>
        <v>No</v>
      </c>
      <c r="T257" s="42" t="str">
        <f aca="false">SUBSTITUTE($U257," ","")</f>
        <v>518439104</v>
      </c>
      <c r="U257" s="42" t="s">
        <v>361</v>
      </c>
      <c r="V257" s="39" t="n">
        <v>16000</v>
      </c>
    </row>
    <row r="258" customFormat="false" ht="15" hidden="false" customHeight="false" outlineLevel="0" collapsed="false">
      <c r="B258" s="70" t="s">
        <v>361</v>
      </c>
      <c r="C258" s="71" t="str">
        <f aca="false">IFERROR(INDEX('13F Data'!A:A,MATCH($B258,'13F Data'!A:A,0)),"No CUSIP Match")</f>
        <v>No CUSIP Match</v>
      </c>
      <c r="D258" s="71" t="str">
        <f aca="false">IFERROR(IF($B258=$C258,"Yes","No"),"No CUSIP Match")</f>
        <v>No</v>
      </c>
      <c r="E258" s="71"/>
      <c r="F258" s="71" t="str">
        <f aca="false">IFERROR(INDEX('13F Data'!C:C, MATCH($B258,'13F Data'!A:A,0)),"No CUSIP Match")</f>
        <v>No CUSIP Match</v>
      </c>
      <c r="G258" s="72" t="str">
        <f aca="false">IFERROR(INDEX('13F Data'!D:D,MATCH($B258,'13F Data'!A:A,0)),"No CUSIP Match")</f>
        <v>No CUSIP Match</v>
      </c>
      <c r="J258" s="73" t="n">
        <f aca="false">$V258</f>
        <v>16000</v>
      </c>
      <c r="K258" s="71" t="str">
        <f aca="false">IFERROR(INDEX('EOD Data'!G:G, MATCH($A258, 'EOD Data'!B:B,0)), "No TKR Match")</f>
        <v>No TKR Match</v>
      </c>
      <c r="L258" s="71" t="str">
        <f aca="false">IFERROR(ROUND($J258*$K258,0),"Error")</f>
        <v>Error</v>
      </c>
      <c r="M258" s="71" t="str">
        <f aca="false">IFERROR(IF(AND($J258&lt;10000,$L258&lt;200000),"Yes","No"),"Error")</f>
        <v>No</v>
      </c>
      <c r="P258" s="42" t="str">
        <f aca="false">IF($N258="SOLE",$J258,"")</f>
        <v/>
      </c>
      <c r="Q258" s="42" t="str">
        <f aca="false">IFERROR(IF($N258="Sole",0,IF(AND($N258="OTR",$R258=0),$J258-$P258,IF(AND($N258="OTR", $R258&gt;0), $J258-$P258-$Q258, ""))),"")</f>
        <v/>
      </c>
      <c r="R258" s="42" t="str">
        <f aca="false">IF($P258=$J258, "0","")</f>
        <v/>
      </c>
      <c r="S258" s="42" t="str">
        <f aca="false">IF(OR(ISBLANK($B258),ISBLANK($C258), ISBLANK($E258), ISBLANK($F258), AND(ISBLANK($G258),ISBLANK($H258)), ISBLANK($I258), ISBLANK($L258), AND(ISBLANK($N258), ISBLANK($O258)), AND(ISBLANK($P258), ISBLANK($Q258), ISBLANK($R258))), "No", "Yes")</f>
        <v>No</v>
      </c>
      <c r="T258" s="42" t="str">
        <f aca="false">SUBSTITUTE($U258," ","")</f>
        <v>518439104</v>
      </c>
      <c r="U258" s="42" t="s">
        <v>361</v>
      </c>
      <c r="V258" s="39" t="n">
        <v>16000</v>
      </c>
    </row>
    <row r="259" customFormat="false" ht="15" hidden="false" customHeight="false" outlineLevel="0" collapsed="false">
      <c r="B259" s="70" t="s">
        <v>363</v>
      </c>
      <c r="C259" s="71" t="str">
        <f aca="false">IFERROR(INDEX('13F Data'!A:A,MATCH($B259,'13F Data'!A:A,0)),"No CUSIP Match")</f>
        <v>No CUSIP Match</v>
      </c>
      <c r="D259" s="71" t="str">
        <f aca="false">IFERROR(IF($B259=$C259,"Yes","No"),"No CUSIP Match")</f>
        <v>No</v>
      </c>
      <c r="E259" s="71"/>
      <c r="F259" s="71" t="str">
        <f aca="false">IFERROR(INDEX('13F Data'!C:C, MATCH($B259,'13F Data'!A:A,0)),"No CUSIP Match")</f>
        <v>No CUSIP Match</v>
      </c>
      <c r="G259" s="72" t="str">
        <f aca="false">IFERROR(INDEX('13F Data'!D:D,MATCH($B259,'13F Data'!A:A,0)),"No CUSIP Match")</f>
        <v>No CUSIP Match</v>
      </c>
      <c r="J259" s="73" t="n">
        <f aca="false">$V259</f>
        <v>16500000</v>
      </c>
      <c r="K259" s="71" t="str">
        <f aca="false">IFERROR(INDEX('EOD Data'!G:G, MATCH($A259, 'EOD Data'!B:B,0)), "No TKR Match")</f>
        <v>No TKR Match</v>
      </c>
      <c r="L259" s="71" t="str">
        <f aca="false">IFERROR(ROUND($J259*$K259,0),"Error")</f>
        <v>Error</v>
      </c>
      <c r="M259" s="71" t="str">
        <f aca="false">IFERROR(IF(AND($J259&lt;10000,$L259&lt;200000),"Yes","No"),"Error")</f>
        <v>No</v>
      </c>
      <c r="P259" s="42" t="str">
        <f aca="false">IF($N259="SOLE",$J259,"")</f>
        <v/>
      </c>
      <c r="Q259" s="42" t="str">
        <f aca="false">IFERROR(IF($N259="Sole",0,IF(AND($N259="OTR",$R259=0),$J259-$P259,IF(AND($N259="OTR", $R259&gt;0), $J259-$P259-$Q259, ""))),"")</f>
        <v/>
      </c>
      <c r="R259" s="42" t="str">
        <f aca="false">IF($P259=$J259, "0","")</f>
        <v/>
      </c>
      <c r="S259" s="42" t="str">
        <f aca="false">IF(OR(ISBLANK($B259),ISBLANK($C259), ISBLANK($E259), ISBLANK($F259), AND(ISBLANK($G259),ISBLANK($H259)), ISBLANK($I259), ISBLANK($L259), AND(ISBLANK($N259), ISBLANK($O259)), AND(ISBLANK($P259), ISBLANK($Q259), ISBLANK($R259))), "No", "Yes")</f>
        <v>No</v>
      </c>
      <c r="T259" s="42" t="str">
        <f aca="false">SUBSTITUTE($U259," ","")</f>
        <v>29786AAN6</v>
      </c>
      <c r="U259" s="42" t="s">
        <v>363</v>
      </c>
      <c r="V259" s="39" t="n">
        <v>16500000</v>
      </c>
    </row>
    <row r="260" customFormat="false" ht="15" hidden="false" customHeight="false" outlineLevel="0" collapsed="false">
      <c r="B260" s="70" t="s">
        <v>365</v>
      </c>
      <c r="C260" s="71" t="str">
        <f aca="false">IFERROR(INDEX('13F Data'!A:A,MATCH($B260,'13F Data'!A:A,0)),"No CUSIP Match")</f>
        <v>No CUSIP Match</v>
      </c>
      <c r="D260" s="71" t="str">
        <f aca="false">IFERROR(IF($B260=$C260,"Yes","No"),"No CUSIP Match")</f>
        <v>No</v>
      </c>
      <c r="E260" s="71"/>
      <c r="F260" s="71" t="str">
        <f aca="false">IFERROR(INDEX('13F Data'!C:C, MATCH($B260,'13F Data'!A:A,0)),"No CUSIP Match")</f>
        <v>No CUSIP Match</v>
      </c>
      <c r="G260" s="72" t="str">
        <f aca="false">IFERROR(INDEX('13F Data'!D:D,MATCH($B260,'13F Data'!A:A,0)),"No CUSIP Match")</f>
        <v>No CUSIP Match</v>
      </c>
      <c r="J260" s="73" t="n">
        <f aca="false">$V260</f>
        <v>15000000</v>
      </c>
      <c r="K260" s="71" t="str">
        <f aca="false">IFERROR(INDEX('EOD Data'!G:G, MATCH($A260, 'EOD Data'!B:B,0)), "No TKR Match")</f>
        <v>No TKR Match</v>
      </c>
      <c r="L260" s="71" t="str">
        <f aca="false">IFERROR(ROUND($J260*$K260,0),"Error")</f>
        <v>Error</v>
      </c>
      <c r="M260" s="71" t="str">
        <f aca="false">IFERROR(IF(AND($J260&lt;10000,$L260&lt;200000),"Yes","No"),"Error")</f>
        <v>No</v>
      </c>
      <c r="P260" s="42" t="str">
        <f aca="false">IF($N260="SOLE",$J260,"")</f>
        <v/>
      </c>
      <c r="Q260" s="42" t="str">
        <f aca="false">IFERROR(IF($N260="Sole",0,IF(AND($N260="OTR",$R260=0),$J260-$P260,IF(AND($N260="OTR", $R260&gt;0), $J260-$P260-$Q260, ""))),"")</f>
        <v/>
      </c>
      <c r="R260" s="42" t="str">
        <f aca="false">IF($P260=$J260, "0","")</f>
        <v/>
      </c>
      <c r="S260" s="42" t="str">
        <f aca="false">IF(OR(ISBLANK($B260),ISBLANK($C260), ISBLANK($E260), ISBLANK($F260), AND(ISBLANK($G260),ISBLANK($H260)), ISBLANK($I260), ISBLANK($L260), AND(ISBLANK($N260), ISBLANK($O260)), AND(ISBLANK($P260), ISBLANK($Q260), ISBLANK($R260))), "No", "Yes")</f>
        <v>No</v>
      </c>
      <c r="T260" s="42" t="str">
        <f aca="false">SUBSTITUTE($U260," ","")</f>
        <v>30034WAC0</v>
      </c>
      <c r="U260" s="42" t="s">
        <v>365</v>
      </c>
      <c r="V260" s="39" t="n">
        <v>15000000</v>
      </c>
    </row>
    <row r="261" customFormat="false" ht="15" hidden="false" customHeight="false" outlineLevel="0" collapsed="false">
      <c r="B261" s="70" t="s">
        <v>367</v>
      </c>
      <c r="C261" s="71" t="str">
        <f aca="false">IFERROR(INDEX('13F Data'!A:A,MATCH($B261,'13F Data'!A:A,0)),"No CUSIP Match")</f>
        <v>No CUSIP Match</v>
      </c>
      <c r="D261" s="71" t="str">
        <f aca="false">IFERROR(IF($B261=$C261,"Yes","No"),"No CUSIP Match")</f>
        <v>No</v>
      </c>
      <c r="E261" s="71"/>
      <c r="F261" s="71" t="str">
        <f aca="false">IFERROR(INDEX('13F Data'!C:C, MATCH($B261,'13F Data'!A:A,0)),"No CUSIP Match")</f>
        <v>No CUSIP Match</v>
      </c>
      <c r="G261" s="72" t="str">
        <f aca="false">IFERROR(INDEX('13F Data'!D:D,MATCH($B261,'13F Data'!A:A,0)),"No CUSIP Match")</f>
        <v>No CUSIP Match</v>
      </c>
      <c r="J261" s="73" t="n">
        <f aca="false">$V261</f>
        <v>31750000</v>
      </c>
      <c r="K261" s="71" t="str">
        <f aca="false">IFERROR(INDEX('EOD Data'!G:G, MATCH($A261, 'EOD Data'!B:B,0)), "No TKR Match")</f>
        <v>No TKR Match</v>
      </c>
      <c r="L261" s="71" t="str">
        <f aca="false">IFERROR(ROUND($J261*$K261,0),"Error")</f>
        <v>Error</v>
      </c>
      <c r="M261" s="71" t="str">
        <f aca="false">IFERROR(IF(AND($J261&lt;10000,$L261&lt;200000),"Yes","No"),"Error")</f>
        <v>No</v>
      </c>
      <c r="P261" s="42" t="str">
        <f aca="false">IF($N261="SOLE",$J261,"")</f>
        <v/>
      </c>
      <c r="Q261" s="42" t="str">
        <f aca="false">IFERROR(IF($N261="Sole",0,IF(AND($N261="OTR",$R261=0),$J261-$P261,IF(AND($N261="OTR", $R261&gt;0), $J261-$P261-$Q261, ""))),"")</f>
        <v/>
      </c>
      <c r="R261" s="42" t="str">
        <f aca="false">IF($P261=$J261, "0","")</f>
        <v/>
      </c>
      <c r="S261" s="42" t="str">
        <f aca="false">IF(OR(ISBLANK($B261),ISBLANK($C261), ISBLANK($E261), ISBLANK($F261), AND(ISBLANK($G261),ISBLANK($H261)), ISBLANK($I261), ISBLANK($L261), AND(ISBLANK($N261), ISBLANK($O261)), AND(ISBLANK($P261), ISBLANK($Q261), ISBLANK($R261))), "No", "Yes")</f>
        <v>No</v>
      </c>
      <c r="T261" s="42" t="str">
        <f aca="false">SUBSTITUTE($U261," ","")</f>
        <v>30050BAG6</v>
      </c>
      <c r="U261" s="42" t="s">
        <v>367</v>
      </c>
      <c r="V261" s="39" t="n">
        <v>31750000</v>
      </c>
    </row>
    <row r="262" customFormat="false" ht="15" hidden="false" customHeight="false" outlineLevel="0" collapsed="false">
      <c r="B262" s="70" t="s">
        <v>369</v>
      </c>
      <c r="C262" s="71" t="str">
        <f aca="false">IFERROR(INDEX('13F Data'!A:A,MATCH($B262,'13F Data'!A:A,0)),"No CUSIP Match")</f>
        <v>No CUSIP Match</v>
      </c>
      <c r="D262" s="71" t="str">
        <f aca="false">IFERROR(IF($B262=$C262,"Yes","No"),"No CUSIP Match")</f>
        <v>No</v>
      </c>
      <c r="E262" s="71"/>
      <c r="F262" s="71" t="str">
        <f aca="false">IFERROR(INDEX('13F Data'!C:C, MATCH($B262,'13F Data'!A:A,0)),"No CUSIP Match")</f>
        <v>No CUSIP Match</v>
      </c>
      <c r="G262" s="72" t="str">
        <f aca="false">IFERROR(INDEX('13F Data'!D:D,MATCH($B262,'13F Data'!A:A,0)),"No CUSIP Match")</f>
        <v>No CUSIP Match</v>
      </c>
      <c r="J262" s="73" t="n">
        <f aca="false">$V262</f>
        <v>22500000</v>
      </c>
      <c r="K262" s="71" t="str">
        <f aca="false">IFERROR(INDEX('EOD Data'!G:G, MATCH($A262, 'EOD Data'!B:B,0)), "No TKR Match")</f>
        <v>No TKR Match</v>
      </c>
      <c r="L262" s="71" t="str">
        <f aca="false">IFERROR(ROUND($J262*$K262,0),"Error")</f>
        <v>Error</v>
      </c>
      <c r="M262" s="71" t="str">
        <f aca="false">IFERROR(IF(AND($J262&lt;10000,$L262&lt;200000),"Yes","No"),"Error")</f>
        <v>No</v>
      </c>
      <c r="P262" s="42" t="str">
        <f aca="false">IF($N262="SOLE",$J262,"")</f>
        <v/>
      </c>
      <c r="Q262" s="42" t="str">
        <f aca="false">IFERROR(IF($N262="Sole",0,IF(AND($N262="OTR",$R262=0),$J262-$P262,IF(AND($N262="OTR", $R262&gt;0), $J262-$P262-$Q262, ""))),"")</f>
        <v/>
      </c>
      <c r="R262" s="42" t="str">
        <f aca="false">IF($P262=$J262, "0","")</f>
        <v/>
      </c>
      <c r="S262" s="42" t="str">
        <f aca="false">IF(OR(ISBLANK($B262),ISBLANK($C262), ISBLANK($E262), ISBLANK($F262), AND(ISBLANK($G262),ISBLANK($H262)), ISBLANK($I262), ISBLANK($L262), AND(ISBLANK($N262), ISBLANK($O262)), AND(ISBLANK($P262), ISBLANK($Q262), ISBLANK($R262))), "No", "Yes")</f>
        <v>No</v>
      </c>
      <c r="T262" s="42" t="str">
        <f aca="false">SUBSTITUTE($U262," ","")</f>
        <v>30063PAC9</v>
      </c>
      <c r="U262" s="42" t="s">
        <v>369</v>
      </c>
      <c r="V262" s="39" t="n">
        <v>22500000</v>
      </c>
    </row>
    <row r="263" customFormat="false" ht="15" hidden="false" customHeight="false" outlineLevel="0" collapsed="false">
      <c r="B263" s="70" t="s">
        <v>370</v>
      </c>
      <c r="C263" s="71" t="str">
        <f aca="false">IFERROR(INDEX('13F Data'!A:A,MATCH($B263,'13F Data'!A:A,0)),"No CUSIP Match")</f>
        <v>No CUSIP Match</v>
      </c>
      <c r="D263" s="71" t="str">
        <f aca="false">IFERROR(IF($B263=$C263,"Yes","No"),"No CUSIP Match")</f>
        <v>No</v>
      </c>
      <c r="E263" s="71"/>
      <c r="F263" s="71" t="str">
        <f aca="false">IFERROR(INDEX('13F Data'!C:C, MATCH($B263,'13F Data'!A:A,0)),"No CUSIP Match")</f>
        <v>No CUSIP Match</v>
      </c>
      <c r="G263" s="72" t="str">
        <f aca="false">IFERROR(INDEX('13F Data'!D:D,MATCH($B263,'13F Data'!A:A,0)),"No CUSIP Match")</f>
        <v>No CUSIP Match</v>
      </c>
      <c r="J263" s="73" t="n">
        <f aca="false">$V263</f>
        <v>22000000</v>
      </c>
      <c r="K263" s="71" t="str">
        <f aca="false">IFERROR(INDEX('EOD Data'!G:G, MATCH($A263, 'EOD Data'!B:B,0)), "No TKR Match")</f>
        <v>No TKR Match</v>
      </c>
      <c r="L263" s="71" t="str">
        <f aca="false">IFERROR(ROUND($J263*$K263,0),"Error")</f>
        <v>Error</v>
      </c>
      <c r="M263" s="71" t="str">
        <f aca="false">IFERROR(IF(AND($J263&lt;10000,$L263&lt;200000),"Yes","No"),"Error")</f>
        <v>No</v>
      </c>
      <c r="P263" s="42" t="str">
        <f aca="false">IF($N263="SOLE",$J263,"")</f>
        <v/>
      </c>
      <c r="Q263" s="42" t="str">
        <f aca="false">IFERROR(IF($N263="Sole",0,IF(AND($N263="OTR",$R263=0),$J263-$P263,IF(AND($N263="OTR", $R263&gt;0), $J263-$P263-$Q263, ""))),"")</f>
        <v/>
      </c>
      <c r="R263" s="42" t="str">
        <f aca="false">IF($P263=$J263, "0","")</f>
        <v/>
      </c>
      <c r="S263" s="42" t="str">
        <f aca="false">IF(OR(ISBLANK($B263),ISBLANK($C263), ISBLANK($E263), ISBLANK($F263), AND(ISBLANK($G263),ISBLANK($H263)), ISBLANK($I263), ISBLANK($L263), AND(ISBLANK($N263), ISBLANK($O263)), AND(ISBLANK($P263), ISBLANK($Q263), ISBLANK($R263))), "No", "Yes")</f>
        <v>No</v>
      </c>
      <c r="T263" s="42" t="str">
        <f aca="false">SUBSTITUTE($U263," ","")</f>
        <v>30063PAD7</v>
      </c>
      <c r="U263" s="42" t="s">
        <v>370</v>
      </c>
      <c r="V263" s="39" t="n">
        <v>22000000</v>
      </c>
    </row>
    <row r="264" customFormat="false" ht="15" hidden="false" customHeight="false" outlineLevel="0" collapsed="false">
      <c r="B264" s="70" t="s">
        <v>372</v>
      </c>
      <c r="C264" s="71" t="str">
        <f aca="false">IFERROR(INDEX('13F Data'!A:A,MATCH($B264,'13F Data'!A:A,0)),"No CUSIP Match")</f>
        <v>No CUSIP Match</v>
      </c>
      <c r="D264" s="71" t="str">
        <f aca="false">IFERROR(IF($B264=$C264,"Yes","No"),"No CUSIP Match")</f>
        <v>No</v>
      </c>
      <c r="E264" s="71"/>
      <c r="F264" s="71" t="str">
        <f aca="false">IFERROR(INDEX('13F Data'!C:C, MATCH($B264,'13F Data'!A:A,0)),"No CUSIP Match")</f>
        <v>No CUSIP Match</v>
      </c>
      <c r="G264" s="72" t="str">
        <f aca="false">IFERROR(INDEX('13F Data'!D:D,MATCH($B264,'13F Data'!A:A,0)),"No CUSIP Match")</f>
        <v>No CUSIP Match</v>
      </c>
      <c r="J264" s="73" t="n">
        <f aca="false">$V264</f>
        <v>3700</v>
      </c>
      <c r="K264" s="71" t="str">
        <f aca="false">IFERROR(INDEX('EOD Data'!G:G, MATCH($A264, 'EOD Data'!B:B,0)), "No TKR Match")</f>
        <v>No TKR Match</v>
      </c>
      <c r="L264" s="71" t="str">
        <f aca="false">IFERROR(ROUND($J264*$K264,0),"Error")</f>
        <v>Error</v>
      </c>
      <c r="M264" s="71" t="str">
        <f aca="false">IFERROR(IF(AND($J264&lt;10000,$L264&lt;200000),"Yes","No"),"Error")</f>
        <v>No</v>
      </c>
      <c r="P264" s="42" t="str">
        <f aca="false">IF($N264="SOLE",$J264,"")</f>
        <v/>
      </c>
      <c r="Q264" s="42" t="str">
        <f aca="false">IFERROR(IF($N264="Sole",0,IF(AND($N264="OTR",$R264=0),$J264-$P264,IF(AND($N264="OTR", $R264&gt;0), $J264-$P264-$Q264, ""))),"")</f>
        <v/>
      </c>
      <c r="R264" s="42" t="str">
        <f aca="false">IF($P264=$J264, "0","")</f>
        <v/>
      </c>
      <c r="S264" s="42" t="str">
        <f aca="false">IF(OR(ISBLANK($B264),ISBLANK($C264), ISBLANK($E264), ISBLANK($F264), AND(ISBLANK($G264),ISBLANK($H264)), ISBLANK($I264), ISBLANK($L264), AND(ISBLANK($N264), ISBLANK($O264)), AND(ISBLANK($P264), ISBLANK($Q264), ISBLANK($R264))), "No", "Yes")</f>
        <v>No</v>
      </c>
      <c r="T264" s="42" t="str">
        <f aca="false">SUBSTITUTE($U264," ","")</f>
        <v>30212P303</v>
      </c>
      <c r="U264" s="42" t="s">
        <v>372</v>
      </c>
      <c r="V264" s="39" t="n">
        <v>3700</v>
      </c>
    </row>
    <row r="265" customFormat="false" ht="15" hidden="false" customHeight="false" outlineLevel="0" collapsed="false">
      <c r="B265" s="70" t="s">
        <v>372</v>
      </c>
      <c r="C265" s="71" t="str">
        <f aca="false">IFERROR(INDEX('13F Data'!A:A,MATCH($B265,'13F Data'!A:A,0)),"No CUSIP Match")</f>
        <v>No CUSIP Match</v>
      </c>
      <c r="D265" s="71" t="str">
        <f aca="false">IFERROR(IF($B265=$C265,"Yes","No"),"No CUSIP Match")</f>
        <v>No</v>
      </c>
      <c r="E265" s="71"/>
      <c r="F265" s="71" t="str">
        <f aca="false">IFERROR(INDEX('13F Data'!C:C, MATCH($B265,'13F Data'!A:A,0)),"No CUSIP Match")</f>
        <v>No CUSIP Match</v>
      </c>
      <c r="G265" s="72" t="str">
        <f aca="false">IFERROR(INDEX('13F Data'!D:D,MATCH($B265,'13F Data'!A:A,0)),"No CUSIP Match")</f>
        <v>No CUSIP Match</v>
      </c>
      <c r="J265" s="73" t="n">
        <f aca="false">$V265</f>
        <v>3700</v>
      </c>
      <c r="K265" s="71" t="str">
        <f aca="false">IFERROR(INDEX('EOD Data'!G:G, MATCH($A265, 'EOD Data'!B:B,0)), "No TKR Match")</f>
        <v>No TKR Match</v>
      </c>
      <c r="L265" s="71" t="str">
        <f aca="false">IFERROR(ROUND($J265*$K265,0),"Error")</f>
        <v>Error</v>
      </c>
      <c r="M265" s="71" t="str">
        <f aca="false">IFERROR(IF(AND($J265&lt;10000,$L265&lt;200000),"Yes","No"),"Error")</f>
        <v>No</v>
      </c>
      <c r="P265" s="42" t="str">
        <f aca="false">IF($N265="SOLE",$J265,"")</f>
        <v/>
      </c>
      <c r="Q265" s="42" t="str">
        <f aca="false">IFERROR(IF($N265="Sole",0,IF(AND($N265="OTR",$R265=0),$J265-$P265,IF(AND($N265="OTR", $R265&gt;0), $J265-$P265-$Q265, ""))),"")</f>
        <v/>
      </c>
      <c r="R265" s="42" t="str">
        <f aca="false">IF($P265=$J265, "0","")</f>
        <v/>
      </c>
      <c r="S265" s="42" t="str">
        <f aca="false">IF(OR(ISBLANK($B265),ISBLANK($C265), ISBLANK($E265), ISBLANK($F265), AND(ISBLANK($G265),ISBLANK($H265)), ISBLANK($I265), ISBLANK($L265), AND(ISBLANK($N265), ISBLANK($O265)), AND(ISBLANK($P265), ISBLANK($Q265), ISBLANK($R265))), "No", "Yes")</f>
        <v>No</v>
      </c>
      <c r="T265" s="42" t="str">
        <f aca="false">SUBSTITUTE($U265," ","")</f>
        <v>30212P303</v>
      </c>
      <c r="U265" s="42" t="s">
        <v>372</v>
      </c>
      <c r="V265" s="39" t="n">
        <v>3700</v>
      </c>
    </row>
    <row r="266" customFormat="false" ht="15" hidden="false" customHeight="false" outlineLevel="0" collapsed="false">
      <c r="B266" s="70" t="s">
        <v>374</v>
      </c>
      <c r="C266" s="71" t="str">
        <f aca="false">IFERROR(INDEX('13F Data'!A:A,MATCH($B266,'13F Data'!A:A,0)),"No CUSIP Match")</f>
        <v>No CUSIP Match</v>
      </c>
      <c r="D266" s="71" t="str">
        <f aca="false">IFERROR(IF($B266=$C266,"Yes","No"),"No CUSIP Match")</f>
        <v>No</v>
      </c>
      <c r="E266" s="71"/>
      <c r="F266" s="71" t="str">
        <f aca="false">IFERROR(INDEX('13F Data'!C:C, MATCH($B266,'13F Data'!A:A,0)),"No CUSIP Match")</f>
        <v>No CUSIP Match</v>
      </c>
      <c r="G266" s="72" t="str">
        <f aca="false">IFERROR(INDEX('13F Data'!D:D,MATCH($B266,'13F Data'!A:A,0)),"No CUSIP Match")</f>
        <v>No CUSIP Match</v>
      </c>
      <c r="J266" s="73" t="n">
        <f aca="false">$V266</f>
        <v>34400</v>
      </c>
      <c r="K266" s="71" t="str">
        <f aca="false">IFERROR(INDEX('EOD Data'!G:G, MATCH($A266, 'EOD Data'!B:B,0)), "No TKR Match")</f>
        <v>No TKR Match</v>
      </c>
      <c r="L266" s="71" t="str">
        <f aca="false">IFERROR(ROUND($J266*$K266,0),"Error")</f>
        <v>Error</v>
      </c>
      <c r="M266" s="71" t="str">
        <f aca="false">IFERROR(IF(AND($J266&lt;10000,$L266&lt;200000),"Yes","No"),"Error")</f>
        <v>No</v>
      </c>
      <c r="P266" s="42" t="str">
        <f aca="false">IF($N266="SOLE",$J266,"")</f>
        <v/>
      </c>
      <c r="Q266" s="42" t="str">
        <f aca="false">IFERROR(IF($N266="Sole",0,IF(AND($N266="OTR",$R266=0),$J266-$P266,IF(AND($N266="OTR", $R266&gt;0), $J266-$P266-$Q266, ""))),"")</f>
        <v/>
      </c>
      <c r="R266" s="42" t="str">
        <f aca="false">IF($P266=$J266, "0","")</f>
        <v/>
      </c>
      <c r="S266" s="42" t="str">
        <f aca="false">IF(OR(ISBLANK($B266),ISBLANK($C266), ISBLANK($E266), ISBLANK($F266), AND(ISBLANK($G266),ISBLANK($H266)), ISBLANK($I266), ISBLANK($L266), AND(ISBLANK($N266), ISBLANK($O266)), AND(ISBLANK($P266), ISBLANK($Q266), ISBLANK($R266))), "No", "Yes")</f>
        <v>No</v>
      </c>
      <c r="T266" s="42" t="str">
        <f aca="false">SUBSTITUTE($U266," ","")</f>
        <v>30231G102</v>
      </c>
      <c r="U266" s="42" t="s">
        <v>374</v>
      </c>
      <c r="V266" s="39" t="n">
        <v>34400</v>
      </c>
    </row>
    <row r="267" customFormat="false" ht="15" hidden="false" customHeight="false" outlineLevel="0" collapsed="false">
      <c r="B267" s="70" t="s">
        <v>374</v>
      </c>
      <c r="C267" s="71" t="str">
        <f aca="false">IFERROR(INDEX('13F Data'!A:A,MATCH($B267,'13F Data'!A:A,0)),"No CUSIP Match")</f>
        <v>No CUSIP Match</v>
      </c>
      <c r="D267" s="71" t="str">
        <f aca="false">IFERROR(IF($B267=$C267,"Yes","No"),"No CUSIP Match")</f>
        <v>No</v>
      </c>
      <c r="E267" s="71"/>
      <c r="F267" s="71" t="str">
        <f aca="false">IFERROR(INDEX('13F Data'!C:C, MATCH($B267,'13F Data'!A:A,0)),"No CUSIP Match")</f>
        <v>No CUSIP Match</v>
      </c>
      <c r="G267" s="72" t="str">
        <f aca="false">IFERROR(INDEX('13F Data'!D:D,MATCH($B267,'13F Data'!A:A,0)),"No CUSIP Match")</f>
        <v>No CUSIP Match</v>
      </c>
      <c r="J267" s="73" t="n">
        <f aca="false">$V267</f>
        <v>34400</v>
      </c>
      <c r="K267" s="71" t="str">
        <f aca="false">IFERROR(INDEX('EOD Data'!G:G, MATCH($A267, 'EOD Data'!B:B,0)), "No TKR Match")</f>
        <v>No TKR Match</v>
      </c>
      <c r="L267" s="71" t="str">
        <f aca="false">IFERROR(ROUND($J267*$K267,0),"Error")</f>
        <v>Error</v>
      </c>
      <c r="M267" s="71" t="str">
        <f aca="false">IFERROR(IF(AND($J267&lt;10000,$L267&lt;200000),"Yes","No"),"Error")</f>
        <v>No</v>
      </c>
      <c r="P267" s="42" t="str">
        <f aca="false">IF($N267="SOLE",$J267,"")</f>
        <v/>
      </c>
      <c r="Q267" s="42" t="str">
        <f aca="false">IFERROR(IF($N267="Sole",0,IF(AND($N267="OTR",$R267=0),$J267-$P267,IF(AND($N267="OTR", $R267&gt;0), $J267-$P267-$Q267, ""))),"")</f>
        <v/>
      </c>
      <c r="R267" s="42" t="str">
        <f aca="false">IF($P267=$J267, "0","")</f>
        <v/>
      </c>
      <c r="S267" s="42" t="str">
        <f aca="false">IF(OR(ISBLANK($B267),ISBLANK($C267), ISBLANK($E267), ISBLANK($F267), AND(ISBLANK($G267),ISBLANK($H267)), ISBLANK($I267), ISBLANK($L267), AND(ISBLANK($N267), ISBLANK($O267)), AND(ISBLANK($P267), ISBLANK($Q267), ISBLANK($R267))), "No", "Yes")</f>
        <v>No</v>
      </c>
      <c r="T267" s="42" t="str">
        <f aca="false">SUBSTITUTE($U267," ","")</f>
        <v>30231G102</v>
      </c>
      <c r="U267" s="42" t="s">
        <v>374</v>
      </c>
      <c r="V267" s="39" t="n">
        <v>34400</v>
      </c>
    </row>
    <row r="268" customFormat="false" ht="15" hidden="false" customHeight="false" outlineLevel="0" collapsed="false">
      <c r="B268" s="70" t="s">
        <v>376</v>
      </c>
      <c r="C268" s="71" t="str">
        <f aca="false">IFERROR(INDEX('13F Data'!A:A,MATCH($B268,'13F Data'!A:A,0)),"No CUSIP Match")</f>
        <v>No CUSIP Match</v>
      </c>
      <c r="D268" s="71" t="str">
        <f aca="false">IFERROR(IF($B268=$C268,"Yes","No"),"No CUSIP Match")</f>
        <v>No</v>
      </c>
      <c r="E268" s="71"/>
      <c r="F268" s="71" t="str">
        <f aca="false">IFERROR(INDEX('13F Data'!C:C, MATCH($B268,'13F Data'!A:A,0)),"No CUSIP Match")</f>
        <v>No CUSIP Match</v>
      </c>
      <c r="G268" s="72" t="str">
        <f aca="false">IFERROR(INDEX('13F Data'!D:D,MATCH($B268,'13F Data'!A:A,0)),"No CUSIP Match")</f>
        <v>No CUSIP Match</v>
      </c>
      <c r="J268" s="73" t="n">
        <f aca="false">$V268</f>
        <v>13824000</v>
      </c>
      <c r="K268" s="71" t="str">
        <f aca="false">IFERROR(INDEX('EOD Data'!G:G, MATCH($A268, 'EOD Data'!B:B,0)), "No TKR Match")</f>
        <v>No TKR Match</v>
      </c>
      <c r="L268" s="71" t="str">
        <f aca="false">IFERROR(ROUND($J268*$K268,0),"Error")</f>
        <v>Error</v>
      </c>
      <c r="M268" s="71" t="str">
        <f aca="false">IFERROR(IF(AND($J268&lt;10000,$L268&lt;200000),"Yes","No"),"Error")</f>
        <v>No</v>
      </c>
      <c r="P268" s="42" t="str">
        <f aca="false">IF($N268="SOLE",$J268,"")</f>
        <v/>
      </c>
      <c r="Q268" s="42" t="str">
        <f aca="false">IFERROR(IF($N268="Sole",0,IF(AND($N268="OTR",$R268=0),$J268-$P268,IF(AND($N268="OTR", $R268&gt;0), $J268-$P268-$Q268, ""))),"")</f>
        <v/>
      </c>
      <c r="R268" s="42" t="str">
        <f aca="false">IF($P268=$J268, "0","")</f>
        <v/>
      </c>
      <c r="S268" s="42" t="str">
        <f aca="false">IF(OR(ISBLANK($B268),ISBLANK($C268), ISBLANK($E268), ISBLANK($F268), AND(ISBLANK($G268),ISBLANK($H268)), ISBLANK($I268), ISBLANK($L268), AND(ISBLANK($N268), ISBLANK($O268)), AND(ISBLANK($P268), ISBLANK($Q268), ISBLANK($R268))), "No", "Yes")</f>
        <v>No</v>
      </c>
      <c r="T268" s="42" t="str">
        <f aca="false">SUBSTITUTE($U268," ","")</f>
        <v>302301AG1</v>
      </c>
      <c r="U268" s="42" t="s">
        <v>376</v>
      </c>
      <c r="V268" s="39" t="n">
        <v>13824000</v>
      </c>
    </row>
    <row r="269" customFormat="false" ht="15" hidden="false" customHeight="false" outlineLevel="0" collapsed="false">
      <c r="B269" s="70" t="s">
        <v>378</v>
      </c>
      <c r="C269" s="71" t="str">
        <f aca="false">IFERROR(INDEX('13F Data'!A:A,MATCH($B269,'13F Data'!A:A,0)),"No CUSIP Match")</f>
        <v>No CUSIP Match</v>
      </c>
      <c r="D269" s="71" t="str">
        <f aca="false">IFERROR(IF($B269=$C269,"Yes","No"),"No CUSIP Match")</f>
        <v>No</v>
      </c>
      <c r="E269" s="71"/>
      <c r="F269" s="71" t="str">
        <f aca="false">IFERROR(INDEX('13F Data'!C:C, MATCH($B269,'13F Data'!A:A,0)),"No CUSIP Match")</f>
        <v>No CUSIP Match</v>
      </c>
      <c r="G269" s="72" t="str">
        <f aca="false">IFERROR(INDEX('13F Data'!D:D,MATCH($B269,'13F Data'!A:A,0)),"No CUSIP Match")</f>
        <v>No CUSIP Match</v>
      </c>
      <c r="J269" s="73" t="n">
        <f aca="false">$V269</f>
        <v>11000000</v>
      </c>
      <c r="K269" s="71" t="str">
        <f aca="false">IFERROR(INDEX('EOD Data'!G:G, MATCH($A269, 'EOD Data'!B:B,0)), "No TKR Match")</f>
        <v>No TKR Match</v>
      </c>
      <c r="L269" s="71" t="str">
        <f aca="false">IFERROR(ROUND($J269*$K269,0),"Error")</f>
        <v>Error</v>
      </c>
      <c r="M269" s="71" t="str">
        <f aca="false">IFERROR(IF(AND($J269&lt;10000,$L269&lt;200000),"Yes","No"),"Error")</f>
        <v>No</v>
      </c>
      <c r="P269" s="42" t="str">
        <f aca="false">IF($N269="SOLE",$J269,"")</f>
        <v/>
      </c>
      <c r="Q269" s="42" t="str">
        <f aca="false">IFERROR(IF($N269="Sole",0,IF(AND($N269="OTR",$R269=0),$J269-$P269,IF(AND($N269="OTR", $R269&gt;0), $J269-$P269-$Q269, ""))),"")</f>
        <v/>
      </c>
      <c r="R269" s="42" t="str">
        <f aca="false">IF($P269=$J269, "0","")</f>
        <v/>
      </c>
      <c r="S269" s="42" t="str">
        <f aca="false">IF(OR(ISBLANK($B269),ISBLANK($C269), ISBLANK($E269), ISBLANK($F269), AND(ISBLANK($G269),ISBLANK($H269)), ISBLANK($I269), ISBLANK($L269), AND(ISBLANK($N269), ISBLANK($O269)), AND(ISBLANK($P269), ISBLANK($Q269), ISBLANK($R269))), "No", "Yes")</f>
        <v>No</v>
      </c>
      <c r="T269" s="42" t="str">
        <f aca="false">SUBSTITUTE($U269," ","")</f>
        <v>311642AA0</v>
      </c>
      <c r="U269" s="42" t="s">
        <v>378</v>
      </c>
      <c r="V269" s="39" t="n">
        <v>11000000</v>
      </c>
    </row>
    <row r="270" customFormat="false" ht="15" hidden="false" customHeight="false" outlineLevel="0" collapsed="false">
      <c r="B270" s="70" t="s">
        <v>380</v>
      </c>
      <c r="C270" s="71" t="str">
        <f aca="false">IFERROR(INDEX('13F Data'!A:A,MATCH($B270,'13F Data'!A:A,0)),"No CUSIP Match")</f>
        <v>No CUSIP Match</v>
      </c>
      <c r="D270" s="71" t="str">
        <f aca="false">IFERROR(IF($B270=$C270,"Yes","No"),"No CUSIP Match")</f>
        <v>No</v>
      </c>
      <c r="E270" s="71"/>
      <c r="F270" s="71" t="str">
        <f aca="false">IFERROR(INDEX('13F Data'!C:C, MATCH($B270,'13F Data'!A:A,0)),"No CUSIP Match")</f>
        <v>No CUSIP Match</v>
      </c>
      <c r="G270" s="72" t="str">
        <f aca="false">IFERROR(INDEX('13F Data'!D:D,MATCH($B270,'13F Data'!A:A,0)),"No CUSIP Match")</f>
        <v>No CUSIP Match</v>
      </c>
      <c r="J270" s="73" t="n">
        <f aca="false">$V270</f>
        <v>12382943</v>
      </c>
      <c r="K270" s="71" t="str">
        <f aca="false">IFERROR(INDEX('EOD Data'!G:G, MATCH($A270, 'EOD Data'!B:B,0)), "No TKR Match")</f>
        <v>No TKR Match</v>
      </c>
      <c r="L270" s="71" t="str">
        <f aca="false">IFERROR(ROUND($J270*$K270,0),"Error")</f>
        <v>Error</v>
      </c>
      <c r="M270" s="71" t="str">
        <f aca="false">IFERROR(IF(AND($J270&lt;10000,$L270&lt;200000),"Yes","No"),"Error")</f>
        <v>No</v>
      </c>
      <c r="P270" s="42" t="str">
        <f aca="false">IF($N270="SOLE",$J270,"")</f>
        <v/>
      </c>
      <c r="Q270" s="42" t="str">
        <f aca="false">IFERROR(IF($N270="Sole",0,IF(AND($N270="OTR",$R270=0),$J270-$P270,IF(AND($N270="OTR", $R270&gt;0), $J270-$P270-$Q270, ""))),"")</f>
        <v/>
      </c>
      <c r="R270" s="42" t="str">
        <f aca="false">IF($P270=$J270, "0","")</f>
        <v/>
      </c>
      <c r="S270" s="42" t="str">
        <f aca="false">IF(OR(ISBLANK($B270),ISBLANK($C270), ISBLANK($E270), ISBLANK($F270), AND(ISBLANK($G270),ISBLANK($H270)), ISBLANK($I270), ISBLANK($L270), AND(ISBLANK($N270), ISBLANK($O270)), AND(ISBLANK($P270), ISBLANK($Q270), ISBLANK($R270))), "No", "Yes")</f>
        <v>No</v>
      </c>
      <c r="T270" s="42" t="str">
        <f aca="false">SUBSTITUTE($U270," ","")</f>
        <v>313400624</v>
      </c>
      <c r="U270" s="42" t="s">
        <v>380</v>
      </c>
      <c r="V270" s="39" t="n">
        <v>12382943</v>
      </c>
    </row>
    <row r="271" customFormat="false" ht="15" hidden="false" customHeight="false" outlineLevel="0" collapsed="false">
      <c r="B271" s="70" t="s">
        <v>381</v>
      </c>
      <c r="C271" s="71" t="str">
        <f aca="false">IFERROR(INDEX('13F Data'!A:A,MATCH($B271,'13F Data'!A:A,0)),"No CUSIP Match")</f>
        <v>No CUSIP Match</v>
      </c>
      <c r="D271" s="71" t="str">
        <f aca="false">IFERROR(IF($B271=$C271,"Yes","No"),"No CUSIP Match")</f>
        <v>No</v>
      </c>
      <c r="E271" s="71"/>
      <c r="F271" s="71" t="str">
        <f aca="false">IFERROR(INDEX('13F Data'!C:C, MATCH($B271,'13F Data'!A:A,0)),"No CUSIP Match")</f>
        <v>No CUSIP Match</v>
      </c>
      <c r="G271" s="72" t="str">
        <f aca="false">IFERROR(INDEX('13F Data'!D:D,MATCH($B271,'13F Data'!A:A,0)),"No CUSIP Match")</f>
        <v>No CUSIP Match</v>
      </c>
      <c r="J271" s="73" t="n">
        <f aca="false">$V271</f>
        <v>755638</v>
      </c>
      <c r="K271" s="71" t="str">
        <f aca="false">IFERROR(INDEX('EOD Data'!G:G, MATCH($A271, 'EOD Data'!B:B,0)), "No TKR Match")</f>
        <v>No TKR Match</v>
      </c>
      <c r="L271" s="71" t="str">
        <f aca="false">IFERROR(ROUND($J271*$K271,0),"Error")</f>
        <v>Error</v>
      </c>
      <c r="M271" s="71" t="str">
        <f aca="false">IFERROR(IF(AND($J271&lt;10000,$L271&lt;200000),"Yes","No"),"Error")</f>
        <v>No</v>
      </c>
      <c r="P271" s="42" t="str">
        <f aca="false">IF($N271="SOLE",$J271,"")</f>
        <v/>
      </c>
      <c r="Q271" s="42" t="str">
        <f aca="false">IFERROR(IF($N271="Sole",0,IF(AND($N271="OTR",$R271=0),$J271-$P271,IF(AND($N271="OTR", $R271&gt;0), $J271-$P271-$Q271, ""))),"")</f>
        <v/>
      </c>
      <c r="R271" s="42" t="str">
        <f aca="false">IF($P271=$J271, "0","")</f>
        <v/>
      </c>
      <c r="S271" s="42" t="str">
        <f aca="false">IF(OR(ISBLANK($B271),ISBLANK($C271), ISBLANK($E271), ISBLANK($F271), AND(ISBLANK($G271),ISBLANK($H271)), ISBLANK($I271), ISBLANK($L271), AND(ISBLANK($N271), ISBLANK($O271)), AND(ISBLANK($P271), ISBLANK($Q271), ISBLANK($R271))), "No", "Yes")</f>
        <v>No</v>
      </c>
      <c r="T271" s="42" t="str">
        <f aca="false">SUBSTITUTE($U271," ","")</f>
        <v>313400640</v>
      </c>
      <c r="U271" s="42" t="s">
        <v>381</v>
      </c>
      <c r="V271" s="39" t="n">
        <v>755638</v>
      </c>
    </row>
    <row r="272" customFormat="false" ht="15" hidden="false" customHeight="false" outlineLevel="0" collapsed="false">
      <c r="B272" s="70" t="s">
        <v>382</v>
      </c>
      <c r="C272" s="71" t="str">
        <f aca="false">IFERROR(INDEX('13F Data'!A:A,MATCH($B272,'13F Data'!A:A,0)),"No CUSIP Match")</f>
        <v>No CUSIP Match</v>
      </c>
      <c r="D272" s="71" t="str">
        <f aca="false">IFERROR(IF($B272=$C272,"Yes","No"),"No CUSIP Match")</f>
        <v>No</v>
      </c>
      <c r="E272" s="71"/>
      <c r="F272" s="71" t="str">
        <f aca="false">IFERROR(INDEX('13F Data'!C:C, MATCH($B272,'13F Data'!A:A,0)),"No CUSIP Match")</f>
        <v>No CUSIP Match</v>
      </c>
      <c r="G272" s="72" t="str">
        <f aca="false">IFERROR(INDEX('13F Data'!D:D,MATCH($B272,'13F Data'!A:A,0)),"No CUSIP Match")</f>
        <v>No CUSIP Match</v>
      </c>
      <c r="J272" s="73" t="n">
        <f aca="false">$V272</f>
        <v>324717</v>
      </c>
      <c r="K272" s="71" t="str">
        <f aca="false">IFERROR(INDEX('EOD Data'!G:G, MATCH($A272, 'EOD Data'!B:B,0)), "No TKR Match")</f>
        <v>No TKR Match</v>
      </c>
      <c r="L272" s="71" t="str">
        <f aca="false">IFERROR(ROUND($J272*$K272,0),"Error")</f>
        <v>Error</v>
      </c>
      <c r="M272" s="71" t="str">
        <f aca="false">IFERROR(IF(AND($J272&lt;10000,$L272&lt;200000),"Yes","No"),"Error")</f>
        <v>No</v>
      </c>
      <c r="P272" s="42" t="str">
        <f aca="false">IF($N272="SOLE",$J272,"")</f>
        <v/>
      </c>
      <c r="Q272" s="42" t="str">
        <f aca="false">IFERROR(IF($N272="Sole",0,IF(AND($N272="OTR",$R272=0),$J272-$P272,IF(AND($N272="OTR", $R272&gt;0), $J272-$P272-$Q272, ""))),"")</f>
        <v/>
      </c>
      <c r="R272" s="42" t="str">
        <f aca="false">IF($P272=$J272, "0","")</f>
        <v/>
      </c>
      <c r="S272" s="42" t="str">
        <f aca="false">IF(OR(ISBLANK($B272),ISBLANK($C272), ISBLANK($E272), ISBLANK($F272), AND(ISBLANK($G272),ISBLANK($H272)), ISBLANK($I272), ISBLANK($L272), AND(ISBLANK($N272), ISBLANK($O272)), AND(ISBLANK($P272), ISBLANK($Q272), ISBLANK($R272))), "No", "Yes")</f>
        <v>No</v>
      </c>
      <c r="T272" s="42" t="str">
        <f aca="false">SUBSTITUTE($U272," ","")</f>
        <v>313400657</v>
      </c>
      <c r="U272" s="42" t="s">
        <v>382</v>
      </c>
      <c r="V272" s="39" t="n">
        <v>324717</v>
      </c>
    </row>
    <row r="273" customFormat="false" ht="15" hidden="false" customHeight="false" outlineLevel="0" collapsed="false">
      <c r="B273" s="70" t="s">
        <v>383</v>
      </c>
      <c r="C273" s="71" t="str">
        <f aca="false">IFERROR(INDEX('13F Data'!A:A,MATCH($B273,'13F Data'!A:A,0)),"No CUSIP Match")</f>
        <v>No CUSIP Match</v>
      </c>
      <c r="D273" s="71" t="str">
        <f aca="false">IFERROR(IF($B273=$C273,"Yes","No"),"No CUSIP Match")</f>
        <v>No</v>
      </c>
      <c r="E273" s="71"/>
      <c r="F273" s="71" t="str">
        <f aca="false">IFERROR(INDEX('13F Data'!C:C, MATCH($B273,'13F Data'!A:A,0)),"No CUSIP Match")</f>
        <v>No CUSIP Match</v>
      </c>
      <c r="G273" s="72" t="str">
        <f aca="false">IFERROR(INDEX('13F Data'!D:D,MATCH($B273,'13F Data'!A:A,0)),"No CUSIP Match")</f>
        <v>No CUSIP Match</v>
      </c>
      <c r="J273" s="73" t="n">
        <f aca="false">$V273</f>
        <v>686396</v>
      </c>
      <c r="K273" s="71" t="str">
        <f aca="false">IFERROR(INDEX('EOD Data'!G:G, MATCH($A273, 'EOD Data'!B:B,0)), "No TKR Match")</f>
        <v>No TKR Match</v>
      </c>
      <c r="L273" s="71" t="str">
        <f aca="false">IFERROR(ROUND($J273*$K273,0),"Error")</f>
        <v>Error</v>
      </c>
      <c r="M273" s="71" t="str">
        <f aca="false">IFERROR(IF(AND($J273&lt;10000,$L273&lt;200000),"Yes","No"),"Error")</f>
        <v>No</v>
      </c>
      <c r="P273" s="42" t="str">
        <f aca="false">IF($N273="SOLE",$J273,"")</f>
        <v/>
      </c>
      <c r="Q273" s="42" t="str">
        <f aca="false">IFERROR(IF($N273="Sole",0,IF(AND($N273="OTR",$R273=0),$J273-$P273,IF(AND($N273="OTR", $R273&gt;0), $J273-$P273-$Q273, ""))),"")</f>
        <v/>
      </c>
      <c r="R273" s="42" t="str">
        <f aca="false">IF($P273=$J273, "0","")</f>
        <v/>
      </c>
      <c r="S273" s="42" t="str">
        <f aca="false">IF(OR(ISBLANK($B273),ISBLANK($C273), ISBLANK($E273), ISBLANK($F273), AND(ISBLANK($G273),ISBLANK($H273)), ISBLANK($I273), ISBLANK($L273), AND(ISBLANK($N273), ISBLANK($O273)), AND(ISBLANK($P273), ISBLANK($Q273), ISBLANK($R273))), "No", "Yes")</f>
        <v>No</v>
      </c>
      <c r="T273" s="42" t="str">
        <f aca="false">SUBSTITUTE($U273," ","")</f>
        <v>313400665</v>
      </c>
      <c r="U273" s="42" t="s">
        <v>383</v>
      </c>
      <c r="V273" s="39" t="n">
        <v>686396</v>
      </c>
    </row>
    <row r="274" customFormat="false" ht="15" hidden="false" customHeight="false" outlineLevel="0" collapsed="false">
      <c r="B274" s="70" t="s">
        <v>384</v>
      </c>
      <c r="C274" s="71" t="str">
        <f aca="false">IFERROR(INDEX('13F Data'!A:A,MATCH($B274,'13F Data'!A:A,0)),"No CUSIP Match")</f>
        <v>No CUSIP Match</v>
      </c>
      <c r="D274" s="71" t="str">
        <f aca="false">IFERROR(IF($B274=$C274,"Yes","No"),"No CUSIP Match")</f>
        <v>No</v>
      </c>
      <c r="E274" s="71"/>
      <c r="F274" s="71" t="str">
        <f aca="false">IFERROR(INDEX('13F Data'!C:C, MATCH($B274,'13F Data'!A:A,0)),"No CUSIP Match")</f>
        <v>No CUSIP Match</v>
      </c>
      <c r="G274" s="72" t="str">
        <f aca="false">IFERROR(INDEX('13F Data'!D:D,MATCH($B274,'13F Data'!A:A,0)),"No CUSIP Match")</f>
        <v>No CUSIP Match</v>
      </c>
      <c r="J274" s="73" t="n">
        <f aca="false">$V274</f>
        <v>82600</v>
      </c>
      <c r="K274" s="71" t="str">
        <f aca="false">IFERROR(INDEX('EOD Data'!G:G, MATCH($A274, 'EOD Data'!B:B,0)), "No TKR Match")</f>
        <v>No TKR Match</v>
      </c>
      <c r="L274" s="71" t="str">
        <f aca="false">IFERROR(ROUND($J274*$K274,0),"Error")</f>
        <v>Error</v>
      </c>
      <c r="M274" s="71" t="str">
        <f aca="false">IFERROR(IF(AND($J274&lt;10000,$L274&lt;200000),"Yes","No"),"Error")</f>
        <v>No</v>
      </c>
      <c r="P274" s="42" t="str">
        <f aca="false">IF($N274="SOLE",$J274,"")</f>
        <v/>
      </c>
      <c r="Q274" s="42" t="str">
        <f aca="false">IFERROR(IF($N274="Sole",0,IF(AND($N274="OTR",$R274=0),$J274-$P274,IF(AND($N274="OTR", $R274&gt;0), $J274-$P274-$Q274, ""))),"")</f>
        <v/>
      </c>
      <c r="R274" s="42" t="str">
        <f aca="false">IF($P274=$J274, "0","")</f>
        <v/>
      </c>
      <c r="S274" s="42" t="str">
        <f aca="false">IF(OR(ISBLANK($B274),ISBLANK($C274), ISBLANK($E274), ISBLANK($F274), AND(ISBLANK($G274),ISBLANK($H274)), ISBLANK($I274), ISBLANK($L274), AND(ISBLANK($N274), ISBLANK($O274)), AND(ISBLANK($P274), ISBLANK($Q274), ISBLANK($R274))), "No", "Yes")</f>
        <v>No</v>
      </c>
      <c r="T274" s="42" t="str">
        <f aca="false">SUBSTITUTE($U274," ","")</f>
        <v>313400673</v>
      </c>
      <c r="U274" s="42" t="s">
        <v>384</v>
      </c>
      <c r="V274" s="39" t="n">
        <v>82600</v>
      </c>
    </row>
    <row r="275" customFormat="false" ht="15" hidden="false" customHeight="false" outlineLevel="0" collapsed="false">
      <c r="B275" s="70" t="s">
        <v>385</v>
      </c>
      <c r="C275" s="71" t="str">
        <f aca="false">IFERROR(INDEX('13F Data'!A:A,MATCH($B275,'13F Data'!A:A,0)),"No CUSIP Match")</f>
        <v>No CUSIP Match</v>
      </c>
      <c r="D275" s="71" t="str">
        <f aca="false">IFERROR(IF($B275=$C275,"Yes","No"),"No CUSIP Match")</f>
        <v>No</v>
      </c>
      <c r="E275" s="71"/>
      <c r="F275" s="71" t="str">
        <f aca="false">IFERROR(INDEX('13F Data'!C:C, MATCH($B275,'13F Data'!A:A,0)),"No CUSIP Match")</f>
        <v>No CUSIP Match</v>
      </c>
      <c r="G275" s="72" t="str">
        <f aca="false">IFERROR(INDEX('13F Data'!D:D,MATCH($B275,'13F Data'!A:A,0)),"No CUSIP Match")</f>
        <v>No CUSIP Match</v>
      </c>
      <c r="J275" s="73" t="n">
        <f aca="false">$V275</f>
        <v>35000</v>
      </c>
      <c r="K275" s="71" t="str">
        <f aca="false">IFERROR(INDEX('EOD Data'!G:G, MATCH($A275, 'EOD Data'!B:B,0)), "No TKR Match")</f>
        <v>No TKR Match</v>
      </c>
      <c r="L275" s="71" t="str">
        <f aca="false">IFERROR(ROUND($J275*$K275,0),"Error")</f>
        <v>Error</v>
      </c>
      <c r="M275" s="71" t="str">
        <f aca="false">IFERROR(IF(AND($J275&lt;10000,$L275&lt;200000),"Yes","No"),"Error")</f>
        <v>No</v>
      </c>
      <c r="P275" s="42" t="str">
        <f aca="false">IF($N275="SOLE",$J275,"")</f>
        <v/>
      </c>
      <c r="Q275" s="42" t="str">
        <f aca="false">IFERROR(IF($N275="Sole",0,IF(AND($N275="OTR",$R275=0),$J275-$P275,IF(AND($N275="OTR", $R275&gt;0), $J275-$P275-$Q275, ""))),"")</f>
        <v/>
      </c>
      <c r="R275" s="42" t="str">
        <f aca="false">IF($P275=$J275, "0","")</f>
        <v/>
      </c>
      <c r="S275" s="42" t="str">
        <f aca="false">IF(OR(ISBLANK($B275),ISBLANK($C275), ISBLANK($E275), ISBLANK($F275), AND(ISBLANK($G275),ISBLANK($H275)), ISBLANK($I275), ISBLANK($L275), AND(ISBLANK($N275), ISBLANK($O275)), AND(ISBLANK($P275), ISBLANK($Q275), ISBLANK($R275))), "No", "Yes")</f>
        <v>No</v>
      </c>
      <c r="T275" s="42" t="str">
        <f aca="false">SUBSTITUTE($U275," ","")</f>
        <v>313400723</v>
      </c>
      <c r="U275" s="42" t="s">
        <v>385</v>
      </c>
      <c r="V275" s="39" t="n">
        <v>35000</v>
      </c>
    </row>
    <row r="276" customFormat="false" ht="15" hidden="false" customHeight="false" outlineLevel="0" collapsed="false">
      <c r="B276" s="70" t="s">
        <v>386</v>
      </c>
      <c r="C276" s="71" t="str">
        <f aca="false">IFERROR(INDEX('13F Data'!A:A,MATCH($B276,'13F Data'!A:A,0)),"No CUSIP Match")</f>
        <v>No CUSIP Match</v>
      </c>
      <c r="D276" s="71" t="str">
        <f aca="false">IFERROR(IF($B276=$C276,"Yes","No"),"No CUSIP Match")</f>
        <v>No</v>
      </c>
      <c r="E276" s="71"/>
      <c r="F276" s="71" t="str">
        <f aca="false">IFERROR(INDEX('13F Data'!C:C, MATCH($B276,'13F Data'!A:A,0)),"No CUSIP Match")</f>
        <v>No CUSIP Match</v>
      </c>
      <c r="G276" s="72" t="str">
        <f aca="false">IFERROR(INDEX('13F Data'!D:D,MATCH($B276,'13F Data'!A:A,0)),"No CUSIP Match")</f>
        <v>No CUSIP Match</v>
      </c>
      <c r="J276" s="73" t="n">
        <f aca="false">$V276</f>
        <v>74000</v>
      </c>
      <c r="K276" s="71" t="str">
        <f aca="false">IFERROR(INDEX('EOD Data'!G:G, MATCH($A276, 'EOD Data'!B:B,0)), "No TKR Match")</f>
        <v>No TKR Match</v>
      </c>
      <c r="L276" s="71" t="str">
        <f aca="false">IFERROR(ROUND($J276*$K276,0),"Error")</f>
        <v>Error</v>
      </c>
      <c r="M276" s="71" t="str">
        <f aca="false">IFERROR(IF(AND($J276&lt;10000,$L276&lt;200000),"Yes","No"),"Error")</f>
        <v>No</v>
      </c>
      <c r="P276" s="42" t="str">
        <f aca="false">IF($N276="SOLE",$J276,"")</f>
        <v/>
      </c>
      <c r="Q276" s="42" t="str">
        <f aca="false">IFERROR(IF($N276="Sole",0,IF(AND($N276="OTR",$R276=0),$J276-$P276,IF(AND($N276="OTR", $R276&gt;0), $J276-$P276-$Q276, ""))),"")</f>
        <v/>
      </c>
      <c r="R276" s="42" t="str">
        <f aca="false">IF($P276=$J276, "0","")</f>
        <v/>
      </c>
      <c r="S276" s="42" t="str">
        <f aca="false">IF(OR(ISBLANK($B276),ISBLANK($C276), ISBLANK($E276), ISBLANK($F276), AND(ISBLANK($G276),ISBLANK($H276)), ISBLANK($I276), ISBLANK($L276), AND(ISBLANK($N276), ISBLANK($O276)), AND(ISBLANK($P276), ISBLANK($Q276), ISBLANK($R276))), "No", "Yes")</f>
        <v>No</v>
      </c>
      <c r="T276" s="42" t="str">
        <f aca="false">SUBSTITUTE($U276," ","")</f>
        <v>313400772</v>
      </c>
      <c r="U276" s="42" t="s">
        <v>386</v>
      </c>
      <c r="V276" s="39" t="n">
        <v>74000</v>
      </c>
    </row>
    <row r="277" customFormat="false" ht="15" hidden="false" customHeight="false" outlineLevel="0" collapsed="false">
      <c r="B277" s="70" t="s">
        <v>387</v>
      </c>
      <c r="C277" s="71" t="str">
        <f aca="false">IFERROR(INDEX('13F Data'!A:A,MATCH($B277,'13F Data'!A:A,0)),"No CUSIP Match")</f>
        <v>No CUSIP Match</v>
      </c>
      <c r="D277" s="71" t="str">
        <f aca="false">IFERROR(IF($B277=$C277,"Yes","No"),"No CUSIP Match")</f>
        <v>No</v>
      </c>
      <c r="E277" s="71"/>
      <c r="F277" s="71" t="str">
        <f aca="false">IFERROR(INDEX('13F Data'!C:C, MATCH($B277,'13F Data'!A:A,0)),"No CUSIP Match")</f>
        <v>No CUSIP Match</v>
      </c>
      <c r="G277" s="72" t="str">
        <f aca="false">IFERROR(INDEX('13F Data'!D:D,MATCH($B277,'13F Data'!A:A,0)),"No CUSIP Match")</f>
        <v>No CUSIP Match</v>
      </c>
      <c r="J277" s="73" t="n">
        <f aca="false">$V277</f>
        <v>18000</v>
      </c>
      <c r="K277" s="71" t="str">
        <f aca="false">IFERROR(INDEX('EOD Data'!G:G, MATCH($A277, 'EOD Data'!B:B,0)), "No TKR Match")</f>
        <v>No TKR Match</v>
      </c>
      <c r="L277" s="71" t="str">
        <f aca="false">IFERROR(ROUND($J277*$K277,0),"Error")</f>
        <v>Error</v>
      </c>
      <c r="M277" s="71" t="str">
        <f aca="false">IFERROR(IF(AND($J277&lt;10000,$L277&lt;200000),"Yes","No"),"Error")</f>
        <v>No</v>
      </c>
      <c r="P277" s="42" t="str">
        <f aca="false">IF($N277="SOLE",$J277,"")</f>
        <v/>
      </c>
      <c r="Q277" s="42" t="str">
        <f aca="false">IFERROR(IF($N277="Sole",0,IF(AND($N277="OTR",$R277=0),$J277-$P277,IF(AND($N277="OTR", $R277&gt;0), $J277-$P277-$Q277, ""))),"")</f>
        <v/>
      </c>
      <c r="R277" s="42" t="str">
        <f aca="false">IF($P277=$J277, "0","")</f>
        <v/>
      </c>
      <c r="S277" s="42" t="str">
        <f aca="false">IF(OR(ISBLANK($B277),ISBLANK($C277), ISBLANK($E277), ISBLANK($F277), AND(ISBLANK($G277),ISBLANK($H277)), ISBLANK($I277), ISBLANK($L277), AND(ISBLANK($N277), ISBLANK($O277)), AND(ISBLANK($P277), ISBLANK($Q277), ISBLANK($R277))), "No", "Yes")</f>
        <v>No</v>
      </c>
      <c r="T277" s="42" t="str">
        <f aca="false">SUBSTITUTE($U277," ","")</f>
        <v>313400889</v>
      </c>
      <c r="U277" s="42" t="s">
        <v>387</v>
      </c>
      <c r="V277" s="39" t="n">
        <v>18000</v>
      </c>
    </row>
    <row r="278" customFormat="false" ht="15" hidden="false" customHeight="false" outlineLevel="0" collapsed="false">
      <c r="B278" s="70" t="s">
        <v>389</v>
      </c>
      <c r="C278" s="71" t="str">
        <f aca="false">IFERROR(INDEX('13F Data'!A:A,MATCH($B278,'13F Data'!A:A,0)),"No CUSIP Match")</f>
        <v>No CUSIP Match</v>
      </c>
      <c r="D278" s="71" t="str">
        <f aca="false">IFERROR(IF($B278=$C278,"Yes","No"),"No CUSIP Match")</f>
        <v>No</v>
      </c>
      <c r="E278" s="71"/>
      <c r="F278" s="71" t="str">
        <f aca="false">IFERROR(INDEX('13F Data'!C:C, MATCH($B278,'13F Data'!A:A,0)),"No CUSIP Match")</f>
        <v>No CUSIP Match</v>
      </c>
      <c r="G278" s="72" t="str">
        <f aca="false">IFERROR(INDEX('13F Data'!D:D,MATCH($B278,'13F Data'!A:A,0)),"No CUSIP Match")</f>
        <v>No CUSIP Match</v>
      </c>
      <c r="J278" s="73" t="n">
        <f aca="false">$V278</f>
        <v>8544946</v>
      </c>
      <c r="K278" s="71" t="str">
        <f aca="false">IFERROR(INDEX('EOD Data'!G:G, MATCH($A278, 'EOD Data'!B:B,0)), "No TKR Match")</f>
        <v>No TKR Match</v>
      </c>
      <c r="L278" s="71" t="str">
        <f aca="false">IFERROR(ROUND($J278*$K278,0),"Error")</f>
        <v>Error</v>
      </c>
      <c r="M278" s="71" t="str">
        <f aca="false">IFERROR(IF(AND($J278&lt;10000,$L278&lt;200000),"Yes","No"),"Error")</f>
        <v>No</v>
      </c>
      <c r="P278" s="42" t="str">
        <f aca="false">IF($N278="SOLE",$J278,"")</f>
        <v/>
      </c>
      <c r="Q278" s="42" t="str">
        <f aca="false">IFERROR(IF($N278="Sole",0,IF(AND($N278="OTR",$R278=0),$J278-$P278,IF(AND($N278="OTR", $R278&gt;0), $J278-$P278-$Q278, ""))),"")</f>
        <v/>
      </c>
      <c r="R278" s="42" t="str">
        <f aca="false">IF($P278=$J278, "0","")</f>
        <v/>
      </c>
      <c r="S278" s="42" t="str">
        <f aca="false">IF(OR(ISBLANK($B278),ISBLANK($C278), ISBLANK($E278), ISBLANK($F278), AND(ISBLANK($G278),ISBLANK($H278)), ISBLANK($I278), ISBLANK($L278), AND(ISBLANK($N278), ISBLANK($O278)), AND(ISBLANK($P278), ISBLANK($Q278), ISBLANK($R278))), "No", "Yes")</f>
        <v>No</v>
      </c>
      <c r="T278" s="42" t="str">
        <f aca="false">SUBSTITUTE($U278," ","")</f>
        <v>313586752</v>
      </c>
      <c r="U278" s="42" t="s">
        <v>389</v>
      </c>
      <c r="V278" s="39" t="n">
        <v>8544946</v>
      </c>
    </row>
    <row r="279" customFormat="false" ht="15" hidden="false" customHeight="false" outlineLevel="0" collapsed="false">
      <c r="B279" s="70" t="s">
        <v>391</v>
      </c>
      <c r="C279" s="71" t="str">
        <f aca="false">IFERROR(INDEX('13F Data'!A:A,MATCH($B279,'13F Data'!A:A,0)),"No CUSIP Match")</f>
        <v>No CUSIP Match</v>
      </c>
      <c r="D279" s="71" t="str">
        <f aca="false">IFERROR(IF($B279=$C279,"Yes","No"),"No CUSIP Match")</f>
        <v>No</v>
      </c>
      <c r="E279" s="71"/>
      <c r="F279" s="71" t="str">
        <f aca="false">IFERROR(INDEX('13F Data'!C:C, MATCH($B279,'13F Data'!A:A,0)),"No CUSIP Match")</f>
        <v>No CUSIP Match</v>
      </c>
      <c r="G279" s="72" t="str">
        <f aca="false">IFERROR(INDEX('13F Data'!D:D,MATCH($B279,'13F Data'!A:A,0)),"No CUSIP Match")</f>
        <v>No CUSIP Match</v>
      </c>
      <c r="J279" s="73" t="n">
        <f aca="false">$V279</f>
        <v>94794</v>
      </c>
      <c r="K279" s="71" t="str">
        <f aca="false">IFERROR(INDEX('EOD Data'!G:G, MATCH($A279, 'EOD Data'!B:B,0)), "No TKR Match")</f>
        <v>No TKR Match</v>
      </c>
      <c r="L279" s="71" t="str">
        <f aca="false">IFERROR(ROUND($J279*$K279,0),"Error")</f>
        <v>Error</v>
      </c>
      <c r="M279" s="71" t="str">
        <f aca="false">IFERROR(IF(AND($J279&lt;10000,$L279&lt;200000),"Yes","No"),"Error")</f>
        <v>No</v>
      </c>
      <c r="P279" s="42" t="str">
        <f aca="false">IF($N279="SOLE",$J279,"")</f>
        <v/>
      </c>
      <c r="Q279" s="42" t="str">
        <f aca="false">IFERROR(IF($N279="Sole",0,IF(AND($N279="OTR",$R279=0),$J279-$P279,IF(AND($N279="OTR", $R279&gt;0), $J279-$P279-$Q279, ""))),"")</f>
        <v/>
      </c>
      <c r="R279" s="42" t="str">
        <f aca="false">IF($P279=$J279, "0","")</f>
        <v/>
      </c>
      <c r="S279" s="42" t="str">
        <f aca="false">IF(OR(ISBLANK($B279),ISBLANK($C279), ISBLANK($E279), ISBLANK($F279), AND(ISBLANK($G279),ISBLANK($H279)), ISBLANK($I279), ISBLANK($L279), AND(ISBLANK($N279), ISBLANK($O279)), AND(ISBLANK($P279), ISBLANK($Q279), ISBLANK($R279))), "No", "Yes")</f>
        <v>No</v>
      </c>
      <c r="T279" s="42" t="str">
        <f aca="false">SUBSTITUTE($U279," ","")</f>
        <v>81369Y605</v>
      </c>
      <c r="U279" s="42" t="s">
        <v>391</v>
      </c>
      <c r="V279" s="39" t="n">
        <v>94794</v>
      </c>
    </row>
    <row r="280" customFormat="false" ht="15" hidden="false" customHeight="false" outlineLevel="0" collapsed="false">
      <c r="B280" s="70" t="s">
        <v>391</v>
      </c>
      <c r="C280" s="71" t="str">
        <f aca="false">IFERROR(INDEX('13F Data'!A:A,MATCH($B280,'13F Data'!A:A,0)),"No CUSIP Match")</f>
        <v>No CUSIP Match</v>
      </c>
      <c r="D280" s="71" t="str">
        <f aca="false">IFERROR(IF($B280=$C280,"Yes","No"),"No CUSIP Match")</f>
        <v>No</v>
      </c>
      <c r="E280" s="71"/>
      <c r="F280" s="71" t="str">
        <f aca="false">IFERROR(INDEX('13F Data'!C:C, MATCH($B280,'13F Data'!A:A,0)),"No CUSIP Match")</f>
        <v>No CUSIP Match</v>
      </c>
      <c r="G280" s="72" t="str">
        <f aca="false">IFERROR(INDEX('13F Data'!D:D,MATCH($B280,'13F Data'!A:A,0)),"No CUSIP Match")</f>
        <v>No CUSIP Match</v>
      </c>
      <c r="J280" s="73" t="n">
        <f aca="false">$V280</f>
        <v>1200000</v>
      </c>
      <c r="K280" s="71" t="str">
        <f aca="false">IFERROR(INDEX('EOD Data'!G:G, MATCH($A280, 'EOD Data'!B:B,0)), "No TKR Match")</f>
        <v>No TKR Match</v>
      </c>
      <c r="L280" s="71" t="str">
        <f aca="false">IFERROR(ROUND($J280*$K280,0),"Error")</f>
        <v>Error</v>
      </c>
      <c r="M280" s="71" t="str">
        <f aca="false">IFERROR(IF(AND($J280&lt;10000,$L280&lt;200000),"Yes","No"),"Error")</f>
        <v>No</v>
      </c>
      <c r="P280" s="42" t="str">
        <f aca="false">IF($N280="SOLE",$J280,"")</f>
        <v/>
      </c>
      <c r="Q280" s="42" t="str">
        <f aca="false">IFERROR(IF($N280="Sole",0,IF(AND($N280="OTR",$R280=0),$J280-$P280,IF(AND($N280="OTR", $R280&gt;0), $J280-$P280-$Q280, ""))),"")</f>
        <v/>
      </c>
      <c r="R280" s="42" t="str">
        <f aca="false">IF($P280=$J280, "0","")</f>
        <v/>
      </c>
      <c r="S280" s="42" t="str">
        <f aca="false">IF(OR(ISBLANK($B280),ISBLANK($C280), ISBLANK($E280), ISBLANK($F280), AND(ISBLANK($G280),ISBLANK($H280)), ISBLANK($I280), ISBLANK($L280), AND(ISBLANK($N280), ISBLANK($O280)), AND(ISBLANK($P280), ISBLANK($Q280), ISBLANK($R280))), "No", "Yes")</f>
        <v>No</v>
      </c>
      <c r="T280" s="42" t="str">
        <f aca="false">SUBSTITUTE($U280," ","")</f>
        <v>81369Y605</v>
      </c>
      <c r="U280" s="42" t="s">
        <v>391</v>
      </c>
      <c r="V280" s="39" t="n">
        <v>1200000</v>
      </c>
    </row>
    <row r="281" customFormat="false" ht="15" hidden="false" customHeight="false" outlineLevel="0" collapsed="false">
      <c r="B281" s="70" t="s">
        <v>393</v>
      </c>
      <c r="C281" s="71" t="str">
        <f aca="false">IFERROR(INDEX('13F Data'!A:A,MATCH($B281,'13F Data'!A:A,0)),"No CUSIP Match")</f>
        <v>No CUSIP Match</v>
      </c>
      <c r="D281" s="71" t="str">
        <f aca="false">IFERROR(IF($B281=$C281,"Yes","No"),"No CUSIP Match")</f>
        <v>No</v>
      </c>
      <c r="E281" s="71"/>
      <c r="F281" s="71" t="str">
        <f aca="false">IFERROR(INDEX('13F Data'!C:C, MATCH($B281,'13F Data'!A:A,0)),"No CUSIP Match")</f>
        <v>No CUSIP Match</v>
      </c>
      <c r="G281" s="72" t="str">
        <f aca="false">IFERROR(INDEX('13F Data'!D:D,MATCH($B281,'13F Data'!A:A,0)),"No CUSIP Match")</f>
        <v>No CUSIP Match</v>
      </c>
      <c r="J281" s="73" t="n">
        <f aca="false">$V281</f>
        <v>1600</v>
      </c>
      <c r="K281" s="71" t="str">
        <f aca="false">IFERROR(INDEX('EOD Data'!G:G, MATCH($A281, 'EOD Data'!B:B,0)), "No TKR Match")</f>
        <v>No TKR Match</v>
      </c>
      <c r="L281" s="71" t="str">
        <f aca="false">IFERROR(ROUND($J281*$K281,0),"Error")</f>
        <v>Error</v>
      </c>
      <c r="M281" s="71" t="str">
        <f aca="false">IFERROR(IF(AND($J281&lt;10000,$L281&lt;200000),"Yes","No"),"Error")</f>
        <v>No</v>
      </c>
      <c r="P281" s="42" t="str">
        <f aca="false">IF($N281="SOLE",$J281,"")</f>
        <v/>
      </c>
      <c r="Q281" s="42" t="str">
        <f aca="false">IFERROR(IF($N281="Sole",0,IF(AND($N281="OTR",$R281=0),$J281-$P281,IF(AND($N281="OTR", $R281&gt;0), $J281-$P281-$Q281, ""))),"")</f>
        <v/>
      </c>
      <c r="R281" s="42" t="str">
        <f aca="false">IF($P281=$J281, "0","")</f>
        <v/>
      </c>
      <c r="S281" s="42" t="str">
        <f aca="false">IF(OR(ISBLANK($B281),ISBLANK($C281), ISBLANK($E281), ISBLANK($F281), AND(ISBLANK($G281),ISBLANK($H281)), ISBLANK($I281), ISBLANK($L281), AND(ISBLANK($N281), ISBLANK($O281)), AND(ISBLANK($P281), ISBLANK($Q281), ISBLANK($R281))), "No", "Yes")</f>
        <v>No</v>
      </c>
      <c r="T281" s="42" t="str">
        <f aca="false">SUBSTITUTE($U281," ","")</f>
        <v>337738108</v>
      </c>
      <c r="U281" s="42" t="s">
        <v>393</v>
      </c>
      <c r="V281" s="39" t="n">
        <v>1600</v>
      </c>
    </row>
    <row r="282" customFormat="false" ht="15" hidden="false" customHeight="false" outlineLevel="0" collapsed="false">
      <c r="B282" s="70" t="s">
        <v>393</v>
      </c>
      <c r="C282" s="71" t="str">
        <f aca="false">IFERROR(INDEX('13F Data'!A:A,MATCH($B282,'13F Data'!A:A,0)),"No CUSIP Match")</f>
        <v>No CUSIP Match</v>
      </c>
      <c r="D282" s="71" t="str">
        <f aca="false">IFERROR(IF($B282=$C282,"Yes","No"),"No CUSIP Match")</f>
        <v>No</v>
      </c>
      <c r="E282" s="71"/>
      <c r="F282" s="71" t="str">
        <f aca="false">IFERROR(INDEX('13F Data'!C:C, MATCH($B282,'13F Data'!A:A,0)),"No CUSIP Match")</f>
        <v>No CUSIP Match</v>
      </c>
      <c r="G282" s="72" t="str">
        <f aca="false">IFERROR(INDEX('13F Data'!D:D,MATCH($B282,'13F Data'!A:A,0)),"No CUSIP Match")</f>
        <v>No CUSIP Match</v>
      </c>
      <c r="J282" s="73" t="n">
        <f aca="false">$V282</f>
        <v>1600</v>
      </c>
      <c r="K282" s="71" t="str">
        <f aca="false">IFERROR(INDEX('EOD Data'!G:G, MATCH($A282, 'EOD Data'!B:B,0)), "No TKR Match")</f>
        <v>No TKR Match</v>
      </c>
      <c r="L282" s="71" t="str">
        <f aca="false">IFERROR(ROUND($J282*$K282,0),"Error")</f>
        <v>Error</v>
      </c>
      <c r="M282" s="71" t="str">
        <f aca="false">IFERROR(IF(AND($J282&lt;10000,$L282&lt;200000),"Yes","No"),"Error")</f>
        <v>No</v>
      </c>
      <c r="P282" s="42" t="str">
        <f aca="false">IF($N282="SOLE",$J282,"")</f>
        <v/>
      </c>
      <c r="Q282" s="42" t="str">
        <f aca="false">IFERROR(IF($N282="Sole",0,IF(AND($N282="OTR",$R282=0),$J282-$P282,IF(AND($N282="OTR", $R282&gt;0), $J282-$P282-$Q282, ""))),"")</f>
        <v/>
      </c>
      <c r="R282" s="42" t="str">
        <f aca="false">IF($P282=$J282, "0","")</f>
        <v/>
      </c>
      <c r="S282" s="42" t="str">
        <f aca="false">IF(OR(ISBLANK($B282),ISBLANK($C282), ISBLANK($E282), ISBLANK($F282), AND(ISBLANK($G282),ISBLANK($H282)), ISBLANK($I282), ISBLANK($L282), AND(ISBLANK($N282), ISBLANK($O282)), AND(ISBLANK($P282), ISBLANK($Q282), ISBLANK($R282))), "No", "Yes")</f>
        <v>No</v>
      </c>
      <c r="T282" s="42" t="str">
        <f aca="false">SUBSTITUTE($U282," ","")</f>
        <v>337738108</v>
      </c>
      <c r="U282" s="42" t="s">
        <v>393</v>
      </c>
      <c r="V282" s="39" t="n">
        <v>1600</v>
      </c>
    </row>
    <row r="283" customFormat="false" ht="15" hidden="false" customHeight="false" outlineLevel="0" collapsed="false">
      <c r="B283" s="70" t="s">
        <v>395</v>
      </c>
      <c r="C283" s="71" t="str">
        <f aca="false">IFERROR(INDEX('13F Data'!A:A,MATCH($B283,'13F Data'!A:A,0)),"No CUSIP Match")</f>
        <v>No CUSIP Match</v>
      </c>
      <c r="D283" s="71" t="str">
        <f aca="false">IFERROR(IF($B283=$C283,"Yes","No"),"No CUSIP Match")</f>
        <v>No</v>
      </c>
      <c r="E283" s="71"/>
      <c r="F283" s="71" t="str">
        <f aca="false">IFERROR(INDEX('13F Data'!C:C, MATCH($B283,'13F Data'!A:A,0)),"No CUSIP Match")</f>
        <v>No CUSIP Match</v>
      </c>
      <c r="G283" s="72" t="str">
        <f aca="false">IFERROR(INDEX('13F Data'!D:D,MATCH($B283,'13F Data'!A:A,0)),"No CUSIP Match")</f>
        <v>No CUSIP Match</v>
      </c>
      <c r="J283" s="73" t="n">
        <f aca="false">$V283</f>
        <v>502440</v>
      </c>
      <c r="K283" s="71" t="str">
        <f aca="false">IFERROR(INDEX('EOD Data'!G:G, MATCH($A283, 'EOD Data'!B:B,0)), "No TKR Match")</f>
        <v>No TKR Match</v>
      </c>
      <c r="L283" s="71" t="str">
        <f aca="false">IFERROR(ROUND($J283*$K283,0),"Error")</f>
        <v>Error</v>
      </c>
      <c r="M283" s="71" t="str">
        <f aca="false">IFERROR(IF(AND($J283&lt;10000,$L283&lt;200000),"Yes","No"),"Error")</f>
        <v>No</v>
      </c>
      <c r="P283" s="42" t="str">
        <f aca="false">IF($N283="SOLE",$J283,"")</f>
        <v/>
      </c>
      <c r="Q283" s="42" t="str">
        <f aca="false">IFERROR(IF($N283="Sole",0,IF(AND($N283="OTR",$R283=0),$J283-$P283,IF(AND($N283="OTR", $R283&gt;0), $J283-$P283-$Q283, ""))),"")</f>
        <v/>
      </c>
      <c r="R283" s="42" t="str">
        <f aca="false">IF($P283=$J283, "0","")</f>
        <v/>
      </c>
      <c r="S283" s="42" t="str">
        <f aca="false">IF(OR(ISBLANK($B283),ISBLANK($C283), ISBLANK($E283), ISBLANK($F283), AND(ISBLANK($G283),ISBLANK($H283)), ISBLANK($I283), ISBLANK($L283), AND(ISBLANK($N283), ISBLANK($O283)), AND(ISBLANK($P283), ISBLANK($Q283), ISBLANK($R283))), "No", "Yes")</f>
        <v>No</v>
      </c>
      <c r="T283" s="42" t="str">
        <f aca="false">SUBSTITUTE($U283," ","")</f>
        <v>33833Q106</v>
      </c>
      <c r="U283" s="42" t="s">
        <v>395</v>
      </c>
      <c r="V283" s="39" t="n">
        <v>502440</v>
      </c>
    </row>
    <row r="284" customFormat="false" ht="15" hidden="false" customHeight="false" outlineLevel="0" collapsed="false">
      <c r="B284" s="70" t="s">
        <v>397</v>
      </c>
      <c r="C284" s="71" t="str">
        <f aca="false">IFERROR(INDEX('13F Data'!A:A,MATCH($B284,'13F Data'!A:A,0)),"No CUSIP Match")</f>
        <v>No CUSIP Match</v>
      </c>
      <c r="D284" s="71" t="str">
        <f aca="false">IFERROR(IF($B284=$C284,"Yes","No"),"No CUSIP Match")</f>
        <v>No</v>
      </c>
      <c r="E284" s="71"/>
      <c r="F284" s="71" t="str">
        <f aca="false">IFERROR(INDEX('13F Data'!C:C, MATCH($B284,'13F Data'!A:A,0)),"No CUSIP Match")</f>
        <v>No CUSIP Match</v>
      </c>
      <c r="G284" s="72" t="str">
        <f aca="false">IFERROR(INDEX('13F Data'!D:D,MATCH($B284,'13F Data'!A:A,0)),"No CUSIP Match")</f>
        <v>No CUSIP Match</v>
      </c>
      <c r="J284" s="73" t="n">
        <f aca="false">$V284</f>
        <v>379569</v>
      </c>
      <c r="K284" s="71" t="str">
        <f aca="false">IFERROR(INDEX('EOD Data'!G:G, MATCH($A284, 'EOD Data'!B:B,0)), "No TKR Match")</f>
        <v>No TKR Match</v>
      </c>
      <c r="L284" s="71" t="str">
        <f aca="false">IFERROR(ROUND($J284*$K284,0),"Error")</f>
        <v>Error</v>
      </c>
      <c r="M284" s="71" t="str">
        <f aca="false">IFERROR(IF(AND($J284&lt;10000,$L284&lt;200000),"Yes","No"),"Error")</f>
        <v>No</v>
      </c>
      <c r="P284" s="42" t="str">
        <f aca="false">IF($N284="SOLE",$J284,"")</f>
        <v/>
      </c>
      <c r="Q284" s="42" t="str">
        <f aca="false">IFERROR(IF($N284="Sole",0,IF(AND($N284="OTR",$R284=0),$J284-$P284,IF(AND($N284="OTR", $R284&gt;0), $J284-$P284-$Q284, ""))),"")</f>
        <v/>
      </c>
      <c r="R284" s="42" t="str">
        <f aca="false">IF($P284=$J284, "0","")</f>
        <v/>
      </c>
      <c r="S284" s="42" t="str">
        <f aca="false">IF(OR(ISBLANK($B284),ISBLANK($C284), ISBLANK($E284), ISBLANK($F284), AND(ISBLANK($G284),ISBLANK($H284)), ISBLANK($I284), ISBLANK($L284), AND(ISBLANK($N284), ISBLANK($O284)), AND(ISBLANK($P284), ISBLANK($Q284), ISBLANK($R284))), "No", "Yes")</f>
        <v>No</v>
      </c>
      <c r="T284" s="42" t="str">
        <f aca="false">SUBSTITUTE($U284," ","")</f>
        <v>345370860</v>
      </c>
      <c r="U284" s="42" t="s">
        <v>397</v>
      </c>
      <c r="V284" s="39" t="n">
        <v>379569</v>
      </c>
    </row>
    <row r="285" customFormat="false" ht="15" hidden="false" customHeight="false" outlineLevel="0" collapsed="false">
      <c r="B285" s="70" t="s">
        <v>397</v>
      </c>
      <c r="C285" s="71" t="str">
        <f aca="false">IFERROR(INDEX('13F Data'!A:A,MATCH($B285,'13F Data'!A:A,0)),"No CUSIP Match")</f>
        <v>No CUSIP Match</v>
      </c>
      <c r="D285" s="71" t="str">
        <f aca="false">IFERROR(IF($B285=$C285,"Yes","No"),"No CUSIP Match")</f>
        <v>No</v>
      </c>
      <c r="E285" s="71"/>
      <c r="F285" s="71" t="str">
        <f aca="false">IFERROR(INDEX('13F Data'!C:C, MATCH($B285,'13F Data'!A:A,0)),"No CUSIP Match")</f>
        <v>No CUSIP Match</v>
      </c>
      <c r="G285" s="72" t="str">
        <f aca="false">IFERROR(INDEX('13F Data'!D:D,MATCH($B285,'13F Data'!A:A,0)),"No CUSIP Match")</f>
        <v>No CUSIP Match</v>
      </c>
      <c r="J285" s="73" t="n">
        <f aca="false">$V285</f>
        <v>248200</v>
      </c>
      <c r="K285" s="71" t="str">
        <f aca="false">IFERROR(INDEX('EOD Data'!G:G, MATCH($A285, 'EOD Data'!B:B,0)), "No TKR Match")</f>
        <v>No TKR Match</v>
      </c>
      <c r="L285" s="71" t="str">
        <f aca="false">IFERROR(ROUND($J285*$K285,0),"Error")</f>
        <v>Error</v>
      </c>
      <c r="M285" s="71" t="str">
        <f aca="false">IFERROR(IF(AND($J285&lt;10000,$L285&lt;200000),"Yes","No"),"Error")</f>
        <v>No</v>
      </c>
      <c r="P285" s="42" t="str">
        <f aca="false">IF($N285="SOLE",$J285,"")</f>
        <v/>
      </c>
      <c r="Q285" s="42" t="str">
        <f aca="false">IFERROR(IF($N285="Sole",0,IF(AND($N285="OTR",$R285=0),$J285-$P285,IF(AND($N285="OTR", $R285&gt;0), $J285-$P285-$Q285, ""))),"")</f>
        <v/>
      </c>
      <c r="R285" s="42" t="str">
        <f aca="false">IF($P285=$J285, "0","")</f>
        <v/>
      </c>
      <c r="S285" s="42" t="str">
        <f aca="false">IF(OR(ISBLANK($B285),ISBLANK($C285), ISBLANK($E285), ISBLANK($F285), AND(ISBLANK($G285),ISBLANK($H285)), ISBLANK($I285), ISBLANK($L285), AND(ISBLANK($N285), ISBLANK($O285)), AND(ISBLANK($P285), ISBLANK($Q285), ISBLANK($R285))), "No", "Yes")</f>
        <v>No</v>
      </c>
      <c r="T285" s="42" t="str">
        <f aca="false">SUBSTITUTE($U285," ","")</f>
        <v>345370860</v>
      </c>
      <c r="U285" s="42" t="s">
        <v>397</v>
      </c>
      <c r="V285" s="39" t="n">
        <v>248200</v>
      </c>
    </row>
    <row r="286" customFormat="false" ht="15" hidden="false" customHeight="false" outlineLevel="0" collapsed="false">
      <c r="B286" s="70" t="s">
        <v>397</v>
      </c>
      <c r="C286" s="71" t="str">
        <f aca="false">IFERROR(INDEX('13F Data'!A:A,MATCH($B286,'13F Data'!A:A,0)),"No CUSIP Match")</f>
        <v>No CUSIP Match</v>
      </c>
      <c r="D286" s="71" t="str">
        <f aca="false">IFERROR(IF($B286=$C286,"Yes","No"),"No CUSIP Match")</f>
        <v>No</v>
      </c>
      <c r="E286" s="71"/>
      <c r="F286" s="71" t="str">
        <f aca="false">IFERROR(INDEX('13F Data'!C:C, MATCH($B286,'13F Data'!A:A,0)),"No CUSIP Match")</f>
        <v>No CUSIP Match</v>
      </c>
      <c r="G286" s="72" t="str">
        <f aca="false">IFERROR(INDEX('13F Data'!D:D,MATCH($B286,'13F Data'!A:A,0)),"No CUSIP Match")</f>
        <v>No CUSIP Match</v>
      </c>
      <c r="J286" s="73" t="n">
        <f aca="false">$V286</f>
        <v>37400</v>
      </c>
      <c r="K286" s="71" t="str">
        <f aca="false">IFERROR(INDEX('EOD Data'!G:G, MATCH($A286, 'EOD Data'!B:B,0)), "No TKR Match")</f>
        <v>No TKR Match</v>
      </c>
      <c r="L286" s="71" t="str">
        <f aca="false">IFERROR(ROUND($J286*$K286,0),"Error")</f>
        <v>Error</v>
      </c>
      <c r="M286" s="71" t="str">
        <f aca="false">IFERROR(IF(AND($J286&lt;10000,$L286&lt;200000),"Yes","No"),"Error")</f>
        <v>No</v>
      </c>
      <c r="P286" s="42" t="str">
        <f aca="false">IF($N286="SOLE",$J286,"")</f>
        <v/>
      </c>
      <c r="Q286" s="42" t="str">
        <f aca="false">IFERROR(IF($N286="Sole",0,IF(AND($N286="OTR",$R286=0),$J286-$P286,IF(AND($N286="OTR", $R286&gt;0), $J286-$P286-$Q286, ""))),"")</f>
        <v/>
      </c>
      <c r="R286" s="42" t="str">
        <f aca="false">IF($P286=$J286, "0","")</f>
        <v/>
      </c>
      <c r="S286" s="42" t="str">
        <f aca="false">IF(OR(ISBLANK($B286),ISBLANK($C286), ISBLANK($E286), ISBLANK($F286), AND(ISBLANK($G286),ISBLANK($H286)), ISBLANK($I286), ISBLANK($L286), AND(ISBLANK($N286), ISBLANK($O286)), AND(ISBLANK($P286), ISBLANK($Q286), ISBLANK($R286))), "No", "Yes")</f>
        <v>No</v>
      </c>
      <c r="T286" s="42" t="str">
        <f aca="false">SUBSTITUTE($U286," ","")</f>
        <v>345370860</v>
      </c>
      <c r="U286" s="42" t="s">
        <v>397</v>
      </c>
      <c r="V286" s="39" t="n">
        <v>37400</v>
      </c>
    </row>
    <row r="287" customFormat="false" ht="15" hidden="false" customHeight="false" outlineLevel="0" collapsed="false">
      <c r="B287" s="70" t="s">
        <v>399</v>
      </c>
      <c r="C287" s="71" t="str">
        <f aca="false">IFERROR(INDEX('13F Data'!A:A,MATCH($B287,'13F Data'!A:A,0)),"No CUSIP Match")</f>
        <v>No CUSIP Match</v>
      </c>
      <c r="D287" s="71" t="str">
        <f aca="false">IFERROR(IF($B287=$C287,"Yes","No"),"No CUSIP Match")</f>
        <v>No</v>
      </c>
      <c r="E287" s="71"/>
      <c r="F287" s="71" t="str">
        <f aca="false">IFERROR(INDEX('13F Data'!C:C, MATCH($B287,'13F Data'!A:A,0)),"No CUSIP Match")</f>
        <v>No CUSIP Match</v>
      </c>
      <c r="G287" s="72" t="str">
        <f aca="false">IFERROR(INDEX('13F Data'!D:D,MATCH($B287,'13F Data'!A:A,0)),"No CUSIP Match")</f>
        <v>No CUSIP Match</v>
      </c>
      <c r="J287" s="73" t="n">
        <f aca="false">$V287</f>
        <v>37100</v>
      </c>
      <c r="K287" s="71" t="str">
        <f aca="false">IFERROR(INDEX('EOD Data'!G:G, MATCH($A287, 'EOD Data'!B:B,0)), "No TKR Match")</f>
        <v>No TKR Match</v>
      </c>
      <c r="L287" s="71" t="str">
        <f aca="false">IFERROR(ROUND($J287*$K287,0),"Error")</f>
        <v>Error</v>
      </c>
      <c r="M287" s="71" t="str">
        <f aca="false">IFERROR(IF(AND($J287&lt;10000,$L287&lt;200000),"Yes","No"),"Error")</f>
        <v>No</v>
      </c>
      <c r="P287" s="42" t="str">
        <f aca="false">IF($N287="SOLE",$J287,"")</f>
        <v/>
      </c>
      <c r="Q287" s="42" t="str">
        <f aca="false">IFERROR(IF($N287="Sole",0,IF(AND($N287="OTR",$R287=0),$J287-$P287,IF(AND($N287="OTR", $R287&gt;0), $J287-$P287-$Q287, ""))),"")</f>
        <v/>
      </c>
      <c r="R287" s="42" t="str">
        <f aca="false">IF($P287=$J287, "0","")</f>
        <v/>
      </c>
      <c r="S287" s="42" t="str">
        <f aca="false">IF(OR(ISBLANK($B287),ISBLANK($C287), ISBLANK($E287), ISBLANK($F287), AND(ISBLANK($G287),ISBLANK($H287)), ISBLANK($I287), ISBLANK($L287), AND(ISBLANK($N287), ISBLANK($O287)), AND(ISBLANK($P287), ISBLANK($Q287), ISBLANK($R287))), "No", "Yes")</f>
        <v>No</v>
      </c>
      <c r="T287" s="42" t="str">
        <f aca="false">SUBSTITUTE($U287," ","")</f>
        <v>34959E109</v>
      </c>
      <c r="U287" s="42" t="s">
        <v>399</v>
      </c>
      <c r="V287" s="39" t="n">
        <v>37100</v>
      </c>
    </row>
    <row r="288" customFormat="false" ht="15" hidden="false" customHeight="false" outlineLevel="0" collapsed="false">
      <c r="B288" s="70" t="s">
        <v>399</v>
      </c>
      <c r="C288" s="71" t="str">
        <f aca="false">IFERROR(INDEX('13F Data'!A:A,MATCH($B288,'13F Data'!A:A,0)),"No CUSIP Match")</f>
        <v>No CUSIP Match</v>
      </c>
      <c r="D288" s="71" t="str">
        <f aca="false">IFERROR(IF($B288=$C288,"Yes","No"),"No CUSIP Match")</f>
        <v>No</v>
      </c>
      <c r="E288" s="71"/>
      <c r="F288" s="71" t="str">
        <f aca="false">IFERROR(INDEX('13F Data'!C:C, MATCH($B288,'13F Data'!A:A,0)),"No CUSIP Match")</f>
        <v>No CUSIP Match</v>
      </c>
      <c r="G288" s="72" t="str">
        <f aca="false">IFERROR(INDEX('13F Data'!D:D,MATCH($B288,'13F Data'!A:A,0)),"No CUSIP Match")</f>
        <v>No CUSIP Match</v>
      </c>
      <c r="J288" s="73" t="n">
        <f aca="false">$V288</f>
        <v>37100</v>
      </c>
      <c r="K288" s="71" t="str">
        <f aca="false">IFERROR(INDEX('EOD Data'!G:G, MATCH($A288, 'EOD Data'!B:B,0)), "No TKR Match")</f>
        <v>No TKR Match</v>
      </c>
      <c r="L288" s="71" t="str">
        <f aca="false">IFERROR(ROUND($J288*$K288,0),"Error")</f>
        <v>Error</v>
      </c>
      <c r="M288" s="71" t="str">
        <f aca="false">IFERROR(IF(AND($J288&lt;10000,$L288&lt;200000),"Yes","No"),"Error")</f>
        <v>No</v>
      </c>
      <c r="P288" s="42" t="str">
        <f aca="false">IF($N288="SOLE",$J288,"")</f>
        <v/>
      </c>
      <c r="Q288" s="42" t="str">
        <f aca="false">IFERROR(IF($N288="Sole",0,IF(AND($N288="OTR",$R288=0),$J288-$P288,IF(AND($N288="OTR", $R288&gt;0), $J288-$P288-$Q288, ""))),"")</f>
        <v/>
      </c>
      <c r="R288" s="42" t="str">
        <f aca="false">IF($P288=$J288, "0","")</f>
        <v/>
      </c>
      <c r="S288" s="42" t="str">
        <f aca="false">IF(OR(ISBLANK($B288),ISBLANK($C288), ISBLANK($E288), ISBLANK($F288), AND(ISBLANK($G288),ISBLANK($H288)), ISBLANK($I288), ISBLANK($L288), AND(ISBLANK($N288), ISBLANK($O288)), AND(ISBLANK($P288), ISBLANK($Q288), ISBLANK($R288))), "No", "Yes")</f>
        <v>No</v>
      </c>
      <c r="T288" s="42" t="str">
        <f aca="false">SUBSTITUTE($U288," ","")</f>
        <v>34959E109</v>
      </c>
      <c r="U288" s="42" t="s">
        <v>399</v>
      </c>
      <c r="V288" s="39" t="n">
        <v>37100</v>
      </c>
    </row>
    <row r="289" customFormat="false" ht="15" hidden="false" customHeight="false" outlineLevel="0" collapsed="false">
      <c r="B289" s="70" t="s">
        <v>401</v>
      </c>
      <c r="C289" s="71" t="str">
        <f aca="false">IFERROR(INDEX('13F Data'!A:A,MATCH($B289,'13F Data'!A:A,0)),"No CUSIP Match")</f>
        <v>No CUSIP Match</v>
      </c>
      <c r="D289" s="71" t="str">
        <f aca="false">IFERROR(IF($B289=$C289,"Yes","No"),"No CUSIP Match")</f>
        <v>No</v>
      </c>
      <c r="E289" s="71"/>
      <c r="F289" s="71" t="str">
        <f aca="false">IFERROR(INDEX('13F Data'!C:C, MATCH($B289,'13F Data'!A:A,0)),"No CUSIP Match")</f>
        <v>No CUSIP Match</v>
      </c>
      <c r="G289" s="72" t="str">
        <f aca="false">IFERROR(INDEX('13F Data'!D:D,MATCH($B289,'13F Data'!A:A,0)),"No CUSIP Match")</f>
        <v>No CUSIP Match</v>
      </c>
      <c r="J289" s="73" t="n">
        <f aca="false">$V289</f>
        <v>81300</v>
      </c>
      <c r="K289" s="71" t="str">
        <f aca="false">IFERROR(INDEX('EOD Data'!G:G, MATCH($A289, 'EOD Data'!B:B,0)), "No TKR Match")</f>
        <v>No TKR Match</v>
      </c>
      <c r="L289" s="71" t="str">
        <f aca="false">IFERROR(ROUND($J289*$K289,0),"Error")</f>
        <v>Error</v>
      </c>
      <c r="M289" s="71" t="str">
        <f aca="false">IFERROR(IF(AND($J289&lt;10000,$L289&lt;200000),"Yes","No"),"Error")</f>
        <v>No</v>
      </c>
      <c r="P289" s="42" t="str">
        <f aca="false">IF($N289="SOLE",$J289,"")</f>
        <v/>
      </c>
      <c r="Q289" s="42" t="str">
        <f aca="false">IFERROR(IF($N289="Sole",0,IF(AND($N289="OTR",$R289=0),$J289-$P289,IF(AND($N289="OTR", $R289&gt;0), $J289-$P289-$Q289, ""))),"")</f>
        <v/>
      </c>
      <c r="R289" s="42" t="str">
        <f aca="false">IF($P289=$J289, "0","")</f>
        <v/>
      </c>
      <c r="S289" s="42" t="str">
        <f aca="false">IF(OR(ISBLANK($B289),ISBLANK($C289), ISBLANK($E289), ISBLANK($F289), AND(ISBLANK($G289),ISBLANK($H289)), ISBLANK($I289), ISBLANK($L289), AND(ISBLANK($N289), ISBLANK($O289)), AND(ISBLANK($P289), ISBLANK($Q289), ISBLANK($R289))), "No", "Yes")</f>
        <v>No</v>
      </c>
      <c r="T289" s="42" t="str">
        <f aca="false">SUBSTITUTE($U289," ","")</f>
        <v>35671D857</v>
      </c>
      <c r="U289" s="42" t="s">
        <v>401</v>
      </c>
      <c r="V289" s="39" t="n">
        <v>81300</v>
      </c>
    </row>
    <row r="290" customFormat="false" ht="15" hidden="false" customHeight="false" outlineLevel="0" collapsed="false">
      <c r="B290" s="70" t="s">
        <v>401</v>
      </c>
      <c r="C290" s="71" t="str">
        <f aca="false">IFERROR(INDEX('13F Data'!A:A,MATCH($B290,'13F Data'!A:A,0)),"No CUSIP Match")</f>
        <v>No CUSIP Match</v>
      </c>
      <c r="D290" s="71" t="str">
        <f aca="false">IFERROR(IF($B290=$C290,"Yes","No"),"No CUSIP Match")</f>
        <v>No</v>
      </c>
      <c r="E290" s="71"/>
      <c r="F290" s="71" t="str">
        <f aca="false">IFERROR(INDEX('13F Data'!C:C, MATCH($B290,'13F Data'!A:A,0)),"No CUSIP Match")</f>
        <v>No CUSIP Match</v>
      </c>
      <c r="G290" s="72" t="str">
        <f aca="false">IFERROR(INDEX('13F Data'!D:D,MATCH($B290,'13F Data'!A:A,0)),"No CUSIP Match")</f>
        <v>No CUSIP Match</v>
      </c>
      <c r="J290" s="73" t="n">
        <f aca="false">$V290</f>
        <v>81300</v>
      </c>
      <c r="K290" s="71" t="str">
        <f aca="false">IFERROR(INDEX('EOD Data'!G:G, MATCH($A290, 'EOD Data'!B:B,0)), "No TKR Match")</f>
        <v>No TKR Match</v>
      </c>
      <c r="L290" s="71" t="str">
        <f aca="false">IFERROR(ROUND($J290*$K290,0),"Error")</f>
        <v>Error</v>
      </c>
      <c r="M290" s="71" t="str">
        <f aca="false">IFERROR(IF(AND($J290&lt;10000,$L290&lt;200000),"Yes","No"),"Error")</f>
        <v>No</v>
      </c>
      <c r="P290" s="42" t="str">
        <f aca="false">IF($N290="SOLE",$J290,"")</f>
        <v/>
      </c>
      <c r="Q290" s="42" t="str">
        <f aca="false">IFERROR(IF($N290="Sole",0,IF(AND($N290="OTR",$R290=0),$J290-$P290,IF(AND($N290="OTR", $R290&gt;0), $J290-$P290-$Q290, ""))),"")</f>
        <v/>
      </c>
      <c r="R290" s="42" t="str">
        <f aca="false">IF($P290=$J290, "0","")</f>
        <v/>
      </c>
      <c r="S290" s="42" t="str">
        <f aca="false">IF(OR(ISBLANK($B290),ISBLANK($C290), ISBLANK($E290), ISBLANK($F290), AND(ISBLANK($G290),ISBLANK($H290)), ISBLANK($I290), ISBLANK($L290), AND(ISBLANK($N290), ISBLANK($O290)), AND(ISBLANK($P290), ISBLANK($Q290), ISBLANK($R290))), "No", "Yes")</f>
        <v>No</v>
      </c>
      <c r="T290" s="42" t="str">
        <f aca="false">SUBSTITUTE($U290," ","")</f>
        <v>35671D857</v>
      </c>
      <c r="U290" s="42" t="s">
        <v>401</v>
      </c>
      <c r="V290" s="39" t="n">
        <v>81300</v>
      </c>
    </row>
    <row r="291" customFormat="false" ht="15" hidden="false" customHeight="false" outlineLevel="0" collapsed="false">
      <c r="B291" s="70" t="s">
        <v>403</v>
      </c>
      <c r="C291" s="71" t="str">
        <f aca="false">IFERROR(INDEX('13F Data'!A:A,MATCH($B291,'13F Data'!A:A,0)),"No CUSIP Match")</f>
        <v>No CUSIP Match</v>
      </c>
      <c r="D291" s="71" t="str">
        <f aca="false">IFERROR(IF($B291=$C291,"Yes","No"),"No CUSIP Match")</f>
        <v>No</v>
      </c>
      <c r="E291" s="71"/>
      <c r="F291" s="71" t="str">
        <f aca="false">IFERROR(INDEX('13F Data'!C:C, MATCH($B291,'13F Data'!A:A,0)),"No CUSIP Match")</f>
        <v>No CUSIP Match</v>
      </c>
      <c r="G291" s="72" t="str">
        <f aca="false">IFERROR(INDEX('13F Data'!D:D,MATCH($B291,'13F Data'!A:A,0)),"No CUSIP Match")</f>
        <v>No CUSIP Match</v>
      </c>
      <c r="J291" s="73" t="n">
        <f aca="false">$V291</f>
        <v>53940000</v>
      </c>
      <c r="K291" s="71" t="str">
        <f aca="false">IFERROR(INDEX('EOD Data'!G:G, MATCH($A291, 'EOD Data'!B:B,0)), "No TKR Match")</f>
        <v>No TKR Match</v>
      </c>
      <c r="L291" s="71" t="str">
        <f aca="false">IFERROR(ROUND($J291*$K291,0),"Error")</f>
        <v>Error</v>
      </c>
      <c r="M291" s="71" t="str">
        <f aca="false">IFERROR(IF(AND($J291&lt;10000,$L291&lt;200000),"Yes","No"),"Error")</f>
        <v>No</v>
      </c>
      <c r="P291" s="42" t="str">
        <f aca="false">IF($N291="SOLE",$J291,"")</f>
        <v/>
      </c>
      <c r="Q291" s="42" t="str">
        <f aca="false">IFERROR(IF($N291="Sole",0,IF(AND($N291="OTR",$R291=0),$J291-$P291,IF(AND($N291="OTR", $R291&gt;0), $J291-$P291-$Q291, ""))),"")</f>
        <v/>
      </c>
      <c r="R291" s="42" t="str">
        <f aca="false">IF($P291=$J291, "0","")</f>
        <v/>
      </c>
      <c r="S291" s="42" t="str">
        <f aca="false">IF(OR(ISBLANK($B291),ISBLANK($C291), ISBLANK($E291), ISBLANK($F291), AND(ISBLANK($G291),ISBLANK($H291)), ISBLANK($I291), ISBLANK($L291), AND(ISBLANK($N291), ISBLANK($O291)), AND(ISBLANK($P291), ISBLANK($Q291), ISBLANK($R291))), "No", "Yes")</f>
        <v>No</v>
      </c>
      <c r="T291" s="42" t="str">
        <f aca="false">SUBSTITUTE($U291," ","")</f>
        <v>358039AA3</v>
      </c>
      <c r="U291" s="42" t="s">
        <v>403</v>
      </c>
      <c r="V291" s="39" t="n">
        <v>53940000</v>
      </c>
    </row>
    <row r="292" customFormat="false" ht="15" hidden="false" customHeight="false" outlineLevel="0" collapsed="false">
      <c r="B292" s="70" t="s">
        <v>405</v>
      </c>
      <c r="C292" s="71" t="str">
        <f aca="false">IFERROR(INDEX('13F Data'!A:A,MATCH($B292,'13F Data'!A:A,0)),"No CUSIP Match")</f>
        <v>No CUSIP Match</v>
      </c>
      <c r="D292" s="71" t="str">
        <f aca="false">IFERROR(IF($B292=$C292,"Yes","No"),"No CUSIP Match")</f>
        <v>No</v>
      </c>
      <c r="E292" s="71"/>
      <c r="F292" s="71" t="str">
        <f aca="false">IFERROR(INDEX('13F Data'!C:C, MATCH($B292,'13F Data'!A:A,0)),"No CUSIP Match")</f>
        <v>No CUSIP Match</v>
      </c>
      <c r="G292" s="72" t="str">
        <f aca="false">IFERROR(INDEX('13F Data'!D:D,MATCH($B292,'13F Data'!A:A,0)),"No CUSIP Match")</f>
        <v>No CUSIP Match</v>
      </c>
      <c r="J292" s="73" t="n">
        <f aca="false">$V292</f>
        <v>1</v>
      </c>
      <c r="K292" s="71" t="str">
        <f aca="false">IFERROR(INDEX('EOD Data'!G:G, MATCH($A292, 'EOD Data'!B:B,0)), "No TKR Match")</f>
        <v>No TKR Match</v>
      </c>
      <c r="L292" s="71" t="str">
        <f aca="false">IFERROR(ROUND($J292*$K292,0),"Error")</f>
        <v>Error</v>
      </c>
      <c r="M292" s="71" t="str">
        <f aca="false">IFERROR(IF(AND($J292&lt;10000,$L292&lt;200000),"Yes","No"),"Error")</f>
        <v>No</v>
      </c>
      <c r="P292" s="42" t="str">
        <f aca="false">IF($N292="SOLE",$J292,"")</f>
        <v/>
      </c>
      <c r="Q292" s="42" t="str">
        <f aca="false">IFERROR(IF($N292="Sole",0,IF(AND($N292="OTR",$R292=0),$J292-$P292,IF(AND($N292="OTR", $R292&gt;0), $J292-$P292-$Q292, ""))),"")</f>
        <v/>
      </c>
      <c r="R292" s="42" t="str">
        <f aca="false">IF($P292=$J292, "0","")</f>
        <v/>
      </c>
      <c r="S292" s="42" t="str">
        <f aca="false">IF(OR(ISBLANK($B292),ISBLANK($C292), ISBLANK($E292), ISBLANK($F292), AND(ISBLANK($G292),ISBLANK($H292)), ISBLANK($I292), ISBLANK($L292), AND(ISBLANK($N292), ISBLANK($O292)), AND(ISBLANK($P292), ISBLANK($Q292), ISBLANK($R292))), "No", "Yes")</f>
        <v>No</v>
      </c>
      <c r="T292" s="42" t="str">
        <f aca="false">SUBSTITUTE($U292," ","")</f>
        <v>011440532</v>
      </c>
      <c r="U292" s="42" t="s">
        <v>405</v>
      </c>
      <c r="V292" s="39" t="n">
        <v>1</v>
      </c>
    </row>
    <row r="293" customFormat="false" ht="15" hidden="false" customHeight="false" outlineLevel="0" collapsed="false">
      <c r="B293" s="70" t="s">
        <v>405</v>
      </c>
      <c r="C293" s="71" t="str">
        <f aca="false">IFERROR(INDEX('13F Data'!A:A,MATCH($B293,'13F Data'!A:A,0)),"No CUSIP Match")</f>
        <v>No CUSIP Match</v>
      </c>
      <c r="D293" s="71" t="str">
        <f aca="false">IFERROR(IF($B293=$C293,"Yes","No"),"No CUSIP Match")</f>
        <v>No</v>
      </c>
      <c r="E293" s="71"/>
      <c r="F293" s="71" t="str">
        <f aca="false">IFERROR(INDEX('13F Data'!C:C, MATCH($B293,'13F Data'!A:A,0)),"No CUSIP Match")</f>
        <v>No CUSIP Match</v>
      </c>
      <c r="G293" s="72" t="str">
        <f aca="false">IFERROR(INDEX('13F Data'!D:D,MATCH($B293,'13F Data'!A:A,0)),"No CUSIP Match")</f>
        <v>No CUSIP Match</v>
      </c>
      <c r="J293" s="73" t="n">
        <f aca="false">$V293</f>
        <v>4000</v>
      </c>
      <c r="K293" s="71" t="str">
        <f aca="false">IFERROR(INDEX('EOD Data'!G:G, MATCH($A293, 'EOD Data'!B:B,0)), "No TKR Match")</f>
        <v>No TKR Match</v>
      </c>
      <c r="L293" s="71" t="str">
        <f aca="false">IFERROR(ROUND($J293*$K293,0),"Error")</f>
        <v>Error</v>
      </c>
      <c r="M293" s="71" t="str">
        <f aca="false">IFERROR(IF(AND($J293&lt;10000,$L293&lt;200000),"Yes","No"),"Error")</f>
        <v>No</v>
      </c>
      <c r="P293" s="42" t="str">
        <f aca="false">IF($N293="SOLE",$J293,"")</f>
        <v/>
      </c>
      <c r="Q293" s="42" t="str">
        <f aca="false">IFERROR(IF($N293="Sole",0,IF(AND($N293="OTR",$R293=0),$J293-$P293,IF(AND($N293="OTR", $R293&gt;0), $J293-$P293-$Q293, ""))),"")</f>
        <v/>
      </c>
      <c r="R293" s="42" t="str">
        <f aca="false">IF($P293=$J293, "0","")</f>
        <v/>
      </c>
      <c r="S293" s="42" t="str">
        <f aca="false">IF(OR(ISBLANK($B293),ISBLANK($C293), ISBLANK($E293), ISBLANK($F293), AND(ISBLANK($G293),ISBLANK($H293)), ISBLANK($I293), ISBLANK($L293), AND(ISBLANK($N293), ISBLANK($O293)), AND(ISBLANK($P293), ISBLANK($Q293), ISBLANK($R293))), "No", "Yes")</f>
        <v>No</v>
      </c>
      <c r="T293" s="42" t="str">
        <f aca="false">SUBSTITUTE($U293," ","")</f>
        <v>011440532</v>
      </c>
      <c r="U293" s="42" t="s">
        <v>405</v>
      </c>
      <c r="V293" s="39" t="n">
        <v>4000</v>
      </c>
    </row>
    <row r="294" customFormat="false" ht="15" hidden="false" customHeight="false" outlineLevel="0" collapsed="false">
      <c r="B294" s="70" t="s">
        <v>407</v>
      </c>
      <c r="C294" s="71" t="str">
        <f aca="false">IFERROR(INDEX('13F Data'!A:A,MATCH($B294,'13F Data'!A:A,0)),"No CUSIP Match")</f>
        <v>No CUSIP Match</v>
      </c>
      <c r="D294" s="71" t="str">
        <f aca="false">IFERROR(IF($B294=$C294,"Yes","No"),"No CUSIP Match")</f>
        <v>No</v>
      </c>
      <c r="E294" s="71"/>
      <c r="F294" s="71" t="str">
        <f aca="false">IFERROR(INDEX('13F Data'!C:C, MATCH($B294,'13F Data'!A:A,0)),"No CUSIP Match")</f>
        <v>No CUSIP Match</v>
      </c>
      <c r="G294" s="72" t="str">
        <f aca="false">IFERROR(INDEX('13F Data'!D:D,MATCH($B294,'13F Data'!A:A,0)),"No CUSIP Match")</f>
        <v>No CUSIP Match</v>
      </c>
      <c r="J294" s="73" t="n">
        <f aca="false">$V294</f>
        <v>12200</v>
      </c>
      <c r="K294" s="71" t="str">
        <f aca="false">IFERROR(INDEX('EOD Data'!G:G, MATCH($A294, 'EOD Data'!B:B,0)), "No TKR Match")</f>
        <v>No TKR Match</v>
      </c>
      <c r="L294" s="71" t="str">
        <f aca="false">IFERROR(ROUND($J294*$K294,0),"Error")</f>
        <v>Error</v>
      </c>
      <c r="M294" s="71" t="str">
        <f aca="false">IFERROR(IF(AND($J294&lt;10000,$L294&lt;200000),"Yes","No"),"Error")</f>
        <v>No</v>
      </c>
      <c r="P294" s="42" t="str">
        <f aca="false">IF($N294="SOLE",$J294,"")</f>
        <v/>
      </c>
      <c r="Q294" s="42" t="str">
        <f aca="false">IFERROR(IF($N294="Sole",0,IF(AND($N294="OTR",$R294=0),$J294-$P294,IF(AND($N294="OTR", $R294&gt;0), $J294-$P294-$Q294, ""))),"")</f>
        <v/>
      </c>
      <c r="R294" s="42" t="str">
        <f aca="false">IF($P294=$J294, "0","")</f>
        <v/>
      </c>
      <c r="S294" s="42" t="str">
        <f aca="false">IF(OR(ISBLANK($B294),ISBLANK($C294), ISBLANK($E294), ISBLANK($F294), AND(ISBLANK($G294),ISBLANK($H294)), ISBLANK($I294), ISBLANK($L294), AND(ISBLANK($N294), ISBLANK($O294)), AND(ISBLANK($P294), ISBLANK($Q294), ISBLANK($R294))), "No", "Yes")</f>
        <v>No</v>
      </c>
      <c r="T294" s="42" t="str">
        <f aca="false">SUBSTITUTE($U294," ","")</f>
        <v>368736104</v>
      </c>
      <c r="U294" s="42" t="s">
        <v>407</v>
      </c>
      <c r="V294" s="39" t="n">
        <v>12200</v>
      </c>
    </row>
    <row r="295" customFormat="false" ht="15" hidden="false" customHeight="false" outlineLevel="0" collapsed="false">
      <c r="B295" s="70" t="s">
        <v>409</v>
      </c>
      <c r="C295" s="71" t="str">
        <f aca="false">IFERROR(INDEX('13F Data'!A:A,MATCH($B295,'13F Data'!A:A,0)),"No CUSIP Match")</f>
        <v>No CUSIP Match</v>
      </c>
      <c r="D295" s="71" t="str">
        <f aca="false">IFERROR(IF($B295=$C295,"Yes","No"),"No CUSIP Match")</f>
        <v>No</v>
      </c>
      <c r="E295" s="71"/>
      <c r="F295" s="71" t="str">
        <f aca="false">IFERROR(INDEX('13F Data'!C:C, MATCH($B295,'13F Data'!A:A,0)),"No CUSIP Match")</f>
        <v>No CUSIP Match</v>
      </c>
      <c r="G295" s="72" t="str">
        <f aca="false">IFERROR(INDEX('13F Data'!D:D,MATCH($B295,'13F Data'!A:A,0)),"No CUSIP Match")</f>
        <v>No CUSIP Match</v>
      </c>
      <c r="J295" s="73" t="n">
        <f aca="false">$V295</f>
        <v>13</v>
      </c>
      <c r="K295" s="71" t="str">
        <f aca="false">IFERROR(INDEX('EOD Data'!G:G, MATCH($A295, 'EOD Data'!B:B,0)), "No TKR Match")</f>
        <v>No TKR Match</v>
      </c>
      <c r="L295" s="71" t="str">
        <f aca="false">IFERROR(ROUND($J295*$K295,0),"Error")</f>
        <v>Error</v>
      </c>
      <c r="M295" s="71" t="str">
        <f aca="false">IFERROR(IF(AND($J295&lt;10000,$L295&lt;200000),"Yes","No"),"Error")</f>
        <v>No</v>
      </c>
      <c r="P295" s="42" t="str">
        <f aca="false">IF($N295="SOLE",$J295,"")</f>
        <v/>
      </c>
      <c r="Q295" s="42" t="str">
        <f aca="false">IFERROR(IF($N295="Sole",0,IF(AND($N295="OTR",$R295=0),$J295-$P295,IF(AND($N295="OTR", $R295&gt;0), $J295-$P295-$Q295, ""))),"")</f>
        <v/>
      </c>
      <c r="R295" s="42" t="str">
        <f aca="false">IF($P295=$J295, "0","")</f>
        <v/>
      </c>
      <c r="S295" s="42" t="str">
        <f aca="false">IF(OR(ISBLANK($B295),ISBLANK($C295), ISBLANK($E295), ISBLANK($F295), AND(ISBLANK($G295),ISBLANK($H295)), ISBLANK($I295), ISBLANK($L295), AND(ISBLANK($N295), ISBLANK($O295)), AND(ISBLANK($P295), ISBLANK($Q295), ISBLANK($R295))), "No", "Yes")</f>
        <v>No</v>
      </c>
      <c r="T295" s="42" t="str">
        <f aca="false">SUBSTITUTE($U295," ","")</f>
        <v>369604301</v>
      </c>
      <c r="U295" s="42" t="s">
        <v>409</v>
      </c>
      <c r="V295" s="39" t="n">
        <v>13</v>
      </c>
    </row>
    <row r="296" customFormat="false" ht="15" hidden="false" customHeight="false" outlineLevel="0" collapsed="false">
      <c r="B296" s="70" t="s">
        <v>409</v>
      </c>
      <c r="C296" s="71" t="str">
        <f aca="false">IFERROR(INDEX('13F Data'!A:A,MATCH($B296,'13F Data'!A:A,0)),"No CUSIP Match")</f>
        <v>No CUSIP Match</v>
      </c>
      <c r="D296" s="71" t="str">
        <f aca="false">IFERROR(IF($B296=$C296,"Yes","No"),"No CUSIP Match")</f>
        <v>No</v>
      </c>
      <c r="E296" s="71"/>
      <c r="F296" s="71" t="str">
        <f aca="false">IFERROR(INDEX('13F Data'!C:C, MATCH($B296,'13F Data'!A:A,0)),"No CUSIP Match")</f>
        <v>No CUSIP Match</v>
      </c>
      <c r="G296" s="72" t="str">
        <f aca="false">IFERROR(INDEX('13F Data'!D:D,MATCH($B296,'13F Data'!A:A,0)),"No CUSIP Match")</f>
        <v>No CUSIP Match</v>
      </c>
      <c r="J296" s="73" t="n">
        <f aca="false">$V296</f>
        <v>10500</v>
      </c>
      <c r="K296" s="71" t="str">
        <f aca="false">IFERROR(INDEX('EOD Data'!G:G, MATCH($A296, 'EOD Data'!B:B,0)), "No TKR Match")</f>
        <v>No TKR Match</v>
      </c>
      <c r="L296" s="71" t="str">
        <f aca="false">IFERROR(ROUND($J296*$K296,0),"Error")</f>
        <v>Error</v>
      </c>
      <c r="M296" s="71" t="str">
        <f aca="false">IFERROR(IF(AND($J296&lt;10000,$L296&lt;200000),"Yes","No"),"Error")</f>
        <v>No</v>
      </c>
      <c r="P296" s="42" t="str">
        <f aca="false">IF($N296="SOLE",$J296,"")</f>
        <v/>
      </c>
      <c r="Q296" s="42" t="str">
        <f aca="false">IFERROR(IF($N296="Sole",0,IF(AND($N296="OTR",$R296=0),$J296-$P296,IF(AND($N296="OTR", $R296&gt;0), $J296-$P296-$Q296, ""))),"")</f>
        <v/>
      </c>
      <c r="R296" s="42" t="str">
        <f aca="false">IF($P296=$J296, "0","")</f>
        <v/>
      </c>
      <c r="S296" s="42" t="str">
        <f aca="false">IF(OR(ISBLANK($B296),ISBLANK($C296), ISBLANK($E296), ISBLANK($F296), AND(ISBLANK($G296),ISBLANK($H296)), ISBLANK($I296), ISBLANK($L296), AND(ISBLANK($N296), ISBLANK($O296)), AND(ISBLANK($P296), ISBLANK($Q296), ISBLANK($R296))), "No", "Yes")</f>
        <v>No</v>
      </c>
      <c r="T296" s="42" t="str">
        <f aca="false">SUBSTITUTE($U296," ","")</f>
        <v>369604301</v>
      </c>
      <c r="U296" s="42" t="s">
        <v>409</v>
      </c>
      <c r="V296" s="39" t="n">
        <v>10500</v>
      </c>
    </row>
    <row r="297" customFormat="false" ht="15" hidden="false" customHeight="false" outlineLevel="0" collapsed="false">
      <c r="B297" s="70" t="s">
        <v>409</v>
      </c>
      <c r="C297" s="71" t="str">
        <f aca="false">IFERROR(INDEX('13F Data'!A:A,MATCH($B297,'13F Data'!A:A,0)),"No CUSIP Match")</f>
        <v>No CUSIP Match</v>
      </c>
      <c r="D297" s="71" t="str">
        <f aca="false">IFERROR(IF($B297=$C297,"Yes","No"),"No CUSIP Match")</f>
        <v>No</v>
      </c>
      <c r="E297" s="71"/>
      <c r="F297" s="71" t="str">
        <f aca="false">IFERROR(INDEX('13F Data'!C:C, MATCH($B297,'13F Data'!A:A,0)),"No CUSIP Match")</f>
        <v>No CUSIP Match</v>
      </c>
      <c r="G297" s="72" t="str">
        <f aca="false">IFERROR(INDEX('13F Data'!D:D,MATCH($B297,'13F Data'!A:A,0)),"No CUSIP Match")</f>
        <v>No CUSIP Match</v>
      </c>
      <c r="J297" s="73" t="n">
        <f aca="false">$V297</f>
        <v>10500</v>
      </c>
      <c r="K297" s="71" t="str">
        <f aca="false">IFERROR(INDEX('EOD Data'!G:G, MATCH($A297, 'EOD Data'!B:B,0)), "No TKR Match")</f>
        <v>No TKR Match</v>
      </c>
      <c r="L297" s="71" t="str">
        <f aca="false">IFERROR(ROUND($J297*$K297,0),"Error")</f>
        <v>Error</v>
      </c>
      <c r="M297" s="71" t="str">
        <f aca="false">IFERROR(IF(AND($J297&lt;10000,$L297&lt;200000),"Yes","No"),"Error")</f>
        <v>No</v>
      </c>
      <c r="P297" s="42" t="str">
        <f aca="false">IF($N297="SOLE",$J297,"")</f>
        <v/>
      </c>
      <c r="Q297" s="42" t="str">
        <f aca="false">IFERROR(IF($N297="Sole",0,IF(AND($N297="OTR",$R297=0),$J297-$P297,IF(AND($N297="OTR", $R297&gt;0), $J297-$P297-$Q297, ""))),"")</f>
        <v/>
      </c>
      <c r="R297" s="42" t="str">
        <f aca="false">IF($P297=$J297, "0","")</f>
        <v/>
      </c>
      <c r="S297" s="42" t="str">
        <f aca="false">IF(OR(ISBLANK($B297),ISBLANK($C297), ISBLANK($E297), ISBLANK($F297), AND(ISBLANK($G297),ISBLANK($H297)), ISBLANK($I297), ISBLANK($L297), AND(ISBLANK($N297), ISBLANK($O297)), AND(ISBLANK($P297), ISBLANK($Q297), ISBLANK($R297))), "No", "Yes")</f>
        <v>No</v>
      </c>
      <c r="T297" s="42" t="str">
        <f aca="false">SUBSTITUTE($U297," ","")</f>
        <v>369604301</v>
      </c>
      <c r="U297" s="42" t="s">
        <v>409</v>
      </c>
      <c r="V297" s="39" t="n">
        <v>10500</v>
      </c>
    </row>
    <row r="298" customFormat="false" ht="15" hidden="false" customHeight="false" outlineLevel="0" collapsed="false">
      <c r="B298" s="70" t="s">
        <v>411</v>
      </c>
      <c r="C298" s="71" t="str">
        <f aca="false">IFERROR(INDEX('13F Data'!A:A,MATCH($B298,'13F Data'!A:A,0)),"No CUSIP Match")</f>
        <v>No CUSIP Match</v>
      </c>
      <c r="D298" s="71" t="str">
        <f aca="false">IFERROR(IF($B298=$C298,"Yes","No"),"No CUSIP Match")</f>
        <v>No</v>
      </c>
      <c r="E298" s="71"/>
      <c r="F298" s="71" t="str">
        <f aca="false">IFERROR(INDEX('13F Data'!C:C, MATCH($B298,'13F Data'!A:A,0)),"No CUSIP Match")</f>
        <v>No CUSIP Match</v>
      </c>
      <c r="G298" s="72" t="str">
        <f aca="false">IFERROR(INDEX('13F Data'!D:D,MATCH($B298,'13F Data'!A:A,0)),"No CUSIP Match")</f>
        <v>No CUSIP Match</v>
      </c>
      <c r="J298" s="73" t="n">
        <f aca="false">$V298</f>
        <v>75672</v>
      </c>
      <c r="K298" s="71" t="str">
        <f aca="false">IFERROR(INDEX('EOD Data'!G:G, MATCH($A298, 'EOD Data'!B:B,0)), "No TKR Match")</f>
        <v>No TKR Match</v>
      </c>
      <c r="L298" s="71" t="str">
        <f aca="false">IFERROR(ROUND($J298*$K298,0),"Error")</f>
        <v>Error</v>
      </c>
      <c r="M298" s="71" t="str">
        <f aca="false">IFERROR(IF(AND($J298&lt;10000,$L298&lt;200000),"Yes","No"),"Error")</f>
        <v>No</v>
      </c>
      <c r="P298" s="42" t="str">
        <f aca="false">IF($N298="SOLE",$J298,"")</f>
        <v/>
      </c>
      <c r="Q298" s="42" t="str">
        <f aca="false">IFERROR(IF($N298="Sole",0,IF(AND($N298="OTR",$R298=0),$J298-$P298,IF(AND($N298="OTR", $R298&gt;0), $J298-$P298-$Q298, ""))),"")</f>
        <v/>
      </c>
      <c r="R298" s="42" t="str">
        <f aca="false">IF($P298=$J298, "0","")</f>
        <v/>
      </c>
      <c r="S298" s="42" t="str">
        <f aca="false">IF(OR(ISBLANK($B298),ISBLANK($C298), ISBLANK($E298), ISBLANK($F298), AND(ISBLANK($G298),ISBLANK($H298)), ISBLANK($I298), ISBLANK($L298), AND(ISBLANK($N298), ISBLANK($O298)), AND(ISBLANK($P298), ISBLANK($Q298), ISBLANK($R298))), "No", "Yes")</f>
        <v>No</v>
      </c>
      <c r="T298" s="42" t="str">
        <f aca="false">SUBSTITUTE($U298," ","")</f>
        <v>37045V100</v>
      </c>
      <c r="U298" s="42" t="s">
        <v>411</v>
      </c>
      <c r="V298" s="39" t="n">
        <v>75672</v>
      </c>
    </row>
    <row r="299" customFormat="false" ht="15" hidden="false" customHeight="false" outlineLevel="0" collapsed="false">
      <c r="B299" s="70" t="s">
        <v>411</v>
      </c>
      <c r="C299" s="71" t="str">
        <f aca="false">IFERROR(INDEX('13F Data'!A:A,MATCH($B299,'13F Data'!A:A,0)),"No CUSIP Match")</f>
        <v>No CUSIP Match</v>
      </c>
      <c r="D299" s="71" t="str">
        <f aca="false">IFERROR(IF($B299=$C299,"Yes","No"),"No CUSIP Match")</f>
        <v>No</v>
      </c>
      <c r="E299" s="71"/>
      <c r="F299" s="71" t="str">
        <f aca="false">IFERROR(INDEX('13F Data'!C:C, MATCH($B299,'13F Data'!A:A,0)),"No CUSIP Match")</f>
        <v>No CUSIP Match</v>
      </c>
      <c r="G299" s="72" t="str">
        <f aca="false">IFERROR(INDEX('13F Data'!D:D,MATCH($B299,'13F Data'!A:A,0)),"No CUSIP Match")</f>
        <v>No CUSIP Match</v>
      </c>
      <c r="J299" s="73" t="n">
        <f aca="false">$V299</f>
        <v>110900</v>
      </c>
      <c r="K299" s="71" t="str">
        <f aca="false">IFERROR(INDEX('EOD Data'!G:G, MATCH($A299, 'EOD Data'!B:B,0)), "No TKR Match")</f>
        <v>No TKR Match</v>
      </c>
      <c r="L299" s="71" t="str">
        <f aca="false">IFERROR(ROUND($J299*$K299,0),"Error")</f>
        <v>Error</v>
      </c>
      <c r="M299" s="71" t="str">
        <f aca="false">IFERROR(IF(AND($J299&lt;10000,$L299&lt;200000),"Yes","No"),"Error")</f>
        <v>No</v>
      </c>
      <c r="P299" s="42" t="str">
        <f aca="false">IF($N299="SOLE",$J299,"")</f>
        <v/>
      </c>
      <c r="Q299" s="42" t="str">
        <f aca="false">IFERROR(IF($N299="Sole",0,IF(AND($N299="OTR",$R299=0),$J299-$P299,IF(AND($N299="OTR", $R299&gt;0), $J299-$P299-$Q299, ""))),"")</f>
        <v/>
      </c>
      <c r="R299" s="42" t="str">
        <f aca="false">IF($P299=$J299, "0","")</f>
        <v/>
      </c>
      <c r="S299" s="42" t="str">
        <f aca="false">IF(OR(ISBLANK($B299),ISBLANK($C299), ISBLANK($E299), ISBLANK($F299), AND(ISBLANK($G299),ISBLANK($H299)), ISBLANK($I299), ISBLANK($L299), AND(ISBLANK($N299), ISBLANK($O299)), AND(ISBLANK($P299), ISBLANK($Q299), ISBLANK($R299))), "No", "Yes")</f>
        <v>No</v>
      </c>
      <c r="T299" s="42" t="str">
        <f aca="false">SUBSTITUTE($U299," ","")</f>
        <v>37045V100</v>
      </c>
      <c r="U299" s="42" t="s">
        <v>411</v>
      </c>
      <c r="V299" s="39" t="n">
        <v>110900</v>
      </c>
    </row>
    <row r="300" customFormat="false" ht="15" hidden="false" customHeight="false" outlineLevel="0" collapsed="false">
      <c r="B300" s="70" t="s">
        <v>411</v>
      </c>
      <c r="C300" s="71" t="str">
        <f aca="false">IFERROR(INDEX('13F Data'!A:A,MATCH($B300,'13F Data'!A:A,0)),"No CUSIP Match")</f>
        <v>No CUSIP Match</v>
      </c>
      <c r="D300" s="71" t="str">
        <f aca="false">IFERROR(IF($B300=$C300,"Yes","No"),"No CUSIP Match")</f>
        <v>No</v>
      </c>
      <c r="E300" s="71"/>
      <c r="F300" s="71" t="str">
        <f aca="false">IFERROR(INDEX('13F Data'!C:C, MATCH($B300,'13F Data'!A:A,0)),"No CUSIP Match")</f>
        <v>No CUSIP Match</v>
      </c>
      <c r="G300" s="72" t="str">
        <f aca="false">IFERROR(INDEX('13F Data'!D:D,MATCH($B300,'13F Data'!A:A,0)),"No CUSIP Match")</f>
        <v>No CUSIP Match</v>
      </c>
      <c r="J300" s="73" t="n">
        <f aca="false">$V300</f>
        <v>110900</v>
      </c>
      <c r="K300" s="71" t="str">
        <f aca="false">IFERROR(INDEX('EOD Data'!G:G, MATCH($A300, 'EOD Data'!B:B,0)), "No TKR Match")</f>
        <v>No TKR Match</v>
      </c>
      <c r="L300" s="71" t="str">
        <f aca="false">IFERROR(ROUND($J300*$K300,0),"Error")</f>
        <v>Error</v>
      </c>
      <c r="M300" s="71" t="str">
        <f aca="false">IFERROR(IF(AND($J300&lt;10000,$L300&lt;200000),"Yes","No"),"Error")</f>
        <v>No</v>
      </c>
      <c r="P300" s="42" t="str">
        <f aca="false">IF($N300="SOLE",$J300,"")</f>
        <v/>
      </c>
      <c r="Q300" s="42" t="str">
        <f aca="false">IFERROR(IF($N300="Sole",0,IF(AND($N300="OTR",$R300=0),$J300-$P300,IF(AND($N300="OTR", $R300&gt;0), $J300-$P300-$Q300, ""))),"")</f>
        <v/>
      </c>
      <c r="R300" s="42" t="str">
        <f aca="false">IF($P300=$J300, "0","")</f>
        <v/>
      </c>
      <c r="S300" s="42" t="str">
        <f aca="false">IF(OR(ISBLANK($B300),ISBLANK($C300), ISBLANK($E300), ISBLANK($F300), AND(ISBLANK($G300),ISBLANK($H300)), ISBLANK($I300), ISBLANK($L300), AND(ISBLANK($N300), ISBLANK($O300)), AND(ISBLANK($P300), ISBLANK($Q300), ISBLANK($R300))), "No", "Yes")</f>
        <v>No</v>
      </c>
      <c r="T300" s="42" t="str">
        <f aca="false">SUBSTITUTE($U300," ","")</f>
        <v>37045V100</v>
      </c>
      <c r="U300" s="42" t="s">
        <v>411</v>
      </c>
      <c r="V300" s="39" t="n">
        <v>110900</v>
      </c>
    </row>
    <row r="301" customFormat="false" ht="15" hidden="false" customHeight="false" outlineLevel="0" collapsed="false">
      <c r="B301" s="70" t="s">
        <v>413</v>
      </c>
      <c r="C301" s="71" t="str">
        <f aca="false">IFERROR(INDEX('13F Data'!A:A,MATCH($B301,'13F Data'!A:A,0)),"No CUSIP Match")</f>
        <v>No CUSIP Match</v>
      </c>
      <c r="D301" s="71" t="str">
        <f aca="false">IFERROR(IF($B301=$C301,"Yes","No"),"No CUSIP Match")</f>
        <v>No</v>
      </c>
      <c r="E301" s="71"/>
      <c r="F301" s="71" t="str">
        <f aca="false">IFERROR(INDEX('13F Data'!C:C, MATCH($B301,'13F Data'!A:A,0)),"No CUSIP Match")</f>
        <v>No CUSIP Match</v>
      </c>
      <c r="G301" s="72" t="str">
        <f aca="false">IFERROR(INDEX('13F Data'!D:D,MATCH($B301,'13F Data'!A:A,0)),"No CUSIP Match")</f>
        <v>No CUSIP Match</v>
      </c>
      <c r="J301" s="73" t="n">
        <f aca="false">$V301</f>
        <v>1726</v>
      </c>
      <c r="K301" s="71" t="str">
        <f aca="false">IFERROR(INDEX('EOD Data'!G:G, MATCH($A301, 'EOD Data'!B:B,0)), "No TKR Match")</f>
        <v>No TKR Match</v>
      </c>
      <c r="L301" s="71" t="str">
        <f aca="false">IFERROR(ROUND($J301*$K301,0),"Error")</f>
        <v>Error</v>
      </c>
      <c r="M301" s="71" t="str">
        <f aca="false">IFERROR(IF(AND($J301&lt;10000,$L301&lt;200000),"Yes","No"),"Error")</f>
        <v>No</v>
      </c>
      <c r="P301" s="42" t="str">
        <f aca="false">IF($N301="SOLE",$J301,"")</f>
        <v/>
      </c>
      <c r="Q301" s="42" t="str">
        <f aca="false">IFERROR(IF($N301="Sole",0,IF(AND($N301="OTR",$R301=0),$J301-$P301,IF(AND($N301="OTR", $R301&gt;0), $J301-$P301-$Q301, ""))),"")</f>
        <v/>
      </c>
      <c r="R301" s="42" t="str">
        <f aca="false">IF($P301=$J301, "0","")</f>
        <v/>
      </c>
      <c r="S301" s="42" t="str">
        <f aca="false">IF(OR(ISBLANK($B301),ISBLANK($C301), ISBLANK($E301), ISBLANK($F301), AND(ISBLANK($G301),ISBLANK($H301)), ISBLANK($I301), ISBLANK($L301), AND(ISBLANK($N301), ISBLANK($O301)), AND(ISBLANK($P301), ISBLANK($Q301), ISBLANK($R301))), "No", "Yes")</f>
        <v>No</v>
      </c>
      <c r="T301" s="42" t="str">
        <f aca="false">SUBSTITUTE($U301," ","")</f>
        <v>372460105</v>
      </c>
      <c r="U301" s="42" t="s">
        <v>413</v>
      </c>
      <c r="V301" s="39" t="n">
        <v>1726</v>
      </c>
    </row>
    <row r="302" customFormat="false" ht="15" hidden="false" customHeight="false" outlineLevel="0" collapsed="false">
      <c r="B302" s="70" t="s">
        <v>413</v>
      </c>
      <c r="C302" s="71" t="str">
        <f aca="false">IFERROR(INDEX('13F Data'!A:A,MATCH($B302,'13F Data'!A:A,0)),"No CUSIP Match")</f>
        <v>No CUSIP Match</v>
      </c>
      <c r="D302" s="71" t="str">
        <f aca="false">IFERROR(IF($B302=$C302,"Yes","No"),"No CUSIP Match")</f>
        <v>No</v>
      </c>
      <c r="E302" s="71"/>
      <c r="F302" s="71" t="str">
        <f aca="false">IFERROR(INDEX('13F Data'!C:C, MATCH($B302,'13F Data'!A:A,0)),"No CUSIP Match")</f>
        <v>No CUSIP Match</v>
      </c>
      <c r="G302" s="72" t="str">
        <f aca="false">IFERROR(INDEX('13F Data'!D:D,MATCH($B302,'13F Data'!A:A,0)),"No CUSIP Match")</f>
        <v>No CUSIP Match</v>
      </c>
      <c r="J302" s="73" t="n">
        <f aca="false">$V302</f>
        <v>2500</v>
      </c>
      <c r="K302" s="71" t="str">
        <f aca="false">IFERROR(INDEX('EOD Data'!G:G, MATCH($A302, 'EOD Data'!B:B,0)), "No TKR Match")</f>
        <v>No TKR Match</v>
      </c>
      <c r="L302" s="71" t="str">
        <f aca="false">IFERROR(ROUND($J302*$K302,0),"Error")</f>
        <v>Error</v>
      </c>
      <c r="M302" s="71" t="str">
        <f aca="false">IFERROR(IF(AND($J302&lt;10000,$L302&lt;200000),"Yes","No"),"Error")</f>
        <v>No</v>
      </c>
      <c r="P302" s="42" t="str">
        <f aca="false">IF($N302="SOLE",$J302,"")</f>
        <v/>
      </c>
      <c r="Q302" s="42" t="str">
        <f aca="false">IFERROR(IF($N302="Sole",0,IF(AND($N302="OTR",$R302=0),$J302-$P302,IF(AND($N302="OTR", $R302&gt;0), $J302-$P302-$Q302, ""))),"")</f>
        <v/>
      </c>
      <c r="R302" s="42" t="str">
        <f aca="false">IF($P302=$J302, "0","")</f>
        <v/>
      </c>
      <c r="S302" s="42" t="str">
        <f aca="false">IF(OR(ISBLANK($B302),ISBLANK($C302), ISBLANK($E302), ISBLANK($F302), AND(ISBLANK($G302),ISBLANK($H302)), ISBLANK($I302), ISBLANK($L302), AND(ISBLANK($N302), ISBLANK($O302)), AND(ISBLANK($P302), ISBLANK($Q302), ISBLANK($R302))), "No", "Yes")</f>
        <v>No</v>
      </c>
      <c r="T302" s="42" t="str">
        <f aca="false">SUBSTITUTE($U302," ","")</f>
        <v>372460105</v>
      </c>
      <c r="U302" s="42" t="s">
        <v>413</v>
      </c>
      <c r="V302" s="39" t="n">
        <v>2500</v>
      </c>
    </row>
    <row r="303" customFormat="false" ht="15" hidden="false" customHeight="false" outlineLevel="0" collapsed="false">
      <c r="B303" s="70" t="s">
        <v>413</v>
      </c>
      <c r="C303" s="71" t="str">
        <f aca="false">IFERROR(INDEX('13F Data'!A:A,MATCH($B303,'13F Data'!A:A,0)),"No CUSIP Match")</f>
        <v>No CUSIP Match</v>
      </c>
      <c r="D303" s="71" t="str">
        <f aca="false">IFERROR(IF($B303=$C303,"Yes","No"),"No CUSIP Match")</f>
        <v>No</v>
      </c>
      <c r="E303" s="71"/>
      <c r="F303" s="71" t="str">
        <f aca="false">IFERROR(INDEX('13F Data'!C:C, MATCH($B303,'13F Data'!A:A,0)),"No CUSIP Match")</f>
        <v>No CUSIP Match</v>
      </c>
      <c r="G303" s="72" t="str">
        <f aca="false">IFERROR(INDEX('13F Data'!D:D,MATCH($B303,'13F Data'!A:A,0)),"No CUSIP Match")</f>
        <v>No CUSIP Match</v>
      </c>
      <c r="J303" s="73" t="n">
        <f aca="false">$V303</f>
        <v>2500</v>
      </c>
      <c r="K303" s="71" t="str">
        <f aca="false">IFERROR(INDEX('EOD Data'!G:G, MATCH($A303, 'EOD Data'!B:B,0)), "No TKR Match")</f>
        <v>No TKR Match</v>
      </c>
      <c r="L303" s="71" t="str">
        <f aca="false">IFERROR(ROUND($J303*$K303,0),"Error")</f>
        <v>Error</v>
      </c>
      <c r="M303" s="71" t="str">
        <f aca="false">IFERROR(IF(AND($J303&lt;10000,$L303&lt;200000),"Yes","No"),"Error")</f>
        <v>No</v>
      </c>
      <c r="P303" s="42" t="str">
        <f aca="false">IF($N303="SOLE",$J303,"")</f>
        <v/>
      </c>
      <c r="Q303" s="42" t="str">
        <f aca="false">IFERROR(IF($N303="Sole",0,IF(AND($N303="OTR",$R303=0),$J303-$P303,IF(AND($N303="OTR", $R303&gt;0), $J303-$P303-$Q303, ""))),"")</f>
        <v/>
      </c>
      <c r="R303" s="42" t="str">
        <f aca="false">IF($P303=$J303, "0","")</f>
        <v/>
      </c>
      <c r="S303" s="42" t="str">
        <f aca="false">IF(OR(ISBLANK($B303),ISBLANK($C303), ISBLANK($E303), ISBLANK($F303), AND(ISBLANK($G303),ISBLANK($H303)), ISBLANK($I303), ISBLANK($L303), AND(ISBLANK($N303), ISBLANK($O303)), AND(ISBLANK($P303), ISBLANK($Q303), ISBLANK($R303))), "No", "Yes")</f>
        <v>No</v>
      </c>
      <c r="T303" s="42" t="str">
        <f aca="false">SUBSTITUTE($U303," ","")</f>
        <v>372460105</v>
      </c>
      <c r="U303" s="42" t="s">
        <v>413</v>
      </c>
      <c r="V303" s="39" t="n">
        <v>2500</v>
      </c>
    </row>
    <row r="304" customFormat="false" ht="15" hidden="false" customHeight="false" outlineLevel="0" collapsed="false">
      <c r="B304" s="70" t="s">
        <v>415</v>
      </c>
      <c r="C304" s="71" t="str">
        <f aca="false">IFERROR(INDEX('13F Data'!A:A,MATCH($B304,'13F Data'!A:A,0)),"No CUSIP Match")</f>
        <v>No CUSIP Match</v>
      </c>
      <c r="D304" s="71" t="str">
        <f aca="false">IFERROR(IF($B304=$C304,"Yes","No"),"No CUSIP Match")</f>
        <v>No</v>
      </c>
      <c r="E304" s="71"/>
      <c r="F304" s="71" t="str">
        <f aca="false">IFERROR(INDEX('13F Data'!C:C, MATCH($B304,'13F Data'!A:A,0)),"No CUSIP Match")</f>
        <v>No CUSIP Match</v>
      </c>
      <c r="G304" s="72" t="str">
        <f aca="false">IFERROR(INDEX('13F Data'!D:D,MATCH($B304,'13F Data'!A:A,0)),"No CUSIP Match")</f>
        <v>No CUSIP Match</v>
      </c>
      <c r="J304" s="73" t="n">
        <f aca="false">$V304</f>
        <v>2102</v>
      </c>
      <c r="K304" s="71" t="str">
        <f aca="false">IFERROR(INDEX('EOD Data'!G:G, MATCH($A304, 'EOD Data'!B:B,0)), "No TKR Match")</f>
        <v>No TKR Match</v>
      </c>
      <c r="L304" s="71" t="str">
        <f aca="false">IFERROR(ROUND($J304*$K304,0),"Error")</f>
        <v>Error</v>
      </c>
      <c r="M304" s="71" t="str">
        <f aca="false">IFERROR(IF(AND($J304&lt;10000,$L304&lt;200000),"Yes","No"),"Error")</f>
        <v>No</v>
      </c>
      <c r="P304" s="42" t="str">
        <f aca="false">IF($N304="SOLE",$J304,"")</f>
        <v/>
      </c>
      <c r="Q304" s="42" t="str">
        <f aca="false">IFERROR(IF($N304="Sole",0,IF(AND($N304="OTR",$R304=0),$J304-$P304,IF(AND($N304="OTR", $R304&gt;0), $J304-$P304-$Q304, ""))),"")</f>
        <v/>
      </c>
      <c r="R304" s="42" t="str">
        <f aca="false">IF($P304=$J304, "0","")</f>
        <v/>
      </c>
      <c r="S304" s="42" t="str">
        <f aca="false">IF(OR(ISBLANK($B304),ISBLANK($C304), ISBLANK($E304), ISBLANK($F304), AND(ISBLANK($G304),ISBLANK($H304)), ISBLANK($I304), ISBLANK($L304), AND(ISBLANK($N304), ISBLANK($O304)), AND(ISBLANK($P304), ISBLANK($Q304), ISBLANK($R304))), "No", "Yes")</f>
        <v>No</v>
      </c>
      <c r="T304" s="42" t="str">
        <f aca="false">SUBSTITUTE($U304," ","")</f>
        <v>375558103</v>
      </c>
      <c r="U304" s="42" t="s">
        <v>415</v>
      </c>
      <c r="V304" s="39" t="n">
        <v>2102</v>
      </c>
    </row>
    <row r="305" customFormat="false" ht="15" hidden="false" customHeight="false" outlineLevel="0" collapsed="false">
      <c r="B305" s="70" t="s">
        <v>415</v>
      </c>
      <c r="C305" s="71" t="str">
        <f aca="false">IFERROR(INDEX('13F Data'!A:A,MATCH($B305,'13F Data'!A:A,0)),"No CUSIP Match")</f>
        <v>No CUSIP Match</v>
      </c>
      <c r="D305" s="71" t="str">
        <f aca="false">IFERROR(IF($B305=$C305,"Yes","No"),"No CUSIP Match")</f>
        <v>No</v>
      </c>
      <c r="E305" s="71"/>
      <c r="F305" s="71" t="str">
        <f aca="false">IFERROR(INDEX('13F Data'!C:C, MATCH($B305,'13F Data'!A:A,0)),"No CUSIP Match")</f>
        <v>No CUSIP Match</v>
      </c>
      <c r="G305" s="72" t="str">
        <f aca="false">IFERROR(INDEX('13F Data'!D:D,MATCH($B305,'13F Data'!A:A,0)),"No CUSIP Match")</f>
        <v>No CUSIP Match</v>
      </c>
      <c r="J305" s="73" t="n">
        <f aca="false">$V305</f>
        <v>42700</v>
      </c>
      <c r="K305" s="71" t="str">
        <f aca="false">IFERROR(INDEX('EOD Data'!G:G, MATCH($A305, 'EOD Data'!B:B,0)), "No TKR Match")</f>
        <v>No TKR Match</v>
      </c>
      <c r="L305" s="71" t="str">
        <f aca="false">IFERROR(ROUND($J305*$K305,0),"Error")</f>
        <v>Error</v>
      </c>
      <c r="M305" s="71" t="str">
        <f aca="false">IFERROR(IF(AND($J305&lt;10000,$L305&lt;200000),"Yes","No"),"Error")</f>
        <v>No</v>
      </c>
      <c r="P305" s="42" t="str">
        <f aca="false">IF($N305="SOLE",$J305,"")</f>
        <v/>
      </c>
      <c r="Q305" s="42" t="str">
        <f aca="false">IFERROR(IF($N305="Sole",0,IF(AND($N305="OTR",$R305=0),$J305-$P305,IF(AND($N305="OTR", $R305&gt;0), $J305-$P305-$Q305, ""))),"")</f>
        <v/>
      </c>
      <c r="R305" s="42" t="str">
        <f aca="false">IF($P305=$J305, "0","")</f>
        <v/>
      </c>
      <c r="S305" s="42" t="str">
        <f aca="false">IF(OR(ISBLANK($B305),ISBLANK($C305), ISBLANK($E305), ISBLANK($F305), AND(ISBLANK($G305),ISBLANK($H305)), ISBLANK($I305), ISBLANK($L305), AND(ISBLANK($N305), ISBLANK($O305)), AND(ISBLANK($P305), ISBLANK($Q305), ISBLANK($R305))), "No", "Yes")</f>
        <v>No</v>
      </c>
      <c r="T305" s="42" t="str">
        <f aca="false">SUBSTITUTE($U305," ","")</f>
        <v>375558103</v>
      </c>
      <c r="U305" s="42" t="s">
        <v>415</v>
      </c>
      <c r="V305" s="39" t="n">
        <v>42700</v>
      </c>
    </row>
    <row r="306" customFormat="false" ht="15" hidden="false" customHeight="false" outlineLevel="0" collapsed="false">
      <c r="B306" s="70" t="s">
        <v>415</v>
      </c>
      <c r="C306" s="71" t="str">
        <f aca="false">IFERROR(INDEX('13F Data'!A:A,MATCH($B306,'13F Data'!A:A,0)),"No CUSIP Match")</f>
        <v>No CUSIP Match</v>
      </c>
      <c r="D306" s="71" t="str">
        <f aca="false">IFERROR(IF($B306=$C306,"Yes","No"),"No CUSIP Match")</f>
        <v>No</v>
      </c>
      <c r="E306" s="71"/>
      <c r="F306" s="71" t="str">
        <f aca="false">IFERROR(INDEX('13F Data'!C:C, MATCH($B306,'13F Data'!A:A,0)),"No CUSIP Match")</f>
        <v>No CUSIP Match</v>
      </c>
      <c r="G306" s="72" t="str">
        <f aca="false">IFERROR(INDEX('13F Data'!D:D,MATCH($B306,'13F Data'!A:A,0)),"No CUSIP Match")</f>
        <v>No CUSIP Match</v>
      </c>
      <c r="J306" s="73" t="n">
        <f aca="false">$V306</f>
        <v>42700</v>
      </c>
      <c r="K306" s="71" t="str">
        <f aca="false">IFERROR(INDEX('EOD Data'!G:G, MATCH($A306, 'EOD Data'!B:B,0)), "No TKR Match")</f>
        <v>No TKR Match</v>
      </c>
      <c r="L306" s="71" t="str">
        <f aca="false">IFERROR(ROUND($J306*$K306,0),"Error")</f>
        <v>Error</v>
      </c>
      <c r="M306" s="71" t="str">
        <f aca="false">IFERROR(IF(AND($J306&lt;10000,$L306&lt;200000),"Yes","No"),"Error")</f>
        <v>No</v>
      </c>
      <c r="P306" s="42" t="str">
        <f aca="false">IF($N306="SOLE",$J306,"")</f>
        <v/>
      </c>
      <c r="Q306" s="42" t="str">
        <f aca="false">IFERROR(IF($N306="Sole",0,IF(AND($N306="OTR",$R306=0),$J306-$P306,IF(AND($N306="OTR", $R306&gt;0), $J306-$P306-$Q306, ""))),"")</f>
        <v/>
      </c>
      <c r="R306" s="42" t="str">
        <f aca="false">IF($P306=$J306, "0","")</f>
        <v/>
      </c>
      <c r="S306" s="42" t="str">
        <f aca="false">IF(OR(ISBLANK($B306),ISBLANK($C306), ISBLANK($E306), ISBLANK($F306), AND(ISBLANK($G306),ISBLANK($H306)), ISBLANK($I306), ISBLANK($L306), AND(ISBLANK($N306), ISBLANK($O306)), AND(ISBLANK($P306), ISBLANK($Q306), ISBLANK($R306))), "No", "Yes")</f>
        <v>No</v>
      </c>
      <c r="T306" s="42" t="str">
        <f aca="false">SUBSTITUTE($U306," ","")</f>
        <v>375558103</v>
      </c>
      <c r="U306" s="42" t="s">
        <v>415</v>
      </c>
      <c r="V306" s="39" t="n">
        <v>42700</v>
      </c>
    </row>
    <row r="307" customFormat="false" ht="15" hidden="false" customHeight="false" outlineLevel="0" collapsed="false">
      <c r="B307" s="70" t="s">
        <v>417</v>
      </c>
      <c r="C307" s="71" t="str">
        <f aca="false">IFERROR(INDEX('13F Data'!A:A,MATCH($B307,'13F Data'!A:A,0)),"No CUSIP Match")</f>
        <v>No CUSIP Match</v>
      </c>
      <c r="D307" s="71" t="str">
        <f aca="false">IFERROR(IF($B307=$C307,"Yes","No"),"No CUSIP Match")</f>
        <v>No</v>
      </c>
      <c r="E307" s="71"/>
      <c r="F307" s="71" t="str">
        <f aca="false">IFERROR(INDEX('13F Data'!C:C, MATCH($B307,'13F Data'!A:A,0)),"No CUSIP Match")</f>
        <v>No CUSIP Match</v>
      </c>
      <c r="G307" s="72" t="str">
        <f aca="false">IFERROR(INDEX('13F Data'!D:D,MATCH($B307,'13F Data'!A:A,0)),"No CUSIP Match")</f>
        <v>No CUSIP Match</v>
      </c>
      <c r="J307" s="73" t="n">
        <f aca="false">$V307</f>
        <v>58098</v>
      </c>
      <c r="K307" s="71" t="str">
        <f aca="false">IFERROR(INDEX('EOD Data'!G:G, MATCH($A307, 'EOD Data'!B:B,0)), "No TKR Match")</f>
        <v>No TKR Match</v>
      </c>
      <c r="L307" s="71" t="str">
        <f aca="false">IFERROR(ROUND($J307*$K307,0),"Error")</f>
        <v>Error</v>
      </c>
      <c r="M307" s="71" t="str">
        <f aca="false">IFERROR(IF(AND($J307&lt;10000,$L307&lt;200000),"Yes","No"),"Error")</f>
        <v>No</v>
      </c>
      <c r="P307" s="42" t="str">
        <f aca="false">IF($N307="SOLE",$J307,"")</f>
        <v/>
      </c>
      <c r="Q307" s="42" t="str">
        <f aca="false">IFERROR(IF($N307="Sole",0,IF(AND($N307="OTR",$R307=0),$J307-$P307,IF(AND($N307="OTR", $R307&gt;0), $J307-$P307-$Q307, ""))),"")</f>
        <v/>
      </c>
      <c r="R307" s="42" t="str">
        <f aca="false">IF($P307=$J307, "0","")</f>
        <v/>
      </c>
      <c r="S307" s="42" t="str">
        <f aca="false">IF(OR(ISBLANK($B307),ISBLANK($C307), ISBLANK($E307), ISBLANK($F307), AND(ISBLANK($G307),ISBLANK($H307)), ISBLANK($I307), ISBLANK($L307), AND(ISBLANK($N307), ISBLANK($O307)), AND(ISBLANK($P307), ISBLANK($Q307), ISBLANK($R307))), "No", "Yes")</f>
        <v>No</v>
      </c>
      <c r="T307" s="42" t="str">
        <f aca="false">SUBSTITUTE($U307," ","")</f>
        <v>G39387108</v>
      </c>
      <c r="U307" s="42" t="s">
        <v>417</v>
      </c>
      <c r="V307" s="39" t="n">
        <v>58098</v>
      </c>
    </row>
    <row r="308" customFormat="false" ht="15" hidden="false" customHeight="false" outlineLevel="0" collapsed="false">
      <c r="B308" s="70" t="s">
        <v>419</v>
      </c>
      <c r="C308" s="71" t="str">
        <f aca="false">IFERROR(INDEX('13F Data'!A:A,MATCH($B308,'13F Data'!A:A,0)),"No CUSIP Match")</f>
        <v>No CUSIP Match</v>
      </c>
      <c r="D308" s="71" t="str">
        <f aca="false">IFERROR(IF($B308=$C308,"Yes","No"),"No CUSIP Match")</f>
        <v>No</v>
      </c>
      <c r="E308" s="71"/>
      <c r="F308" s="71" t="str">
        <f aca="false">IFERROR(INDEX('13F Data'!C:C, MATCH($B308,'13F Data'!A:A,0)),"No CUSIP Match")</f>
        <v>No CUSIP Match</v>
      </c>
      <c r="G308" s="72" t="str">
        <f aca="false">IFERROR(INDEX('13F Data'!D:D,MATCH($B308,'13F Data'!A:A,0)),"No CUSIP Match")</f>
        <v>No CUSIP Match</v>
      </c>
      <c r="J308" s="73" t="n">
        <f aca="false">$V308</f>
        <v>300</v>
      </c>
      <c r="K308" s="71" t="str">
        <f aca="false">IFERROR(INDEX('EOD Data'!G:G, MATCH($A308, 'EOD Data'!B:B,0)), "No TKR Match")</f>
        <v>No TKR Match</v>
      </c>
      <c r="L308" s="71" t="str">
        <f aca="false">IFERROR(ROUND($J308*$K308,0),"Error")</f>
        <v>Error</v>
      </c>
      <c r="M308" s="71" t="str">
        <f aca="false">IFERROR(IF(AND($J308&lt;10000,$L308&lt;200000),"Yes","No"),"Error")</f>
        <v>No</v>
      </c>
      <c r="P308" s="42" t="str">
        <f aca="false">IF($N308="SOLE",$J308,"")</f>
        <v/>
      </c>
      <c r="Q308" s="42" t="str">
        <f aca="false">IFERROR(IF($N308="Sole",0,IF(AND($N308="OTR",$R308=0),$J308-$P308,IF(AND($N308="OTR", $R308&gt;0), $J308-$P308-$Q308, ""))),"")</f>
        <v/>
      </c>
      <c r="R308" s="42" t="str">
        <f aca="false">IF($P308=$J308, "0","")</f>
        <v/>
      </c>
      <c r="S308" s="42" t="str">
        <f aca="false">IF(OR(ISBLANK($B308),ISBLANK($C308), ISBLANK($E308), ISBLANK($F308), AND(ISBLANK($G308),ISBLANK($H308)), ISBLANK($I308), ISBLANK($L308), AND(ISBLANK($N308), ISBLANK($O308)), AND(ISBLANK($P308), ISBLANK($Q308), ISBLANK($R308))), "No", "Yes")</f>
        <v>No</v>
      </c>
      <c r="T308" s="42" t="str">
        <f aca="false">SUBSTITUTE($U308," ","")</f>
        <v>38141G104</v>
      </c>
      <c r="U308" s="42" t="s">
        <v>419</v>
      </c>
      <c r="V308" s="39" t="n">
        <v>300</v>
      </c>
    </row>
    <row r="309" customFormat="false" ht="15" hidden="false" customHeight="false" outlineLevel="0" collapsed="false">
      <c r="B309" s="70" t="s">
        <v>419</v>
      </c>
      <c r="C309" s="71" t="str">
        <f aca="false">IFERROR(INDEX('13F Data'!A:A,MATCH($B309,'13F Data'!A:A,0)),"No CUSIP Match")</f>
        <v>No CUSIP Match</v>
      </c>
      <c r="D309" s="71" t="str">
        <f aca="false">IFERROR(IF($B309=$C309,"Yes","No"),"No CUSIP Match")</f>
        <v>No</v>
      </c>
      <c r="E309" s="71"/>
      <c r="F309" s="71" t="str">
        <f aca="false">IFERROR(INDEX('13F Data'!C:C, MATCH($B309,'13F Data'!A:A,0)),"No CUSIP Match")</f>
        <v>No CUSIP Match</v>
      </c>
      <c r="G309" s="72" t="str">
        <f aca="false">IFERROR(INDEX('13F Data'!D:D,MATCH($B309,'13F Data'!A:A,0)),"No CUSIP Match")</f>
        <v>No CUSIP Match</v>
      </c>
      <c r="J309" s="73" t="n">
        <f aca="false">$V309</f>
        <v>300</v>
      </c>
      <c r="K309" s="71" t="str">
        <f aca="false">IFERROR(INDEX('EOD Data'!G:G, MATCH($A309, 'EOD Data'!B:B,0)), "No TKR Match")</f>
        <v>No TKR Match</v>
      </c>
      <c r="L309" s="71" t="str">
        <f aca="false">IFERROR(ROUND($J309*$K309,0),"Error")</f>
        <v>Error</v>
      </c>
      <c r="M309" s="71" t="str">
        <f aca="false">IFERROR(IF(AND($J309&lt;10000,$L309&lt;200000),"Yes","No"),"Error")</f>
        <v>No</v>
      </c>
      <c r="P309" s="42" t="str">
        <f aca="false">IF($N309="SOLE",$J309,"")</f>
        <v/>
      </c>
      <c r="Q309" s="42" t="str">
        <f aca="false">IFERROR(IF($N309="Sole",0,IF(AND($N309="OTR",$R309=0),$J309-$P309,IF(AND($N309="OTR", $R309&gt;0), $J309-$P309-$Q309, ""))),"")</f>
        <v/>
      </c>
      <c r="R309" s="42" t="str">
        <f aca="false">IF($P309=$J309, "0","")</f>
        <v/>
      </c>
      <c r="S309" s="42" t="str">
        <f aca="false">IF(OR(ISBLANK($B309),ISBLANK($C309), ISBLANK($E309), ISBLANK($F309), AND(ISBLANK($G309),ISBLANK($H309)), ISBLANK($I309), ISBLANK($L309), AND(ISBLANK($N309), ISBLANK($O309)), AND(ISBLANK($P309), ISBLANK($Q309), ISBLANK($R309))), "No", "Yes")</f>
        <v>No</v>
      </c>
      <c r="T309" s="42" t="str">
        <f aca="false">SUBSTITUTE($U309," ","")</f>
        <v>38141G104</v>
      </c>
      <c r="U309" s="42" t="s">
        <v>419</v>
      </c>
      <c r="V309" s="39" t="n">
        <v>300</v>
      </c>
    </row>
    <row r="310" customFormat="false" ht="15" hidden="false" customHeight="false" outlineLevel="0" collapsed="false">
      <c r="B310" s="70" t="s">
        <v>421</v>
      </c>
      <c r="C310" s="71" t="str">
        <f aca="false">IFERROR(INDEX('13F Data'!A:A,MATCH($B310,'13F Data'!A:A,0)),"No CUSIP Match")</f>
        <v>No CUSIP Match</v>
      </c>
      <c r="D310" s="71" t="str">
        <f aca="false">IFERROR(IF($B310=$C310,"Yes","No"),"No CUSIP Match")</f>
        <v>No</v>
      </c>
      <c r="E310" s="71"/>
      <c r="F310" s="71" t="str">
        <f aca="false">IFERROR(INDEX('13F Data'!C:C, MATCH($B310,'13F Data'!A:A,0)),"No CUSIP Match")</f>
        <v>No CUSIP Match</v>
      </c>
      <c r="G310" s="72" t="str">
        <f aca="false">IFERROR(INDEX('13F Data'!D:D,MATCH($B310,'13F Data'!A:A,0)),"No CUSIP Match")</f>
        <v>No CUSIP Match</v>
      </c>
      <c r="J310" s="73" t="n">
        <f aca="false">$V310</f>
        <v>554270</v>
      </c>
      <c r="K310" s="71" t="str">
        <f aca="false">IFERROR(INDEX('EOD Data'!G:G, MATCH($A310, 'EOD Data'!B:B,0)), "No TKR Match")</f>
        <v>No TKR Match</v>
      </c>
      <c r="L310" s="71" t="str">
        <f aca="false">IFERROR(ROUND($J310*$K310,0),"Error")</f>
        <v>Error</v>
      </c>
      <c r="M310" s="71" t="str">
        <f aca="false">IFERROR(IF(AND($J310&lt;10000,$L310&lt;200000),"Yes","No"),"Error")</f>
        <v>No</v>
      </c>
      <c r="P310" s="42" t="str">
        <f aca="false">IF($N310="SOLE",$J310,"")</f>
        <v/>
      </c>
      <c r="Q310" s="42" t="str">
        <f aca="false">IFERROR(IF($N310="Sole",0,IF(AND($N310="OTR",$R310=0),$J310-$P310,IF(AND($N310="OTR", $R310&gt;0), $J310-$P310-$Q310, ""))),"")</f>
        <v/>
      </c>
      <c r="R310" s="42" t="str">
        <f aca="false">IF($P310=$J310, "0","")</f>
        <v/>
      </c>
      <c r="S310" s="42" t="str">
        <f aca="false">IF(OR(ISBLANK($B310),ISBLANK($C310), ISBLANK($E310), ISBLANK($F310), AND(ISBLANK($G310),ISBLANK($H310)), ISBLANK($I310), ISBLANK($L310), AND(ISBLANK($N310), ISBLANK($O310)), AND(ISBLANK($P310), ISBLANK($Q310), ISBLANK($R310))), "No", "Yes")</f>
        <v>No</v>
      </c>
      <c r="T310" s="42" t="str">
        <f aca="false">SUBSTITUTE($U310," ","")</f>
        <v>382550101</v>
      </c>
      <c r="U310" s="42" t="s">
        <v>421</v>
      </c>
      <c r="V310" s="39" t="n">
        <v>554270</v>
      </c>
    </row>
    <row r="311" customFormat="false" ht="15" hidden="false" customHeight="false" outlineLevel="0" collapsed="false">
      <c r="B311" s="70" t="s">
        <v>423</v>
      </c>
      <c r="C311" s="71" t="str">
        <f aca="false">IFERROR(INDEX('13F Data'!A:A,MATCH($B311,'13F Data'!A:A,0)),"No CUSIP Match")</f>
        <v>No CUSIP Match</v>
      </c>
      <c r="D311" s="71" t="str">
        <f aca="false">IFERROR(IF($B311=$C311,"Yes","No"),"No CUSIP Match")</f>
        <v>No</v>
      </c>
      <c r="E311" s="71"/>
      <c r="F311" s="71" t="str">
        <f aca="false">IFERROR(INDEX('13F Data'!C:C, MATCH($B311,'13F Data'!A:A,0)),"No CUSIP Match")</f>
        <v>No CUSIP Match</v>
      </c>
      <c r="G311" s="72" t="str">
        <f aca="false">IFERROR(INDEX('13F Data'!D:D,MATCH($B311,'13F Data'!A:A,0)),"No CUSIP Match")</f>
        <v>No CUSIP Match</v>
      </c>
      <c r="J311" s="73" t="n">
        <f aca="false">$V311</f>
        <v>44500000</v>
      </c>
      <c r="K311" s="71" t="str">
        <f aca="false">IFERROR(INDEX('EOD Data'!G:G, MATCH($A311, 'EOD Data'!B:B,0)), "No TKR Match")</f>
        <v>No TKR Match</v>
      </c>
      <c r="L311" s="71" t="str">
        <f aca="false">IFERROR(ROUND($J311*$K311,0),"Error")</f>
        <v>Error</v>
      </c>
      <c r="M311" s="71" t="str">
        <f aca="false">IFERROR(IF(AND($J311&lt;10000,$L311&lt;200000),"Yes","No"),"Error")</f>
        <v>No</v>
      </c>
      <c r="P311" s="42" t="str">
        <f aca="false">IF($N311="SOLE",$J311,"")</f>
        <v/>
      </c>
      <c r="Q311" s="42" t="str">
        <f aca="false">IFERROR(IF($N311="Sole",0,IF(AND($N311="OTR",$R311=0),$J311-$P311,IF(AND($N311="OTR", $R311&gt;0), $J311-$P311-$Q311, ""))),"")</f>
        <v/>
      </c>
      <c r="R311" s="42" t="str">
        <f aca="false">IF($P311=$J311, "0","")</f>
        <v/>
      </c>
      <c r="S311" s="42" t="str">
        <f aca="false">IF(OR(ISBLANK($B311),ISBLANK($C311), ISBLANK($E311), ISBLANK($F311), AND(ISBLANK($G311),ISBLANK($H311)), ISBLANK($I311), ISBLANK($L311), AND(ISBLANK($N311), ISBLANK($O311)), AND(ISBLANK($P311), ISBLANK($Q311), ISBLANK($R311))), "No", "Yes")</f>
        <v>No</v>
      </c>
      <c r="T311" s="42" t="str">
        <f aca="false">SUBSTITUTE($U311," ","")</f>
        <v>387328AC1</v>
      </c>
      <c r="U311" s="42" t="s">
        <v>423</v>
      </c>
      <c r="V311" s="39" t="n">
        <v>44500000</v>
      </c>
    </row>
    <row r="312" customFormat="false" ht="15" hidden="false" customHeight="false" outlineLevel="0" collapsed="false">
      <c r="B312" s="70" t="s">
        <v>425</v>
      </c>
      <c r="C312" s="71" t="str">
        <f aca="false">IFERROR(INDEX('13F Data'!A:A,MATCH($B312,'13F Data'!A:A,0)),"No CUSIP Match")</f>
        <v>No CUSIP Match</v>
      </c>
      <c r="D312" s="71" t="str">
        <f aca="false">IFERROR(IF($B312=$C312,"Yes","No"),"No CUSIP Match")</f>
        <v>No</v>
      </c>
      <c r="E312" s="71"/>
      <c r="F312" s="71" t="str">
        <f aca="false">IFERROR(INDEX('13F Data'!C:C, MATCH($B312,'13F Data'!A:A,0)),"No CUSIP Match")</f>
        <v>No CUSIP Match</v>
      </c>
      <c r="G312" s="72" t="str">
        <f aca="false">IFERROR(INDEX('13F Data'!D:D,MATCH($B312,'13F Data'!A:A,0)),"No CUSIP Match")</f>
        <v>No CUSIP Match</v>
      </c>
      <c r="J312" s="73" t="n">
        <f aca="false">$V312</f>
        <v>85822</v>
      </c>
      <c r="K312" s="71" t="str">
        <f aca="false">IFERROR(INDEX('EOD Data'!G:G, MATCH($A312, 'EOD Data'!B:B,0)), "No TKR Match")</f>
        <v>No TKR Match</v>
      </c>
      <c r="L312" s="71" t="str">
        <f aca="false">IFERROR(ROUND($J312*$K312,0),"Error")</f>
        <v>Error</v>
      </c>
      <c r="M312" s="71" t="str">
        <f aca="false">IFERROR(IF(AND($J312&lt;10000,$L312&lt;200000),"Yes","No"),"Error")</f>
        <v>No</v>
      </c>
      <c r="P312" s="42" t="str">
        <f aca="false">IF($N312="SOLE",$J312,"")</f>
        <v/>
      </c>
      <c r="Q312" s="42" t="str">
        <f aca="false">IFERROR(IF($N312="Sole",0,IF(AND($N312="OTR",$R312=0),$J312-$P312,IF(AND($N312="OTR", $R312&gt;0), $J312-$P312-$Q312, ""))),"")</f>
        <v/>
      </c>
      <c r="R312" s="42" t="str">
        <f aca="false">IF($P312=$J312, "0","")</f>
        <v/>
      </c>
      <c r="S312" s="42" t="str">
        <f aca="false">IF(OR(ISBLANK($B312),ISBLANK($C312), ISBLANK($E312), ISBLANK($F312), AND(ISBLANK($G312),ISBLANK($H312)), ISBLANK($I312), ISBLANK($L312), AND(ISBLANK($N312), ISBLANK($O312)), AND(ISBLANK($P312), ISBLANK($Q312), ISBLANK($R312))), "No", "Yes")</f>
        <v>No</v>
      </c>
      <c r="T312" s="42" t="str">
        <f aca="false">SUBSTITUTE($U312," ","")</f>
        <v>389375106</v>
      </c>
      <c r="U312" s="42" t="s">
        <v>425</v>
      </c>
      <c r="V312" s="39" t="n">
        <v>85822</v>
      </c>
    </row>
    <row r="313" customFormat="false" ht="15" hidden="false" customHeight="false" outlineLevel="0" collapsed="false">
      <c r="B313" s="70" t="s">
        <v>427</v>
      </c>
      <c r="C313" s="71" t="str">
        <f aca="false">IFERROR(INDEX('13F Data'!A:A,MATCH($B313,'13F Data'!A:A,0)),"No CUSIP Match")</f>
        <v>No CUSIP Match</v>
      </c>
      <c r="D313" s="71" t="str">
        <f aca="false">IFERROR(IF($B313=$C313,"Yes","No"),"No CUSIP Match")</f>
        <v>No</v>
      </c>
      <c r="E313" s="71"/>
      <c r="F313" s="71" t="str">
        <f aca="false">IFERROR(INDEX('13F Data'!C:C, MATCH($B313,'13F Data'!A:A,0)),"No CUSIP Match")</f>
        <v>No CUSIP Match</v>
      </c>
      <c r="G313" s="72" t="str">
        <f aca="false">IFERROR(INDEX('13F Data'!D:D,MATCH($B313,'13F Data'!A:A,0)),"No CUSIP Match")</f>
        <v>No CUSIP Match</v>
      </c>
      <c r="J313" s="73" t="n">
        <f aca="false">$V313</f>
        <v>30427</v>
      </c>
      <c r="K313" s="71" t="str">
        <f aca="false">IFERROR(INDEX('EOD Data'!G:G, MATCH($A313, 'EOD Data'!B:B,0)), "No TKR Match")</f>
        <v>No TKR Match</v>
      </c>
      <c r="L313" s="71" t="str">
        <f aca="false">IFERROR(ROUND($J313*$K313,0),"Error")</f>
        <v>Error</v>
      </c>
      <c r="M313" s="71" t="str">
        <f aca="false">IFERROR(IF(AND($J313&lt;10000,$L313&lt;200000),"Yes","No"),"Error")</f>
        <v>No</v>
      </c>
      <c r="P313" s="42" t="str">
        <f aca="false">IF($N313="SOLE",$J313,"")</f>
        <v/>
      </c>
      <c r="Q313" s="42" t="str">
        <f aca="false">IFERROR(IF($N313="Sole",0,IF(AND($N313="OTR",$R313=0),$J313-$P313,IF(AND($N313="OTR", $R313&gt;0), $J313-$P313-$Q313, ""))),"")</f>
        <v/>
      </c>
      <c r="R313" s="42" t="str">
        <f aca="false">IF($P313=$J313, "0","")</f>
        <v/>
      </c>
      <c r="S313" s="42" t="str">
        <f aca="false">IF(OR(ISBLANK($B313),ISBLANK($C313), ISBLANK($E313), ISBLANK($F313), AND(ISBLANK($G313),ISBLANK($H313)), ISBLANK($I313), ISBLANK($L313), AND(ISBLANK($N313), ISBLANK($O313)), AND(ISBLANK($P313), ISBLANK($Q313), ISBLANK($R313))), "No", "Yes")</f>
        <v>No</v>
      </c>
      <c r="T313" s="42" t="str">
        <f aca="false">SUBSTITUTE($U313," ","")</f>
        <v>40171V100</v>
      </c>
      <c r="U313" s="42" t="s">
        <v>427</v>
      </c>
      <c r="V313" s="39" t="n">
        <v>30427</v>
      </c>
    </row>
    <row r="314" customFormat="false" ht="15" hidden="false" customHeight="false" outlineLevel="0" collapsed="false">
      <c r="B314" s="70" t="s">
        <v>429</v>
      </c>
      <c r="C314" s="71" t="str">
        <f aca="false">IFERROR(INDEX('13F Data'!A:A,MATCH($B314,'13F Data'!A:A,0)),"No CUSIP Match")</f>
        <v>No CUSIP Match</v>
      </c>
      <c r="D314" s="71" t="str">
        <f aca="false">IFERROR(IF($B314=$C314,"Yes","No"),"No CUSIP Match")</f>
        <v>No</v>
      </c>
      <c r="E314" s="71"/>
      <c r="F314" s="71" t="str">
        <f aca="false">IFERROR(INDEX('13F Data'!C:C, MATCH($B314,'13F Data'!A:A,0)),"No CUSIP Match")</f>
        <v>No CUSIP Match</v>
      </c>
      <c r="G314" s="72" t="str">
        <f aca="false">IFERROR(INDEX('13F Data'!D:D,MATCH($B314,'13F Data'!A:A,0)),"No CUSIP Match")</f>
        <v>No CUSIP Match</v>
      </c>
      <c r="J314" s="73" t="n">
        <f aca="false">$V314</f>
        <v>82254</v>
      </c>
      <c r="K314" s="71" t="str">
        <f aca="false">IFERROR(INDEX('EOD Data'!G:G, MATCH($A314, 'EOD Data'!B:B,0)), "No TKR Match")</f>
        <v>No TKR Match</v>
      </c>
      <c r="L314" s="71" t="str">
        <f aca="false">IFERROR(ROUND($J314*$K314,0),"Error")</f>
        <v>Error</v>
      </c>
      <c r="M314" s="71" t="str">
        <f aca="false">IFERROR(IF(AND($J314&lt;10000,$L314&lt;200000),"Yes","No"),"Error")</f>
        <v>No</v>
      </c>
      <c r="P314" s="42" t="str">
        <f aca="false">IF($N314="SOLE",$J314,"")</f>
        <v/>
      </c>
      <c r="Q314" s="42" t="str">
        <f aca="false">IFERROR(IF($N314="Sole",0,IF(AND($N314="OTR",$R314=0),$J314-$P314,IF(AND($N314="OTR", $R314&gt;0), $J314-$P314-$Q314, ""))),"")</f>
        <v/>
      </c>
      <c r="R314" s="42" t="str">
        <f aca="false">IF($P314=$J314, "0","")</f>
        <v/>
      </c>
      <c r="S314" s="42" t="str">
        <f aca="false">IF(OR(ISBLANK($B314),ISBLANK($C314), ISBLANK($E314), ISBLANK($F314), AND(ISBLANK($G314),ISBLANK($H314)), ISBLANK($I314), ISBLANK($L314), AND(ISBLANK($N314), ISBLANK($O314)), AND(ISBLANK($P314), ISBLANK($Q314), ISBLANK($R314))), "No", "Yes")</f>
        <v>No</v>
      </c>
      <c r="T314" s="42" t="str">
        <f aca="false">SUBSTITUTE($U314," ","")</f>
        <v>36262G101</v>
      </c>
      <c r="U314" s="42" t="s">
        <v>429</v>
      </c>
      <c r="V314" s="39" t="n">
        <v>82254</v>
      </c>
    </row>
    <row r="315" customFormat="false" ht="15" hidden="false" customHeight="false" outlineLevel="0" collapsed="false">
      <c r="B315" s="70" t="s">
        <v>431</v>
      </c>
      <c r="C315" s="71" t="str">
        <f aca="false">IFERROR(INDEX('13F Data'!A:A,MATCH($B315,'13F Data'!A:A,0)),"No CUSIP Match")</f>
        <v>No CUSIP Match</v>
      </c>
      <c r="D315" s="71" t="str">
        <f aca="false">IFERROR(IF($B315=$C315,"Yes","No"),"No CUSIP Match")</f>
        <v>No</v>
      </c>
      <c r="E315" s="71"/>
      <c r="F315" s="71" t="str">
        <f aca="false">IFERROR(INDEX('13F Data'!C:C, MATCH($B315,'13F Data'!A:A,0)),"No CUSIP Match")</f>
        <v>No CUSIP Match</v>
      </c>
      <c r="G315" s="72" t="str">
        <f aca="false">IFERROR(INDEX('13F Data'!D:D,MATCH($B315,'13F Data'!A:A,0)),"No CUSIP Match")</f>
        <v>No CUSIP Match</v>
      </c>
      <c r="J315" s="73" t="n">
        <f aca="false">$V315</f>
        <v>32700000</v>
      </c>
      <c r="K315" s="71" t="str">
        <f aca="false">IFERROR(INDEX('EOD Data'!G:G, MATCH($A315, 'EOD Data'!B:B,0)), "No TKR Match")</f>
        <v>No TKR Match</v>
      </c>
      <c r="L315" s="71" t="str">
        <f aca="false">IFERROR(ROUND($J315*$K315,0),"Error")</f>
        <v>Error</v>
      </c>
      <c r="M315" s="71" t="str">
        <f aca="false">IFERROR(IF(AND($J315&lt;10000,$L315&lt;200000),"Yes","No"),"Error")</f>
        <v>No</v>
      </c>
      <c r="P315" s="42" t="str">
        <f aca="false">IF($N315="SOLE",$J315,"")</f>
        <v/>
      </c>
      <c r="Q315" s="42" t="str">
        <f aca="false">IFERROR(IF($N315="Sole",0,IF(AND($N315="OTR",$R315=0),$J315-$P315,IF(AND($N315="OTR", $R315&gt;0), $J315-$P315-$Q315, ""))),"")</f>
        <v/>
      </c>
      <c r="R315" s="42" t="str">
        <f aca="false">IF($P315=$J315, "0","")</f>
        <v/>
      </c>
      <c r="S315" s="42" t="str">
        <f aca="false">IF(OR(ISBLANK($B315),ISBLANK($C315), ISBLANK($E315), ISBLANK($F315), AND(ISBLANK($G315),ISBLANK($H315)), ISBLANK($I315), ISBLANK($L315), AND(ISBLANK($N315), ISBLANK($O315)), AND(ISBLANK($P315), ISBLANK($Q315), ISBLANK($R315))), "No", "Yes")</f>
        <v>No</v>
      </c>
      <c r="T315" s="42" t="str">
        <f aca="false">SUBSTITUTE($U315," ","")</f>
        <v>405024AB6</v>
      </c>
      <c r="U315" s="42" t="s">
        <v>431</v>
      </c>
      <c r="V315" s="39" t="n">
        <v>32700000</v>
      </c>
    </row>
    <row r="316" customFormat="false" ht="15" hidden="false" customHeight="false" outlineLevel="0" collapsed="false">
      <c r="B316" s="70" t="s">
        <v>433</v>
      </c>
      <c r="C316" s="71" t="str">
        <f aca="false">IFERROR(INDEX('13F Data'!A:A,MATCH($B316,'13F Data'!A:A,0)),"No CUSIP Match")</f>
        <v>No CUSIP Match</v>
      </c>
      <c r="D316" s="71" t="str">
        <f aca="false">IFERROR(IF($B316=$C316,"Yes","No"),"No CUSIP Match")</f>
        <v>No</v>
      </c>
      <c r="E316" s="71"/>
      <c r="F316" s="71" t="str">
        <f aca="false">IFERROR(INDEX('13F Data'!C:C, MATCH($B316,'13F Data'!A:A,0)),"No CUSIP Match")</f>
        <v>No CUSIP Match</v>
      </c>
      <c r="G316" s="72" t="str">
        <f aca="false">IFERROR(INDEX('13F Data'!D:D,MATCH($B316,'13F Data'!A:A,0)),"No CUSIP Match")</f>
        <v>No CUSIP Match</v>
      </c>
      <c r="J316" s="73" t="n">
        <f aca="false">$V316</f>
        <v>3456</v>
      </c>
      <c r="K316" s="71" t="str">
        <f aca="false">IFERROR(INDEX('EOD Data'!G:G, MATCH($A316, 'EOD Data'!B:B,0)), "No TKR Match")</f>
        <v>No TKR Match</v>
      </c>
      <c r="L316" s="71" t="str">
        <f aca="false">IFERROR(ROUND($J316*$K316,0),"Error")</f>
        <v>Error</v>
      </c>
      <c r="M316" s="71" t="str">
        <f aca="false">IFERROR(IF(AND($J316&lt;10000,$L316&lt;200000),"Yes","No"),"Error")</f>
        <v>No</v>
      </c>
      <c r="P316" s="42" t="str">
        <f aca="false">IF($N316="SOLE",$J316,"")</f>
        <v/>
      </c>
      <c r="Q316" s="42" t="str">
        <f aca="false">IFERROR(IF($N316="Sole",0,IF(AND($N316="OTR",$R316=0),$J316-$P316,IF(AND($N316="OTR", $R316&gt;0), $J316-$P316-$Q316, ""))),"")</f>
        <v/>
      </c>
      <c r="R316" s="42" t="str">
        <f aca="false">IF($P316=$J316, "0","")</f>
        <v/>
      </c>
      <c r="S316" s="42" t="str">
        <f aca="false">IF(OR(ISBLANK($B316),ISBLANK($C316), ISBLANK($E316), ISBLANK($F316), AND(ISBLANK($G316),ISBLANK($H316)), ISBLANK($I316), ISBLANK($L316), AND(ISBLANK($N316), ISBLANK($O316)), AND(ISBLANK($P316), ISBLANK($Q316), ISBLANK($R316))), "No", "Yes")</f>
        <v>No</v>
      </c>
      <c r="T316" s="42" t="str">
        <f aca="false">SUBSTITUTE($U316," ","")</f>
        <v>406216101</v>
      </c>
      <c r="U316" s="42" t="s">
        <v>433</v>
      </c>
      <c r="V316" s="39" t="n">
        <v>3456</v>
      </c>
    </row>
    <row r="317" customFormat="false" ht="15" hidden="false" customHeight="false" outlineLevel="0" collapsed="false">
      <c r="B317" s="70" t="s">
        <v>433</v>
      </c>
      <c r="C317" s="71" t="str">
        <f aca="false">IFERROR(INDEX('13F Data'!A:A,MATCH($B317,'13F Data'!A:A,0)),"No CUSIP Match")</f>
        <v>No CUSIP Match</v>
      </c>
      <c r="D317" s="71" t="str">
        <f aca="false">IFERROR(IF($B317=$C317,"Yes","No"),"No CUSIP Match")</f>
        <v>No</v>
      </c>
      <c r="E317" s="71"/>
      <c r="F317" s="71" t="str">
        <f aca="false">IFERROR(INDEX('13F Data'!C:C, MATCH($B317,'13F Data'!A:A,0)),"No CUSIP Match")</f>
        <v>No CUSIP Match</v>
      </c>
      <c r="G317" s="72" t="str">
        <f aca="false">IFERROR(INDEX('13F Data'!D:D,MATCH($B317,'13F Data'!A:A,0)),"No CUSIP Match")</f>
        <v>No CUSIP Match</v>
      </c>
      <c r="J317" s="73" t="n">
        <f aca="false">$V317</f>
        <v>176800</v>
      </c>
      <c r="K317" s="71" t="str">
        <f aca="false">IFERROR(INDEX('EOD Data'!G:G, MATCH($A317, 'EOD Data'!B:B,0)), "No TKR Match")</f>
        <v>No TKR Match</v>
      </c>
      <c r="L317" s="71" t="str">
        <f aca="false">IFERROR(ROUND($J317*$K317,0),"Error")</f>
        <v>Error</v>
      </c>
      <c r="M317" s="71" t="str">
        <f aca="false">IFERROR(IF(AND($J317&lt;10000,$L317&lt;200000),"Yes","No"),"Error")</f>
        <v>No</v>
      </c>
      <c r="P317" s="42" t="str">
        <f aca="false">IF($N317="SOLE",$J317,"")</f>
        <v/>
      </c>
      <c r="Q317" s="42" t="str">
        <f aca="false">IFERROR(IF($N317="Sole",0,IF(AND($N317="OTR",$R317=0),$J317-$P317,IF(AND($N317="OTR", $R317&gt;0), $J317-$P317-$Q317, ""))),"")</f>
        <v/>
      </c>
      <c r="R317" s="42" t="str">
        <f aca="false">IF($P317=$J317, "0","")</f>
        <v/>
      </c>
      <c r="S317" s="42" t="str">
        <f aca="false">IF(OR(ISBLANK($B317),ISBLANK($C317), ISBLANK($E317), ISBLANK($F317), AND(ISBLANK($G317),ISBLANK($H317)), ISBLANK($I317), ISBLANK($L317), AND(ISBLANK($N317), ISBLANK($O317)), AND(ISBLANK($P317), ISBLANK($Q317), ISBLANK($R317))), "No", "Yes")</f>
        <v>No</v>
      </c>
      <c r="T317" s="42" t="str">
        <f aca="false">SUBSTITUTE($U317," ","")</f>
        <v>406216101</v>
      </c>
      <c r="U317" s="42" t="s">
        <v>433</v>
      </c>
      <c r="V317" s="39" t="n">
        <v>176800</v>
      </c>
    </row>
    <row r="318" customFormat="false" ht="15" hidden="false" customHeight="false" outlineLevel="0" collapsed="false">
      <c r="B318" s="70" t="s">
        <v>433</v>
      </c>
      <c r="C318" s="71" t="str">
        <f aca="false">IFERROR(INDEX('13F Data'!A:A,MATCH($B318,'13F Data'!A:A,0)),"No CUSIP Match")</f>
        <v>No CUSIP Match</v>
      </c>
      <c r="D318" s="71" t="str">
        <f aca="false">IFERROR(IF($B318=$C318,"Yes","No"),"No CUSIP Match")</f>
        <v>No</v>
      </c>
      <c r="E318" s="71"/>
      <c r="F318" s="71" t="str">
        <f aca="false">IFERROR(INDEX('13F Data'!C:C, MATCH($B318,'13F Data'!A:A,0)),"No CUSIP Match")</f>
        <v>No CUSIP Match</v>
      </c>
      <c r="G318" s="72" t="str">
        <f aca="false">IFERROR(INDEX('13F Data'!D:D,MATCH($B318,'13F Data'!A:A,0)),"No CUSIP Match")</f>
        <v>No CUSIP Match</v>
      </c>
      <c r="J318" s="73" t="n">
        <f aca="false">$V318</f>
        <v>176800</v>
      </c>
      <c r="K318" s="71" t="str">
        <f aca="false">IFERROR(INDEX('EOD Data'!G:G, MATCH($A318, 'EOD Data'!B:B,0)), "No TKR Match")</f>
        <v>No TKR Match</v>
      </c>
      <c r="L318" s="71" t="str">
        <f aca="false">IFERROR(ROUND($J318*$K318,0),"Error")</f>
        <v>Error</v>
      </c>
      <c r="M318" s="71" t="str">
        <f aca="false">IFERROR(IF(AND($J318&lt;10000,$L318&lt;200000),"Yes","No"),"Error")</f>
        <v>No</v>
      </c>
      <c r="P318" s="42" t="str">
        <f aca="false">IF($N318="SOLE",$J318,"")</f>
        <v/>
      </c>
      <c r="Q318" s="42" t="str">
        <f aca="false">IFERROR(IF($N318="Sole",0,IF(AND($N318="OTR",$R318=0),$J318-$P318,IF(AND($N318="OTR", $R318&gt;0), $J318-$P318-$Q318, ""))),"")</f>
        <v/>
      </c>
      <c r="R318" s="42" t="str">
        <f aca="false">IF($P318=$J318, "0","")</f>
        <v/>
      </c>
      <c r="S318" s="42" t="str">
        <f aca="false">IF(OR(ISBLANK($B318),ISBLANK($C318), ISBLANK($E318), ISBLANK($F318), AND(ISBLANK($G318),ISBLANK($H318)), ISBLANK($I318), ISBLANK($L318), AND(ISBLANK($N318), ISBLANK($O318)), AND(ISBLANK($P318), ISBLANK($Q318), ISBLANK($R318))), "No", "Yes")</f>
        <v>No</v>
      </c>
      <c r="T318" s="42" t="str">
        <f aca="false">SUBSTITUTE($U318," ","")</f>
        <v>406216101</v>
      </c>
      <c r="U318" s="42" t="s">
        <v>433</v>
      </c>
      <c r="V318" s="39" t="n">
        <v>176800</v>
      </c>
    </row>
    <row r="319" customFormat="false" ht="15" hidden="false" customHeight="false" outlineLevel="0" collapsed="false">
      <c r="B319" s="70" t="s">
        <v>435</v>
      </c>
      <c r="C319" s="71" t="str">
        <f aca="false">IFERROR(INDEX('13F Data'!A:A,MATCH($B319,'13F Data'!A:A,0)),"No CUSIP Match")</f>
        <v>No CUSIP Match</v>
      </c>
      <c r="D319" s="71" t="str">
        <f aca="false">IFERROR(IF($B319=$C319,"Yes","No"),"No CUSIP Match")</f>
        <v>No</v>
      </c>
      <c r="E319" s="71"/>
      <c r="F319" s="71" t="str">
        <f aca="false">IFERROR(INDEX('13F Data'!C:C, MATCH($B319,'13F Data'!A:A,0)),"No CUSIP Match")</f>
        <v>No CUSIP Match</v>
      </c>
      <c r="G319" s="72" t="str">
        <f aca="false">IFERROR(INDEX('13F Data'!D:D,MATCH($B319,'13F Data'!A:A,0)),"No CUSIP Match")</f>
        <v>No CUSIP Match</v>
      </c>
      <c r="J319" s="73" t="n">
        <f aca="false">$V319</f>
        <v>8500000</v>
      </c>
      <c r="K319" s="71" t="str">
        <f aca="false">IFERROR(INDEX('EOD Data'!G:G, MATCH($A319, 'EOD Data'!B:B,0)), "No TKR Match")</f>
        <v>No TKR Match</v>
      </c>
      <c r="L319" s="71" t="str">
        <f aca="false">IFERROR(ROUND($J319*$K319,0),"Error")</f>
        <v>Error</v>
      </c>
      <c r="M319" s="71" t="str">
        <f aca="false">IFERROR(IF(AND($J319&lt;10000,$L319&lt;200000),"Yes","No"),"Error")</f>
        <v>No</v>
      </c>
      <c r="P319" s="42" t="str">
        <f aca="false">IF($N319="SOLE",$J319,"")</f>
        <v/>
      </c>
      <c r="Q319" s="42" t="str">
        <f aca="false">IFERROR(IF($N319="Sole",0,IF(AND($N319="OTR",$R319=0),$J319-$P319,IF(AND($N319="OTR", $R319&gt;0), $J319-$P319-$Q319, ""))),"")</f>
        <v/>
      </c>
      <c r="R319" s="42" t="str">
        <f aca="false">IF($P319=$J319, "0","")</f>
        <v/>
      </c>
      <c r="S319" s="42" t="str">
        <f aca="false">IF(OR(ISBLANK($B319),ISBLANK($C319), ISBLANK($E319), ISBLANK($F319), AND(ISBLANK($G319),ISBLANK($H319)), ISBLANK($I319), ISBLANK($L319), AND(ISBLANK($N319), ISBLANK($O319)), AND(ISBLANK($P319), ISBLANK($Q319), ISBLANK($R319))), "No", "Yes")</f>
        <v>No</v>
      </c>
      <c r="T319" s="42" t="str">
        <f aca="false">SUBSTITUTE($U319," ","")</f>
        <v>40637HAF6</v>
      </c>
      <c r="U319" s="42" t="s">
        <v>435</v>
      </c>
      <c r="V319" s="39" t="n">
        <v>8500000</v>
      </c>
    </row>
    <row r="320" customFormat="false" ht="15" hidden="false" customHeight="false" outlineLevel="0" collapsed="false">
      <c r="B320" s="70" t="s">
        <v>436</v>
      </c>
      <c r="C320" s="71" t="str">
        <f aca="false">IFERROR(INDEX('13F Data'!A:A,MATCH($B320,'13F Data'!A:A,0)),"No CUSIP Match")</f>
        <v>No CUSIP Match</v>
      </c>
      <c r="D320" s="71" t="str">
        <f aca="false">IFERROR(IF($B320=$C320,"Yes","No"),"No CUSIP Match")</f>
        <v>No</v>
      </c>
      <c r="E320" s="71"/>
      <c r="F320" s="71" t="str">
        <f aca="false">IFERROR(INDEX('13F Data'!C:C, MATCH($B320,'13F Data'!A:A,0)),"No CUSIP Match")</f>
        <v>No CUSIP Match</v>
      </c>
      <c r="G320" s="72" t="str">
        <f aca="false">IFERROR(INDEX('13F Data'!D:D,MATCH($B320,'13F Data'!A:A,0)),"No CUSIP Match")</f>
        <v>No CUSIP Match</v>
      </c>
      <c r="J320" s="73" t="n">
        <f aca="false">$V320</f>
        <v>12600000</v>
      </c>
      <c r="K320" s="71" t="str">
        <f aca="false">IFERROR(INDEX('EOD Data'!G:G, MATCH($A320, 'EOD Data'!B:B,0)), "No TKR Match")</f>
        <v>No TKR Match</v>
      </c>
      <c r="L320" s="71" t="str">
        <f aca="false">IFERROR(ROUND($J320*$K320,0),"Error")</f>
        <v>Error</v>
      </c>
      <c r="M320" s="71" t="str">
        <f aca="false">IFERROR(IF(AND($J320&lt;10000,$L320&lt;200000),"Yes","No"),"Error")</f>
        <v>No</v>
      </c>
      <c r="P320" s="42" t="str">
        <f aca="false">IF($N320="SOLE",$J320,"")</f>
        <v/>
      </c>
      <c r="Q320" s="42" t="str">
        <f aca="false">IFERROR(IF($N320="Sole",0,IF(AND($N320="OTR",$R320=0),$J320-$P320,IF(AND($N320="OTR", $R320&gt;0), $J320-$P320-$Q320, ""))),"")</f>
        <v/>
      </c>
      <c r="R320" s="42" t="str">
        <f aca="false">IF($P320=$J320, "0","")</f>
        <v/>
      </c>
      <c r="S320" s="42" t="str">
        <f aca="false">IF(OR(ISBLANK($B320),ISBLANK($C320), ISBLANK($E320), ISBLANK($F320), AND(ISBLANK($G320),ISBLANK($H320)), ISBLANK($I320), ISBLANK($L320), AND(ISBLANK($N320), ISBLANK($O320)), AND(ISBLANK($P320), ISBLANK($Q320), ISBLANK($R320))), "No", "Yes")</f>
        <v>No</v>
      </c>
      <c r="T320" s="42" t="str">
        <f aca="false">SUBSTITUTE($U320," ","")</f>
        <v>40637HAD1</v>
      </c>
      <c r="U320" s="42" t="s">
        <v>436</v>
      </c>
      <c r="V320" s="39" t="n">
        <v>12600000</v>
      </c>
    </row>
    <row r="321" customFormat="false" ht="15" hidden="false" customHeight="false" outlineLevel="0" collapsed="false">
      <c r="B321" s="70" t="s">
        <v>438</v>
      </c>
      <c r="C321" s="71" t="str">
        <f aca="false">IFERROR(INDEX('13F Data'!A:A,MATCH($B321,'13F Data'!A:A,0)),"No CUSIP Match")</f>
        <v>No CUSIP Match</v>
      </c>
      <c r="D321" s="71" t="str">
        <f aca="false">IFERROR(IF($B321=$C321,"Yes","No"),"No CUSIP Match")</f>
        <v>No</v>
      </c>
      <c r="E321" s="71"/>
      <c r="F321" s="71" t="str">
        <f aca="false">IFERROR(INDEX('13F Data'!C:C, MATCH($B321,'13F Data'!A:A,0)),"No CUSIP Match")</f>
        <v>No CUSIP Match</v>
      </c>
      <c r="G321" s="72" t="str">
        <f aca="false">IFERROR(INDEX('13F Data'!D:D,MATCH($B321,'13F Data'!A:A,0)),"No CUSIP Match")</f>
        <v>No CUSIP Match</v>
      </c>
      <c r="J321" s="73" t="n">
        <f aca="false">$V321</f>
        <v>135237</v>
      </c>
      <c r="K321" s="71" t="str">
        <f aca="false">IFERROR(INDEX('EOD Data'!G:G, MATCH($A321, 'EOD Data'!B:B,0)), "No TKR Match")</f>
        <v>No TKR Match</v>
      </c>
      <c r="L321" s="71" t="str">
        <f aca="false">IFERROR(ROUND($J321*$K321,0),"Error")</f>
        <v>Error</v>
      </c>
      <c r="M321" s="71" t="str">
        <f aca="false">IFERROR(IF(AND($J321&lt;10000,$L321&lt;200000),"Yes","No"),"Error")</f>
        <v>No</v>
      </c>
      <c r="P321" s="42" t="str">
        <f aca="false">IF($N321="SOLE",$J321,"")</f>
        <v/>
      </c>
      <c r="Q321" s="42" t="str">
        <f aca="false">IFERROR(IF($N321="Sole",0,IF(AND($N321="OTR",$R321=0),$J321-$P321,IF(AND($N321="OTR", $R321&gt;0), $J321-$P321-$Q321, ""))),"")</f>
        <v/>
      </c>
      <c r="R321" s="42" t="str">
        <f aca="false">IF($P321=$J321, "0","")</f>
        <v/>
      </c>
      <c r="S321" s="42" t="str">
        <f aca="false">IF(OR(ISBLANK($B321),ISBLANK($C321), ISBLANK($E321), ISBLANK($F321), AND(ISBLANK($G321),ISBLANK($H321)), ISBLANK($I321), ISBLANK($L321), AND(ISBLANK($N321), ISBLANK($O321)), AND(ISBLANK($P321), ISBLANK($Q321), ISBLANK($R321))), "No", "Yes")</f>
        <v>No</v>
      </c>
      <c r="T321" s="42" t="str">
        <f aca="false">SUBSTITUTE($U321," ","")</f>
        <v>419879101</v>
      </c>
      <c r="U321" s="42" t="s">
        <v>438</v>
      </c>
      <c r="V321" s="39" t="n">
        <v>135237</v>
      </c>
    </row>
    <row r="322" customFormat="false" ht="15" hidden="false" customHeight="false" outlineLevel="0" collapsed="false">
      <c r="B322" s="70" t="s">
        <v>440</v>
      </c>
      <c r="C322" s="71" t="str">
        <f aca="false">IFERROR(INDEX('13F Data'!A:A,MATCH($B322,'13F Data'!A:A,0)),"No CUSIP Match")</f>
        <v>No CUSIP Match</v>
      </c>
      <c r="D322" s="71" t="str">
        <f aca="false">IFERROR(IF($B322=$C322,"Yes","No"),"No CUSIP Match")</f>
        <v>No</v>
      </c>
      <c r="E322" s="71"/>
      <c r="F322" s="71" t="str">
        <f aca="false">IFERROR(INDEX('13F Data'!C:C, MATCH($B322,'13F Data'!A:A,0)),"No CUSIP Match")</f>
        <v>No CUSIP Match</v>
      </c>
      <c r="G322" s="72" t="str">
        <f aca="false">IFERROR(INDEX('13F Data'!D:D,MATCH($B322,'13F Data'!A:A,0)),"No CUSIP Match")</f>
        <v>No CUSIP Match</v>
      </c>
      <c r="J322" s="73" t="n">
        <f aca="false">$V322</f>
        <v>5500</v>
      </c>
      <c r="K322" s="71" t="str">
        <f aca="false">IFERROR(INDEX('EOD Data'!G:G, MATCH($A322, 'EOD Data'!B:B,0)), "No TKR Match")</f>
        <v>No TKR Match</v>
      </c>
      <c r="L322" s="71" t="str">
        <f aca="false">IFERROR(ROUND($J322*$K322,0),"Error")</f>
        <v>Error</v>
      </c>
      <c r="M322" s="71" t="str">
        <f aca="false">IFERROR(IF(AND($J322&lt;10000,$L322&lt;200000),"Yes","No"),"Error")</f>
        <v>No</v>
      </c>
      <c r="P322" s="42" t="str">
        <f aca="false">IF($N322="SOLE",$J322,"")</f>
        <v/>
      </c>
      <c r="Q322" s="42" t="str">
        <f aca="false">IFERROR(IF($N322="Sole",0,IF(AND($N322="OTR",$R322=0),$J322-$P322,IF(AND($N322="OTR", $R322&gt;0), $J322-$P322-$Q322, ""))),"")</f>
        <v/>
      </c>
      <c r="R322" s="42" t="str">
        <f aca="false">IF($P322=$J322, "0","")</f>
        <v/>
      </c>
      <c r="S322" s="42" t="str">
        <f aca="false">IF(OR(ISBLANK($B322),ISBLANK($C322), ISBLANK($E322), ISBLANK($F322), AND(ISBLANK($G322),ISBLANK($H322)), ISBLANK($I322), ISBLANK($L322), AND(ISBLANK($N322), ISBLANK($O322)), AND(ISBLANK($P322), ISBLANK($Q322), ISBLANK($R322))), "No", "Yes")</f>
        <v>No</v>
      </c>
      <c r="T322" s="42" t="str">
        <f aca="false">SUBSTITUTE($U322," ","")</f>
        <v>40412C101</v>
      </c>
      <c r="U322" s="42" t="s">
        <v>440</v>
      </c>
      <c r="V322" s="39" t="n">
        <v>5500</v>
      </c>
    </row>
    <row r="323" customFormat="false" ht="15" hidden="false" customHeight="false" outlineLevel="0" collapsed="false">
      <c r="B323" s="70" t="s">
        <v>440</v>
      </c>
      <c r="C323" s="71" t="str">
        <f aca="false">IFERROR(INDEX('13F Data'!A:A,MATCH($B323,'13F Data'!A:A,0)),"No CUSIP Match")</f>
        <v>No CUSIP Match</v>
      </c>
      <c r="D323" s="71" t="str">
        <f aca="false">IFERROR(IF($B323=$C323,"Yes","No"),"No CUSIP Match")</f>
        <v>No</v>
      </c>
      <c r="E323" s="71"/>
      <c r="F323" s="71" t="str">
        <f aca="false">IFERROR(INDEX('13F Data'!C:C, MATCH($B323,'13F Data'!A:A,0)),"No CUSIP Match")</f>
        <v>No CUSIP Match</v>
      </c>
      <c r="G323" s="72" t="str">
        <f aca="false">IFERROR(INDEX('13F Data'!D:D,MATCH($B323,'13F Data'!A:A,0)),"No CUSIP Match")</f>
        <v>No CUSIP Match</v>
      </c>
      <c r="J323" s="73" t="n">
        <f aca="false">$V323</f>
        <v>5500</v>
      </c>
      <c r="K323" s="71" t="str">
        <f aca="false">IFERROR(INDEX('EOD Data'!G:G, MATCH($A323, 'EOD Data'!B:B,0)), "No TKR Match")</f>
        <v>No TKR Match</v>
      </c>
      <c r="L323" s="71" t="str">
        <f aca="false">IFERROR(ROUND($J323*$K323,0),"Error")</f>
        <v>Error</v>
      </c>
      <c r="M323" s="71" t="str">
        <f aca="false">IFERROR(IF(AND($J323&lt;10000,$L323&lt;200000),"Yes","No"),"Error")</f>
        <v>No</v>
      </c>
      <c r="P323" s="42" t="str">
        <f aca="false">IF($N323="SOLE",$J323,"")</f>
        <v/>
      </c>
      <c r="Q323" s="42" t="str">
        <f aca="false">IFERROR(IF($N323="Sole",0,IF(AND($N323="OTR",$R323=0),$J323-$P323,IF(AND($N323="OTR", $R323&gt;0), $J323-$P323-$Q323, ""))),"")</f>
        <v/>
      </c>
      <c r="R323" s="42" t="str">
        <f aca="false">IF($P323=$J323, "0","")</f>
        <v/>
      </c>
      <c r="S323" s="42" t="str">
        <f aca="false">IF(OR(ISBLANK($B323),ISBLANK($C323), ISBLANK($E323), ISBLANK($F323), AND(ISBLANK($G323),ISBLANK($H323)), ISBLANK($I323), ISBLANK($L323), AND(ISBLANK($N323), ISBLANK($O323)), AND(ISBLANK($P323), ISBLANK($Q323), ISBLANK($R323))), "No", "Yes")</f>
        <v>No</v>
      </c>
      <c r="T323" s="42" t="str">
        <f aca="false">SUBSTITUTE($U323," ","")</f>
        <v>40412C101</v>
      </c>
      <c r="U323" s="42" t="s">
        <v>440</v>
      </c>
      <c r="V323" s="39" t="n">
        <v>5500</v>
      </c>
    </row>
    <row r="324" customFormat="false" ht="15" hidden="false" customHeight="false" outlineLevel="0" collapsed="false">
      <c r="B324" s="70" t="s">
        <v>442</v>
      </c>
      <c r="C324" s="71" t="str">
        <f aca="false">IFERROR(INDEX('13F Data'!A:A,MATCH($B324,'13F Data'!A:A,0)),"No CUSIP Match")</f>
        <v>No CUSIP Match</v>
      </c>
      <c r="D324" s="71" t="str">
        <f aca="false">IFERROR(IF($B324=$C324,"Yes","No"),"No CUSIP Match")</f>
        <v>No</v>
      </c>
      <c r="E324" s="71"/>
      <c r="F324" s="71" t="str">
        <f aca="false">IFERROR(INDEX('13F Data'!C:C, MATCH($B324,'13F Data'!A:A,0)),"No CUSIP Match")</f>
        <v>No CUSIP Match</v>
      </c>
      <c r="G324" s="72" t="str">
        <f aca="false">IFERROR(INDEX('13F Data'!D:D,MATCH($B324,'13F Data'!A:A,0)),"No CUSIP Match")</f>
        <v>No CUSIP Match</v>
      </c>
      <c r="J324" s="73" t="n">
        <f aca="false">$V324</f>
        <v>132505</v>
      </c>
      <c r="K324" s="71" t="str">
        <f aca="false">IFERROR(INDEX('EOD Data'!G:G, MATCH($A324, 'EOD Data'!B:B,0)), "No TKR Match")</f>
        <v>No TKR Match</v>
      </c>
      <c r="L324" s="71" t="str">
        <f aca="false">IFERROR(ROUND($J324*$K324,0),"Error")</f>
        <v>Error</v>
      </c>
      <c r="M324" s="71" t="str">
        <f aca="false">IFERROR(IF(AND($J324&lt;10000,$L324&lt;200000),"Yes","No"),"Error")</f>
        <v>No</v>
      </c>
      <c r="P324" s="42" t="str">
        <f aca="false">IF($N324="SOLE",$J324,"")</f>
        <v/>
      </c>
      <c r="Q324" s="42" t="str">
        <f aca="false">IFERROR(IF($N324="Sole",0,IF(AND($N324="OTR",$R324=0),$J324-$P324,IF(AND($N324="OTR", $R324&gt;0), $J324-$P324-$Q324, ""))),"")</f>
        <v/>
      </c>
      <c r="R324" s="42" t="str">
        <f aca="false">IF($P324=$J324, "0","")</f>
        <v/>
      </c>
      <c r="S324" s="42" t="str">
        <f aca="false">IF(OR(ISBLANK($B324),ISBLANK($C324), ISBLANK($E324), ISBLANK($F324), AND(ISBLANK($G324),ISBLANK($H324)), ISBLANK($I324), ISBLANK($L324), AND(ISBLANK($N324), ISBLANK($O324)), AND(ISBLANK($P324), ISBLANK($Q324), ISBLANK($R324))), "No", "Yes")</f>
        <v>No</v>
      </c>
      <c r="T324" s="42" t="str">
        <f aca="false">SUBSTITUTE($U324," ","")</f>
        <v>G4412G101</v>
      </c>
      <c r="U324" s="42" t="s">
        <v>442</v>
      </c>
      <c r="V324" s="39" t="n">
        <v>132505</v>
      </c>
    </row>
    <row r="325" customFormat="false" ht="15" hidden="false" customHeight="false" outlineLevel="0" collapsed="false">
      <c r="B325" s="70" t="s">
        <v>444</v>
      </c>
      <c r="C325" s="71" t="str">
        <f aca="false">IFERROR(INDEX('13F Data'!A:A,MATCH($B325,'13F Data'!A:A,0)),"No CUSIP Match")</f>
        <v>No CUSIP Match</v>
      </c>
      <c r="D325" s="71" t="str">
        <f aca="false">IFERROR(IF($B325=$C325,"Yes","No"),"No CUSIP Match")</f>
        <v>No</v>
      </c>
      <c r="E325" s="71"/>
      <c r="F325" s="71" t="str">
        <f aca="false">IFERROR(INDEX('13F Data'!C:C, MATCH($B325,'13F Data'!A:A,0)),"No CUSIP Match")</f>
        <v>No CUSIP Match</v>
      </c>
      <c r="G325" s="72" t="str">
        <f aca="false">IFERROR(INDEX('13F Data'!D:D,MATCH($B325,'13F Data'!A:A,0)),"No CUSIP Match")</f>
        <v>No CUSIP Match</v>
      </c>
      <c r="J325" s="73" t="n">
        <f aca="false">$V325</f>
        <v>144032</v>
      </c>
      <c r="K325" s="71" t="str">
        <f aca="false">IFERROR(INDEX('EOD Data'!G:G, MATCH($A325, 'EOD Data'!B:B,0)), "No TKR Match")</f>
        <v>No TKR Match</v>
      </c>
      <c r="L325" s="71" t="str">
        <f aca="false">IFERROR(ROUND($J325*$K325,0),"Error")</f>
        <v>Error</v>
      </c>
      <c r="M325" s="71" t="str">
        <f aca="false">IFERROR(IF(AND($J325&lt;10000,$L325&lt;200000),"Yes","No"),"Error")</f>
        <v>No</v>
      </c>
      <c r="P325" s="42" t="str">
        <f aca="false">IF($N325="SOLE",$J325,"")</f>
        <v/>
      </c>
      <c r="Q325" s="42" t="str">
        <f aca="false">IFERROR(IF($N325="Sole",0,IF(AND($N325="OTR",$R325=0),$J325-$P325,IF(AND($N325="OTR", $R325&gt;0), $J325-$P325-$Q325, ""))),"")</f>
        <v/>
      </c>
      <c r="R325" s="42" t="str">
        <f aca="false">IF($P325=$J325, "0","")</f>
        <v/>
      </c>
      <c r="S325" s="42" t="str">
        <f aca="false">IF(OR(ISBLANK($B325),ISBLANK($C325), ISBLANK($E325), ISBLANK($F325), AND(ISBLANK($G325),ISBLANK($H325)), ISBLANK($I325), ISBLANK($L325), AND(ISBLANK($N325), ISBLANK($O325)), AND(ISBLANK($P325), ISBLANK($Q325), ISBLANK($R325))), "No", "Yes")</f>
        <v>No</v>
      </c>
      <c r="T325" s="42" t="str">
        <f aca="false">SUBSTITUTE($U325," ","")</f>
        <v>42809H107</v>
      </c>
      <c r="U325" s="42" t="s">
        <v>444</v>
      </c>
      <c r="V325" s="39" t="n">
        <v>144032</v>
      </c>
    </row>
    <row r="326" customFormat="false" ht="15" hidden="false" customHeight="false" outlineLevel="0" collapsed="false">
      <c r="B326" s="70" t="s">
        <v>446</v>
      </c>
      <c r="C326" s="71" t="str">
        <f aca="false">IFERROR(INDEX('13F Data'!A:A,MATCH($B326,'13F Data'!A:A,0)),"No CUSIP Match")</f>
        <v>No CUSIP Match</v>
      </c>
      <c r="D326" s="71" t="str">
        <f aca="false">IFERROR(IF($B326=$C326,"Yes","No"),"No CUSIP Match")</f>
        <v>No</v>
      </c>
      <c r="E326" s="71"/>
      <c r="F326" s="71" t="str">
        <f aca="false">IFERROR(INDEX('13F Data'!C:C, MATCH($B326,'13F Data'!A:A,0)),"No CUSIP Match")</f>
        <v>No CUSIP Match</v>
      </c>
      <c r="G326" s="72" t="str">
        <f aca="false">IFERROR(INDEX('13F Data'!D:D,MATCH($B326,'13F Data'!A:A,0)),"No CUSIP Match")</f>
        <v>No CUSIP Match</v>
      </c>
      <c r="J326" s="73" t="n">
        <f aca="false">$V326</f>
        <v>25965</v>
      </c>
      <c r="K326" s="71" t="str">
        <f aca="false">IFERROR(INDEX('EOD Data'!G:G, MATCH($A326, 'EOD Data'!B:B,0)), "No TKR Match")</f>
        <v>No TKR Match</v>
      </c>
      <c r="L326" s="71" t="str">
        <f aca="false">IFERROR(ROUND($J326*$K326,0),"Error")</f>
        <v>Error</v>
      </c>
      <c r="M326" s="71" t="str">
        <f aca="false">IFERROR(IF(AND($J326&lt;10000,$L326&lt;200000),"Yes","No"),"Error")</f>
        <v>No</v>
      </c>
      <c r="P326" s="42" t="str">
        <f aca="false">IF($N326="SOLE",$J326,"")</f>
        <v/>
      </c>
      <c r="Q326" s="42" t="str">
        <f aca="false">IFERROR(IF($N326="Sole",0,IF(AND($N326="OTR",$R326=0),$J326-$P326,IF(AND($N326="OTR", $R326&gt;0), $J326-$P326-$Q326, ""))),"")</f>
        <v/>
      </c>
      <c r="R326" s="42" t="str">
        <f aca="false">IF($P326=$J326, "0","")</f>
        <v/>
      </c>
      <c r="S326" s="42" t="str">
        <f aca="false">IF(OR(ISBLANK($B326),ISBLANK($C326), ISBLANK($E326), ISBLANK($F326), AND(ISBLANK($G326),ISBLANK($H326)), ISBLANK($I326), ISBLANK($L326), AND(ISBLANK($N326), ISBLANK($O326)), AND(ISBLANK($P326), ISBLANK($Q326), ISBLANK($R326))), "No", "Yes")</f>
        <v>No</v>
      </c>
      <c r="T326" s="42" t="str">
        <f aca="false">SUBSTITUTE($U326," ","")</f>
        <v>403949100</v>
      </c>
      <c r="U326" s="42" t="s">
        <v>446</v>
      </c>
      <c r="V326" s="39" t="n">
        <v>25965</v>
      </c>
    </row>
    <row r="327" customFormat="false" ht="15" hidden="false" customHeight="false" outlineLevel="0" collapsed="false">
      <c r="B327" s="70" t="s">
        <v>448</v>
      </c>
      <c r="C327" s="71" t="str">
        <f aca="false">IFERROR(INDEX('13F Data'!A:A,MATCH($B327,'13F Data'!A:A,0)),"No CUSIP Match")</f>
        <v>No CUSIP Match</v>
      </c>
      <c r="D327" s="71" t="str">
        <f aca="false">IFERROR(IF($B327=$C327,"Yes","No"),"No CUSIP Match")</f>
        <v>No</v>
      </c>
      <c r="E327" s="71"/>
      <c r="F327" s="71" t="str">
        <f aca="false">IFERROR(INDEX('13F Data'!C:C, MATCH($B327,'13F Data'!A:A,0)),"No CUSIP Match")</f>
        <v>No CUSIP Match</v>
      </c>
      <c r="G327" s="72" t="str">
        <f aca="false">IFERROR(INDEX('13F Data'!D:D,MATCH($B327,'13F Data'!A:A,0)),"No CUSIP Match")</f>
        <v>No CUSIP Match</v>
      </c>
      <c r="J327" s="73" t="n">
        <f aca="false">$V327</f>
        <v>3000</v>
      </c>
      <c r="K327" s="71" t="str">
        <f aca="false">IFERROR(INDEX('EOD Data'!G:G, MATCH($A327, 'EOD Data'!B:B,0)), "No TKR Match")</f>
        <v>No TKR Match</v>
      </c>
      <c r="L327" s="71" t="str">
        <f aca="false">IFERROR(ROUND($J327*$K327,0),"Error")</f>
        <v>Error</v>
      </c>
      <c r="M327" s="71" t="str">
        <f aca="false">IFERROR(IF(AND($J327&lt;10000,$L327&lt;200000),"Yes","No"),"Error")</f>
        <v>No</v>
      </c>
      <c r="P327" s="42" t="str">
        <f aca="false">IF($N327="SOLE",$J327,"")</f>
        <v/>
      </c>
      <c r="Q327" s="42" t="str">
        <f aca="false">IFERROR(IF($N327="Sole",0,IF(AND($N327="OTR",$R327=0),$J327-$P327,IF(AND($N327="OTR", $R327&gt;0), $J327-$P327-$Q327, ""))),"")</f>
        <v/>
      </c>
      <c r="R327" s="42" t="str">
        <f aca="false">IF($P327=$J327, "0","")</f>
        <v/>
      </c>
      <c r="S327" s="42" t="str">
        <f aca="false">IF(OR(ISBLANK($B327),ISBLANK($C327), ISBLANK($E327), ISBLANK($F327), AND(ISBLANK($G327),ISBLANK($H327)), ISBLANK($I327), ISBLANK($L327), AND(ISBLANK($N327), ISBLANK($O327)), AND(ISBLANK($P327), ISBLANK($Q327), ISBLANK($R327))), "No", "Yes")</f>
        <v>No</v>
      </c>
      <c r="T327" s="42" t="str">
        <f aca="false">SUBSTITUTE($U327," ","")</f>
        <v>43300A203</v>
      </c>
      <c r="U327" s="42" t="s">
        <v>448</v>
      </c>
      <c r="V327" s="39" t="n">
        <v>3000</v>
      </c>
    </row>
    <row r="328" customFormat="false" ht="15" hidden="false" customHeight="false" outlineLevel="0" collapsed="false">
      <c r="B328" s="70" t="s">
        <v>448</v>
      </c>
      <c r="C328" s="71" t="str">
        <f aca="false">IFERROR(INDEX('13F Data'!A:A,MATCH($B328,'13F Data'!A:A,0)),"No CUSIP Match")</f>
        <v>No CUSIP Match</v>
      </c>
      <c r="D328" s="71" t="str">
        <f aca="false">IFERROR(IF($B328=$C328,"Yes","No"),"No CUSIP Match")</f>
        <v>No</v>
      </c>
      <c r="E328" s="71"/>
      <c r="F328" s="71" t="str">
        <f aca="false">IFERROR(INDEX('13F Data'!C:C, MATCH($B328,'13F Data'!A:A,0)),"No CUSIP Match")</f>
        <v>No CUSIP Match</v>
      </c>
      <c r="G328" s="72" t="str">
        <f aca="false">IFERROR(INDEX('13F Data'!D:D,MATCH($B328,'13F Data'!A:A,0)),"No CUSIP Match")</f>
        <v>No CUSIP Match</v>
      </c>
      <c r="J328" s="73" t="n">
        <f aca="false">$V328</f>
        <v>2100</v>
      </c>
      <c r="K328" s="71" t="str">
        <f aca="false">IFERROR(INDEX('EOD Data'!G:G, MATCH($A328, 'EOD Data'!B:B,0)), "No TKR Match")</f>
        <v>No TKR Match</v>
      </c>
      <c r="L328" s="71" t="str">
        <f aca="false">IFERROR(ROUND($J328*$K328,0),"Error")</f>
        <v>Error</v>
      </c>
      <c r="M328" s="71" t="str">
        <f aca="false">IFERROR(IF(AND($J328&lt;10000,$L328&lt;200000),"Yes","No"),"Error")</f>
        <v>No</v>
      </c>
      <c r="P328" s="42" t="str">
        <f aca="false">IF($N328="SOLE",$J328,"")</f>
        <v/>
      </c>
      <c r="Q328" s="42" t="str">
        <f aca="false">IFERROR(IF($N328="Sole",0,IF(AND($N328="OTR",$R328=0),$J328-$P328,IF(AND($N328="OTR", $R328&gt;0), $J328-$P328-$Q328, ""))),"")</f>
        <v/>
      </c>
      <c r="R328" s="42" t="str">
        <f aca="false">IF($P328=$J328, "0","")</f>
        <v/>
      </c>
      <c r="S328" s="42" t="str">
        <f aca="false">IF(OR(ISBLANK($B328),ISBLANK($C328), ISBLANK($E328), ISBLANK($F328), AND(ISBLANK($G328),ISBLANK($H328)), ISBLANK($I328), ISBLANK($L328), AND(ISBLANK($N328), ISBLANK($O328)), AND(ISBLANK($P328), ISBLANK($Q328), ISBLANK($R328))), "No", "Yes")</f>
        <v>No</v>
      </c>
      <c r="T328" s="42" t="str">
        <f aca="false">SUBSTITUTE($U328," ","")</f>
        <v>43300A203</v>
      </c>
      <c r="U328" s="42" t="s">
        <v>448</v>
      </c>
      <c r="V328" s="39" t="n">
        <v>2100</v>
      </c>
    </row>
    <row r="329" customFormat="false" ht="15" hidden="false" customHeight="false" outlineLevel="0" collapsed="false">
      <c r="B329" s="70" t="s">
        <v>450</v>
      </c>
      <c r="C329" s="71" t="str">
        <f aca="false">IFERROR(INDEX('13F Data'!A:A,MATCH($B329,'13F Data'!A:A,0)),"No CUSIP Match")</f>
        <v>No CUSIP Match</v>
      </c>
      <c r="D329" s="71" t="str">
        <f aca="false">IFERROR(IF($B329=$C329,"Yes","No"),"No CUSIP Match")</f>
        <v>No</v>
      </c>
      <c r="E329" s="71"/>
      <c r="F329" s="71" t="str">
        <f aca="false">IFERROR(INDEX('13F Data'!C:C, MATCH($B329,'13F Data'!A:A,0)),"No CUSIP Match")</f>
        <v>No CUSIP Match</v>
      </c>
      <c r="G329" s="72" t="str">
        <f aca="false">IFERROR(INDEX('13F Data'!D:D,MATCH($B329,'13F Data'!A:A,0)),"No CUSIP Match")</f>
        <v>No CUSIP Match</v>
      </c>
      <c r="J329" s="73" t="n">
        <f aca="false">$V329</f>
        <v>4100</v>
      </c>
      <c r="K329" s="71" t="str">
        <f aca="false">IFERROR(INDEX('EOD Data'!G:G, MATCH($A329, 'EOD Data'!B:B,0)), "No TKR Match")</f>
        <v>No TKR Match</v>
      </c>
      <c r="L329" s="71" t="str">
        <f aca="false">IFERROR(ROUND($J329*$K329,0),"Error")</f>
        <v>Error</v>
      </c>
      <c r="M329" s="71" t="str">
        <f aca="false">IFERROR(IF(AND($J329&lt;10000,$L329&lt;200000),"Yes","No"),"Error")</f>
        <v>No</v>
      </c>
      <c r="P329" s="42" t="str">
        <f aca="false">IF($N329="SOLE",$J329,"")</f>
        <v/>
      </c>
      <c r="Q329" s="42" t="str">
        <f aca="false">IFERROR(IF($N329="Sole",0,IF(AND($N329="OTR",$R329=0),$J329-$P329,IF(AND($N329="OTR", $R329&gt;0), $J329-$P329-$Q329, ""))),"")</f>
        <v/>
      </c>
      <c r="R329" s="42" t="str">
        <f aca="false">IF($P329=$J329, "0","")</f>
        <v/>
      </c>
      <c r="S329" s="42" t="str">
        <f aca="false">IF(OR(ISBLANK($B329),ISBLANK($C329), ISBLANK($E329), ISBLANK($F329), AND(ISBLANK($G329),ISBLANK($H329)), ISBLANK($I329), ISBLANK($L329), AND(ISBLANK($N329), ISBLANK($O329)), AND(ISBLANK($P329), ISBLANK($Q329), ISBLANK($R329))), "No", "Yes")</f>
        <v>No</v>
      </c>
      <c r="T329" s="42" t="str">
        <f aca="false">SUBSTITUTE($U329," ","")</f>
        <v>437076102</v>
      </c>
      <c r="U329" s="42" t="s">
        <v>450</v>
      </c>
      <c r="V329" s="39" t="n">
        <v>4100</v>
      </c>
    </row>
    <row r="330" customFormat="false" ht="15" hidden="false" customHeight="false" outlineLevel="0" collapsed="false">
      <c r="B330" s="70" t="s">
        <v>450</v>
      </c>
      <c r="C330" s="71" t="str">
        <f aca="false">IFERROR(INDEX('13F Data'!A:A,MATCH($B330,'13F Data'!A:A,0)),"No CUSIP Match")</f>
        <v>No CUSIP Match</v>
      </c>
      <c r="D330" s="71" t="str">
        <f aca="false">IFERROR(IF($B330=$C330,"Yes","No"),"No CUSIP Match")</f>
        <v>No</v>
      </c>
      <c r="E330" s="71"/>
      <c r="F330" s="71" t="str">
        <f aca="false">IFERROR(INDEX('13F Data'!C:C, MATCH($B330,'13F Data'!A:A,0)),"No CUSIP Match")</f>
        <v>No CUSIP Match</v>
      </c>
      <c r="G330" s="72" t="str">
        <f aca="false">IFERROR(INDEX('13F Data'!D:D,MATCH($B330,'13F Data'!A:A,0)),"No CUSIP Match")</f>
        <v>No CUSIP Match</v>
      </c>
      <c r="J330" s="73" t="n">
        <f aca="false">$V330</f>
        <v>4100</v>
      </c>
      <c r="K330" s="71" t="str">
        <f aca="false">IFERROR(INDEX('EOD Data'!G:G, MATCH($A330, 'EOD Data'!B:B,0)), "No TKR Match")</f>
        <v>No TKR Match</v>
      </c>
      <c r="L330" s="71" t="str">
        <f aca="false">IFERROR(ROUND($J330*$K330,0),"Error")</f>
        <v>Error</v>
      </c>
      <c r="M330" s="71" t="str">
        <f aca="false">IFERROR(IF(AND($J330&lt;10000,$L330&lt;200000),"Yes","No"),"Error")</f>
        <v>No</v>
      </c>
      <c r="P330" s="42" t="str">
        <f aca="false">IF($N330="SOLE",$J330,"")</f>
        <v/>
      </c>
      <c r="Q330" s="42" t="str">
        <f aca="false">IFERROR(IF($N330="Sole",0,IF(AND($N330="OTR",$R330=0),$J330-$P330,IF(AND($N330="OTR", $R330&gt;0), $J330-$P330-$Q330, ""))),"")</f>
        <v/>
      </c>
      <c r="R330" s="42" t="str">
        <f aca="false">IF($P330=$J330, "0","")</f>
        <v/>
      </c>
      <c r="S330" s="42" t="str">
        <f aca="false">IF(OR(ISBLANK($B330),ISBLANK($C330), ISBLANK($E330), ISBLANK($F330), AND(ISBLANK($G330),ISBLANK($H330)), ISBLANK($I330), ISBLANK($L330), AND(ISBLANK($N330), ISBLANK($O330)), AND(ISBLANK($P330), ISBLANK($Q330), ISBLANK($R330))), "No", "Yes")</f>
        <v>No</v>
      </c>
      <c r="T330" s="42" t="str">
        <f aca="false">SUBSTITUTE($U330," ","")</f>
        <v>437076102</v>
      </c>
      <c r="U330" s="42" t="s">
        <v>450</v>
      </c>
      <c r="V330" s="39" t="n">
        <v>4100</v>
      </c>
    </row>
    <row r="331" customFormat="false" ht="15" hidden="false" customHeight="false" outlineLevel="0" collapsed="false">
      <c r="B331" s="70" t="s">
        <v>452</v>
      </c>
      <c r="C331" s="71" t="str">
        <f aca="false">IFERROR(INDEX('13F Data'!A:A,MATCH($B331,'13F Data'!A:A,0)),"No CUSIP Match")</f>
        <v>No CUSIP Match</v>
      </c>
      <c r="D331" s="71" t="str">
        <f aca="false">IFERROR(IF($B331=$C331,"Yes","No"),"No CUSIP Match")</f>
        <v>No</v>
      </c>
      <c r="E331" s="71"/>
      <c r="F331" s="71" t="str">
        <f aca="false">IFERROR(INDEX('13F Data'!C:C, MATCH($B331,'13F Data'!A:A,0)),"No CUSIP Match")</f>
        <v>No CUSIP Match</v>
      </c>
      <c r="G331" s="72" t="str">
        <f aca="false">IFERROR(INDEX('13F Data'!D:D,MATCH($B331,'13F Data'!A:A,0)),"No CUSIP Match")</f>
        <v>No CUSIP Match</v>
      </c>
      <c r="J331" s="73" t="n">
        <f aca="false">$V331</f>
        <v>13800</v>
      </c>
      <c r="K331" s="71" t="str">
        <f aca="false">IFERROR(INDEX('EOD Data'!G:G, MATCH($A331, 'EOD Data'!B:B,0)), "No TKR Match")</f>
        <v>No TKR Match</v>
      </c>
      <c r="L331" s="71" t="str">
        <f aca="false">IFERROR(ROUND($J331*$K331,0),"Error")</f>
        <v>Error</v>
      </c>
      <c r="M331" s="71" t="str">
        <f aca="false">IFERROR(IF(AND($J331&lt;10000,$L331&lt;200000),"Yes","No"),"Error")</f>
        <v>No</v>
      </c>
      <c r="P331" s="42" t="str">
        <f aca="false">IF($N331="SOLE",$J331,"")</f>
        <v/>
      </c>
      <c r="Q331" s="42" t="str">
        <f aca="false">IFERROR(IF($N331="Sole",0,IF(AND($N331="OTR",$R331=0),$J331-$P331,IF(AND($N331="OTR", $R331&gt;0), $J331-$P331-$Q331, ""))),"")</f>
        <v/>
      </c>
      <c r="R331" s="42" t="str">
        <f aca="false">IF($P331=$J331, "0","")</f>
        <v/>
      </c>
      <c r="S331" s="42" t="str">
        <f aca="false">IF(OR(ISBLANK($B331),ISBLANK($C331), ISBLANK($E331), ISBLANK($F331), AND(ISBLANK($G331),ISBLANK($H331)), ISBLANK($I331), ISBLANK($L331), AND(ISBLANK($N331), ISBLANK($O331)), AND(ISBLANK($P331), ISBLANK($Q331), ISBLANK($R331))), "No", "Yes")</f>
        <v>No</v>
      </c>
      <c r="T331" s="42" t="str">
        <f aca="false">SUBSTITUTE($U331," ","")</f>
        <v>438516106</v>
      </c>
      <c r="U331" s="42" t="s">
        <v>452</v>
      </c>
      <c r="V331" s="39" t="n">
        <v>13800</v>
      </c>
    </row>
    <row r="332" customFormat="false" ht="15" hidden="false" customHeight="false" outlineLevel="0" collapsed="false">
      <c r="B332" s="70" t="s">
        <v>452</v>
      </c>
      <c r="C332" s="71" t="str">
        <f aca="false">IFERROR(INDEX('13F Data'!A:A,MATCH($B332,'13F Data'!A:A,0)),"No CUSIP Match")</f>
        <v>No CUSIP Match</v>
      </c>
      <c r="D332" s="71" t="str">
        <f aca="false">IFERROR(IF($B332=$C332,"Yes","No"),"No CUSIP Match")</f>
        <v>No</v>
      </c>
      <c r="E332" s="71"/>
      <c r="F332" s="71" t="str">
        <f aca="false">IFERROR(INDEX('13F Data'!C:C, MATCH($B332,'13F Data'!A:A,0)),"No CUSIP Match")</f>
        <v>No CUSIP Match</v>
      </c>
      <c r="G332" s="72" t="str">
        <f aca="false">IFERROR(INDEX('13F Data'!D:D,MATCH($B332,'13F Data'!A:A,0)),"No CUSIP Match")</f>
        <v>No CUSIP Match</v>
      </c>
      <c r="J332" s="73" t="n">
        <f aca="false">$V332</f>
        <v>13800</v>
      </c>
      <c r="K332" s="71" t="str">
        <f aca="false">IFERROR(INDEX('EOD Data'!G:G, MATCH($A332, 'EOD Data'!B:B,0)), "No TKR Match")</f>
        <v>No TKR Match</v>
      </c>
      <c r="L332" s="71" t="str">
        <f aca="false">IFERROR(ROUND($J332*$K332,0),"Error")</f>
        <v>Error</v>
      </c>
      <c r="M332" s="71" t="str">
        <f aca="false">IFERROR(IF(AND($J332&lt;10000,$L332&lt;200000),"Yes","No"),"Error")</f>
        <v>No</v>
      </c>
      <c r="P332" s="42" t="str">
        <f aca="false">IF($N332="SOLE",$J332,"")</f>
        <v/>
      </c>
      <c r="Q332" s="42" t="str">
        <f aca="false">IFERROR(IF($N332="Sole",0,IF(AND($N332="OTR",$R332=0),$J332-$P332,IF(AND($N332="OTR", $R332&gt;0), $J332-$P332-$Q332, ""))),"")</f>
        <v/>
      </c>
      <c r="R332" s="42" t="str">
        <f aca="false">IF($P332=$J332, "0","")</f>
        <v/>
      </c>
      <c r="S332" s="42" t="str">
        <f aca="false">IF(OR(ISBLANK($B332),ISBLANK($C332), ISBLANK($E332), ISBLANK($F332), AND(ISBLANK($G332),ISBLANK($H332)), ISBLANK($I332), ISBLANK($L332), AND(ISBLANK($N332), ISBLANK($O332)), AND(ISBLANK($P332), ISBLANK($Q332), ISBLANK($R332))), "No", "Yes")</f>
        <v>No</v>
      </c>
      <c r="T332" s="42" t="str">
        <f aca="false">SUBSTITUTE($U332," ","")</f>
        <v>438516106</v>
      </c>
      <c r="U332" s="42" t="s">
        <v>452</v>
      </c>
      <c r="V332" s="39" t="n">
        <v>13800</v>
      </c>
    </row>
    <row r="333" customFormat="false" ht="15" hidden="false" customHeight="false" outlineLevel="0" collapsed="false">
      <c r="B333" s="70" t="s">
        <v>454</v>
      </c>
      <c r="C333" s="71" t="str">
        <f aca="false">IFERROR(INDEX('13F Data'!A:A,MATCH($B333,'13F Data'!A:A,0)),"No CUSIP Match")</f>
        <v>No CUSIP Match</v>
      </c>
      <c r="D333" s="71" t="str">
        <f aca="false">IFERROR(IF($B333=$C333,"Yes","No"),"No CUSIP Match")</f>
        <v>No</v>
      </c>
      <c r="E333" s="71"/>
      <c r="F333" s="71" t="str">
        <f aca="false">IFERROR(INDEX('13F Data'!C:C, MATCH($B333,'13F Data'!A:A,0)),"No CUSIP Match")</f>
        <v>No CUSIP Match</v>
      </c>
      <c r="G333" s="72" t="str">
        <f aca="false">IFERROR(INDEX('13F Data'!D:D,MATCH($B333,'13F Data'!A:A,0)),"No CUSIP Match")</f>
        <v>No CUSIP Match</v>
      </c>
      <c r="J333" s="73" t="n">
        <f aca="false">$V333</f>
        <v>64200</v>
      </c>
      <c r="K333" s="71" t="str">
        <f aca="false">IFERROR(INDEX('EOD Data'!G:G, MATCH($A333, 'EOD Data'!B:B,0)), "No TKR Match")</f>
        <v>No TKR Match</v>
      </c>
      <c r="L333" s="71" t="str">
        <f aca="false">IFERROR(ROUND($J333*$K333,0),"Error")</f>
        <v>Error</v>
      </c>
      <c r="M333" s="71" t="str">
        <f aca="false">IFERROR(IF(AND($J333&lt;10000,$L333&lt;200000),"Yes","No"),"Error")</f>
        <v>No</v>
      </c>
      <c r="P333" s="42" t="str">
        <f aca="false">IF($N333="SOLE",$J333,"")</f>
        <v/>
      </c>
      <c r="Q333" s="42" t="str">
        <f aca="false">IFERROR(IF($N333="Sole",0,IF(AND($N333="OTR",$R333=0),$J333-$P333,IF(AND($N333="OTR", $R333&gt;0), $J333-$P333-$Q333, ""))),"")</f>
        <v/>
      </c>
      <c r="R333" s="42" t="str">
        <f aca="false">IF($P333=$J333, "0","")</f>
        <v/>
      </c>
      <c r="S333" s="42" t="str">
        <f aca="false">IF(OR(ISBLANK($B333),ISBLANK($C333), ISBLANK($E333), ISBLANK($F333), AND(ISBLANK($G333),ISBLANK($H333)), ISBLANK($I333), ISBLANK($L333), AND(ISBLANK($N333), ISBLANK($O333)), AND(ISBLANK($P333), ISBLANK($Q333), ISBLANK($R333))), "No", "Yes")</f>
        <v>No</v>
      </c>
      <c r="T333" s="42" t="str">
        <f aca="false">SUBSTITUTE($U333," ","")</f>
        <v>40434L105</v>
      </c>
      <c r="U333" s="42" t="s">
        <v>454</v>
      </c>
      <c r="V333" s="39" t="n">
        <v>64200</v>
      </c>
    </row>
    <row r="334" customFormat="false" ht="15" hidden="false" customHeight="false" outlineLevel="0" collapsed="false">
      <c r="B334" s="70" t="s">
        <v>456</v>
      </c>
      <c r="C334" s="71" t="str">
        <f aca="false">IFERROR(INDEX('13F Data'!A:A,MATCH($B334,'13F Data'!A:A,0)),"No CUSIP Match")</f>
        <v>No CUSIP Match</v>
      </c>
      <c r="D334" s="71" t="str">
        <f aca="false">IFERROR(IF($B334=$C334,"Yes","No"),"No CUSIP Match")</f>
        <v>No</v>
      </c>
      <c r="E334" s="71"/>
      <c r="F334" s="71" t="str">
        <f aca="false">IFERROR(INDEX('13F Data'!C:C, MATCH($B334,'13F Data'!A:A,0)),"No CUSIP Match")</f>
        <v>No CUSIP Match</v>
      </c>
      <c r="G334" s="72" t="str">
        <f aca="false">IFERROR(INDEX('13F Data'!D:D,MATCH($B334,'13F Data'!A:A,0)),"No CUSIP Match")</f>
        <v>No CUSIP Match</v>
      </c>
      <c r="J334" s="73" t="n">
        <f aca="false">$V334</f>
        <v>100</v>
      </c>
      <c r="K334" s="71" t="str">
        <f aca="false">IFERROR(INDEX('EOD Data'!G:G, MATCH($A334, 'EOD Data'!B:B,0)), "No TKR Match")</f>
        <v>No TKR Match</v>
      </c>
      <c r="L334" s="71" t="str">
        <f aca="false">IFERROR(ROUND($J334*$K334,0),"Error")</f>
        <v>Error</v>
      </c>
      <c r="M334" s="71" t="str">
        <f aca="false">IFERROR(IF(AND($J334&lt;10000,$L334&lt;200000),"Yes","No"),"Error")</f>
        <v>No</v>
      </c>
      <c r="P334" s="42" t="str">
        <f aca="false">IF($N334="SOLE",$J334,"")</f>
        <v/>
      </c>
      <c r="Q334" s="42" t="str">
        <f aca="false">IFERROR(IF($N334="Sole",0,IF(AND($N334="OTR",$R334=0),$J334-$P334,IF(AND($N334="OTR", $R334&gt;0), $J334-$P334-$Q334, ""))),"")</f>
        <v/>
      </c>
      <c r="R334" s="42" t="str">
        <f aca="false">IF($P334=$J334, "0","")</f>
        <v/>
      </c>
      <c r="S334" s="42" t="str">
        <f aca="false">IF(OR(ISBLANK($B334),ISBLANK($C334), ISBLANK($E334), ISBLANK($F334), AND(ISBLANK($G334),ISBLANK($H334)), ISBLANK($I334), ISBLANK($L334), AND(ISBLANK($N334), ISBLANK($O334)), AND(ISBLANK($P334), ISBLANK($Q334), ISBLANK($R334))), "No", "Yes")</f>
        <v>No</v>
      </c>
      <c r="T334" s="42" t="str">
        <f aca="false">SUBSTITUTE($U334," ","")</f>
        <v>000571120</v>
      </c>
      <c r="U334" s="42" t="s">
        <v>456</v>
      </c>
      <c r="V334" s="39" t="n">
        <v>100</v>
      </c>
    </row>
    <row r="335" customFormat="false" ht="15" hidden="false" customHeight="false" outlineLevel="0" collapsed="false">
      <c r="B335" s="70" t="s">
        <v>458</v>
      </c>
      <c r="C335" s="71" t="str">
        <f aca="false">IFERROR(INDEX('13F Data'!A:A,MATCH($B335,'13F Data'!A:A,0)),"No CUSIP Match")</f>
        <v>No CUSIP Match</v>
      </c>
      <c r="D335" s="71" t="str">
        <f aca="false">IFERROR(IF($B335=$C335,"Yes","No"),"No CUSIP Match")</f>
        <v>No</v>
      </c>
      <c r="E335" s="71"/>
      <c r="F335" s="71" t="str">
        <f aca="false">IFERROR(INDEX('13F Data'!C:C, MATCH($B335,'13F Data'!A:A,0)),"No CUSIP Match")</f>
        <v>No CUSIP Match</v>
      </c>
      <c r="G335" s="72" t="str">
        <f aca="false">IFERROR(INDEX('13F Data'!D:D,MATCH($B335,'13F Data'!A:A,0)),"No CUSIP Match")</f>
        <v>No CUSIP Match</v>
      </c>
      <c r="J335" s="73" t="n">
        <f aca="false">$V335</f>
        <v>71521</v>
      </c>
      <c r="K335" s="71" t="str">
        <f aca="false">IFERROR(INDEX('EOD Data'!G:G, MATCH($A335, 'EOD Data'!B:B,0)), "No TKR Match")</f>
        <v>No TKR Match</v>
      </c>
      <c r="L335" s="71" t="str">
        <f aca="false">IFERROR(ROUND($J335*$K335,0),"Error")</f>
        <v>Error</v>
      </c>
      <c r="M335" s="71" t="str">
        <f aca="false">IFERROR(IF(AND($J335&lt;10000,$L335&lt;200000),"Yes","No"),"Error")</f>
        <v>No</v>
      </c>
      <c r="P335" s="42" t="str">
        <f aca="false">IF($N335="SOLE",$J335,"")</f>
        <v/>
      </c>
      <c r="Q335" s="42" t="str">
        <f aca="false">IFERROR(IF($N335="Sole",0,IF(AND($N335="OTR",$R335=0),$J335-$P335,IF(AND($N335="OTR", $R335&gt;0), $J335-$P335-$Q335, ""))),"")</f>
        <v/>
      </c>
      <c r="R335" s="42" t="str">
        <f aca="false">IF($P335=$J335, "0","")</f>
        <v/>
      </c>
      <c r="S335" s="42" t="str">
        <f aca="false">IF(OR(ISBLANK($B335),ISBLANK($C335), ISBLANK($E335), ISBLANK($F335), AND(ISBLANK($G335),ISBLANK($H335)), ISBLANK($I335), ISBLANK($L335), AND(ISBLANK($N335), ISBLANK($O335)), AND(ISBLANK($P335), ISBLANK($Q335), ISBLANK($R335))), "No", "Yes")</f>
        <v>No</v>
      </c>
      <c r="T335" s="42" t="str">
        <f aca="false">SUBSTITUTE($U335," ","")</f>
        <v>45174J509</v>
      </c>
      <c r="U335" s="42" t="s">
        <v>458</v>
      </c>
      <c r="V335" s="39" t="n">
        <v>71521</v>
      </c>
    </row>
    <row r="336" customFormat="false" ht="15" hidden="false" customHeight="false" outlineLevel="0" collapsed="false">
      <c r="B336" s="70" t="s">
        <v>460</v>
      </c>
      <c r="C336" s="71" t="str">
        <f aca="false">IFERROR(INDEX('13F Data'!A:A,MATCH($B336,'13F Data'!A:A,0)),"No CUSIP Match")</f>
        <v>No CUSIP Match</v>
      </c>
      <c r="D336" s="71" t="str">
        <f aca="false">IFERROR(IF($B336=$C336,"Yes","No"),"No CUSIP Match")</f>
        <v>No</v>
      </c>
      <c r="E336" s="71"/>
      <c r="F336" s="71" t="str">
        <f aca="false">IFERROR(INDEX('13F Data'!C:C, MATCH($B336,'13F Data'!A:A,0)),"No CUSIP Match")</f>
        <v>No CUSIP Match</v>
      </c>
      <c r="G336" s="72" t="str">
        <f aca="false">IFERROR(INDEX('13F Data'!D:D,MATCH($B336,'13F Data'!A:A,0)),"No CUSIP Match")</f>
        <v>No CUSIP Match</v>
      </c>
      <c r="J336" s="73" t="n">
        <f aca="false">$V336</f>
        <v>4600</v>
      </c>
      <c r="K336" s="71" t="str">
        <f aca="false">IFERROR(INDEX('EOD Data'!G:G, MATCH($A336, 'EOD Data'!B:B,0)), "No TKR Match")</f>
        <v>No TKR Match</v>
      </c>
      <c r="L336" s="71" t="str">
        <f aca="false">IFERROR(ROUND($J336*$K336,0),"Error")</f>
        <v>Error</v>
      </c>
      <c r="M336" s="71" t="str">
        <f aca="false">IFERROR(IF(AND($J336&lt;10000,$L336&lt;200000),"Yes","No"),"Error")</f>
        <v>No</v>
      </c>
      <c r="P336" s="42" t="str">
        <f aca="false">IF($N336="SOLE",$J336,"")</f>
        <v/>
      </c>
      <c r="Q336" s="42" t="str">
        <f aca="false">IFERROR(IF($N336="Sole",0,IF(AND($N336="OTR",$R336=0),$J336-$P336,IF(AND($N336="OTR", $R336&gt;0), $J336-$P336-$Q336, ""))),"")</f>
        <v/>
      </c>
      <c r="R336" s="42" t="str">
        <f aca="false">IF($P336=$J336, "0","")</f>
        <v/>
      </c>
      <c r="S336" s="42" t="str">
        <f aca="false">IF(OR(ISBLANK($B336),ISBLANK($C336), ISBLANK($E336), ISBLANK($F336), AND(ISBLANK($G336),ISBLANK($H336)), ISBLANK($I336), ISBLANK($L336), AND(ISBLANK($N336), ISBLANK($O336)), AND(ISBLANK($P336), ISBLANK($Q336), ISBLANK($R336))), "No", "Yes")</f>
        <v>No</v>
      </c>
      <c r="T336" s="42" t="str">
        <f aca="false">SUBSTITUTE($U336," ","")</f>
        <v>452308109</v>
      </c>
      <c r="U336" s="42" t="s">
        <v>460</v>
      </c>
      <c r="V336" s="39" t="n">
        <v>4600</v>
      </c>
    </row>
    <row r="337" customFormat="false" ht="15" hidden="false" customHeight="false" outlineLevel="0" collapsed="false">
      <c r="B337" s="70" t="s">
        <v>460</v>
      </c>
      <c r="C337" s="71" t="str">
        <f aca="false">IFERROR(INDEX('13F Data'!A:A,MATCH($B337,'13F Data'!A:A,0)),"No CUSIP Match")</f>
        <v>No CUSIP Match</v>
      </c>
      <c r="D337" s="71" t="str">
        <f aca="false">IFERROR(IF($B337=$C337,"Yes","No"),"No CUSIP Match")</f>
        <v>No</v>
      </c>
      <c r="E337" s="71"/>
      <c r="F337" s="71" t="str">
        <f aca="false">IFERROR(INDEX('13F Data'!C:C, MATCH($B337,'13F Data'!A:A,0)),"No CUSIP Match")</f>
        <v>No CUSIP Match</v>
      </c>
      <c r="G337" s="72" t="str">
        <f aca="false">IFERROR(INDEX('13F Data'!D:D,MATCH($B337,'13F Data'!A:A,0)),"No CUSIP Match")</f>
        <v>No CUSIP Match</v>
      </c>
      <c r="J337" s="73" t="n">
        <f aca="false">$V337</f>
        <v>4600</v>
      </c>
      <c r="K337" s="71" t="str">
        <f aca="false">IFERROR(INDEX('EOD Data'!G:G, MATCH($A337, 'EOD Data'!B:B,0)), "No TKR Match")</f>
        <v>No TKR Match</v>
      </c>
      <c r="L337" s="71" t="str">
        <f aca="false">IFERROR(ROUND($J337*$K337,0),"Error")</f>
        <v>Error</v>
      </c>
      <c r="M337" s="71" t="str">
        <f aca="false">IFERROR(IF(AND($J337&lt;10000,$L337&lt;200000),"Yes","No"),"Error")</f>
        <v>No</v>
      </c>
      <c r="P337" s="42" t="str">
        <f aca="false">IF($N337="SOLE",$J337,"")</f>
        <v/>
      </c>
      <c r="Q337" s="42" t="str">
        <f aca="false">IFERROR(IF($N337="Sole",0,IF(AND($N337="OTR",$R337=0),$J337-$P337,IF(AND($N337="OTR", $R337&gt;0), $J337-$P337-$Q337, ""))),"")</f>
        <v/>
      </c>
      <c r="R337" s="42" t="str">
        <f aca="false">IF($P337=$J337, "0","")</f>
        <v/>
      </c>
      <c r="S337" s="42" t="str">
        <f aca="false">IF(OR(ISBLANK($B337),ISBLANK($C337), ISBLANK($E337), ISBLANK($F337), AND(ISBLANK($G337),ISBLANK($H337)), ISBLANK($I337), ISBLANK($L337), AND(ISBLANK($N337), ISBLANK($O337)), AND(ISBLANK($P337), ISBLANK($Q337), ISBLANK($R337))), "No", "Yes")</f>
        <v>No</v>
      </c>
      <c r="T337" s="42" t="str">
        <f aca="false">SUBSTITUTE($U337," ","")</f>
        <v>452308109</v>
      </c>
      <c r="U337" s="42" t="s">
        <v>460</v>
      </c>
      <c r="V337" s="39" t="n">
        <v>4600</v>
      </c>
    </row>
    <row r="338" customFormat="false" ht="15" hidden="false" customHeight="false" outlineLevel="0" collapsed="false">
      <c r="B338" s="70" t="s">
        <v>462</v>
      </c>
      <c r="C338" s="71" t="str">
        <f aca="false">IFERROR(INDEX('13F Data'!A:A,MATCH($B338,'13F Data'!A:A,0)),"No CUSIP Match")</f>
        <v>No CUSIP Match</v>
      </c>
      <c r="D338" s="71" t="str">
        <f aca="false">IFERROR(IF($B338=$C338,"Yes","No"),"No CUSIP Match")</f>
        <v>No</v>
      </c>
      <c r="E338" s="71"/>
      <c r="F338" s="71" t="str">
        <f aca="false">IFERROR(INDEX('13F Data'!C:C, MATCH($B338,'13F Data'!A:A,0)),"No CUSIP Match")</f>
        <v>No CUSIP Match</v>
      </c>
      <c r="G338" s="72" t="str">
        <f aca="false">IFERROR(INDEX('13F Data'!D:D,MATCH($B338,'13F Data'!A:A,0)),"No CUSIP Match")</f>
        <v>No CUSIP Match</v>
      </c>
      <c r="J338" s="73" t="n">
        <f aca="false">$V338</f>
        <v>19788000</v>
      </c>
      <c r="K338" s="71" t="str">
        <f aca="false">IFERROR(INDEX('EOD Data'!G:G, MATCH($A338, 'EOD Data'!B:B,0)), "No TKR Match")</f>
        <v>No TKR Match</v>
      </c>
      <c r="L338" s="71" t="str">
        <f aca="false">IFERROR(ROUND($J338*$K338,0),"Error")</f>
        <v>Error</v>
      </c>
      <c r="M338" s="71" t="str">
        <f aca="false">IFERROR(IF(AND($J338&lt;10000,$L338&lt;200000),"Yes","No"),"Error")</f>
        <v>No</v>
      </c>
      <c r="P338" s="42" t="str">
        <f aca="false">IF($N338="SOLE",$J338,"")</f>
        <v/>
      </c>
      <c r="Q338" s="42" t="str">
        <f aca="false">IFERROR(IF($N338="Sole",0,IF(AND($N338="OTR",$R338=0),$J338-$P338,IF(AND($N338="OTR", $R338&gt;0), $J338-$P338-$Q338, ""))),"")</f>
        <v/>
      </c>
      <c r="R338" s="42" t="str">
        <f aca="false">IF($P338=$J338, "0","")</f>
        <v/>
      </c>
      <c r="S338" s="42" t="str">
        <f aca="false">IF(OR(ISBLANK($B338),ISBLANK($C338), ISBLANK($E338), ISBLANK($F338), AND(ISBLANK($G338),ISBLANK($H338)), ISBLANK($I338), ISBLANK($L338), AND(ISBLANK($N338), ISBLANK($O338)), AND(ISBLANK($P338), ISBLANK($Q338), ISBLANK($R338))), "No", "Yes")</f>
        <v>No</v>
      </c>
      <c r="T338" s="42" t="str">
        <f aca="false">SUBSTITUTE($U338," ","")</f>
        <v>45245EAJ8</v>
      </c>
      <c r="U338" s="42" t="s">
        <v>462</v>
      </c>
      <c r="V338" s="39" t="n">
        <v>19788000</v>
      </c>
    </row>
    <row r="339" customFormat="false" ht="15" hidden="false" customHeight="false" outlineLevel="0" collapsed="false">
      <c r="B339" s="70" t="s">
        <v>464</v>
      </c>
      <c r="C339" s="71" t="str">
        <f aca="false">IFERROR(INDEX('13F Data'!A:A,MATCH($B339,'13F Data'!A:A,0)),"No CUSIP Match")</f>
        <v>No CUSIP Match</v>
      </c>
      <c r="D339" s="71" t="str">
        <f aca="false">IFERROR(IF($B339=$C339,"Yes","No"),"No CUSIP Match")</f>
        <v>No</v>
      </c>
      <c r="E339" s="71"/>
      <c r="F339" s="71" t="str">
        <f aca="false">IFERROR(INDEX('13F Data'!C:C, MATCH($B339,'13F Data'!A:A,0)),"No CUSIP Match")</f>
        <v>No CUSIP Match</v>
      </c>
      <c r="G339" s="72" t="str">
        <f aca="false">IFERROR(INDEX('13F Data'!D:D,MATCH($B339,'13F Data'!A:A,0)),"No CUSIP Match")</f>
        <v>No CUSIP Match</v>
      </c>
      <c r="J339" s="73" t="n">
        <f aca="false">$V339</f>
        <v>149510</v>
      </c>
      <c r="K339" s="71" t="str">
        <f aca="false">IFERROR(INDEX('EOD Data'!G:G, MATCH($A339, 'EOD Data'!B:B,0)), "No TKR Match")</f>
        <v>No TKR Match</v>
      </c>
      <c r="L339" s="71" t="str">
        <f aca="false">IFERROR(ROUND($J339*$K339,0),"Error")</f>
        <v>Error</v>
      </c>
      <c r="M339" s="71" t="str">
        <f aca="false">IFERROR(IF(AND($J339&lt;10000,$L339&lt;200000),"Yes","No"),"Error")</f>
        <v>No</v>
      </c>
      <c r="P339" s="42" t="str">
        <f aca="false">IF($N339="SOLE",$J339,"")</f>
        <v/>
      </c>
      <c r="Q339" s="42" t="str">
        <f aca="false">IFERROR(IF($N339="Sole",0,IF(AND($N339="OTR",$R339=0),$J339-$P339,IF(AND($N339="OTR", $R339&gt;0), $J339-$P339-$Q339, ""))),"")</f>
        <v/>
      </c>
      <c r="R339" s="42" t="str">
        <f aca="false">IF($P339=$J339, "0","")</f>
        <v/>
      </c>
      <c r="S339" s="42" t="str">
        <f aca="false">IF(OR(ISBLANK($B339),ISBLANK($C339), ISBLANK($E339), ISBLANK($F339), AND(ISBLANK($G339),ISBLANK($H339)), ISBLANK($I339), ISBLANK($L339), AND(ISBLANK($N339), ISBLANK($O339)), AND(ISBLANK($P339), ISBLANK($Q339), ISBLANK($R339))), "No", "Yes")</f>
        <v>No</v>
      </c>
      <c r="T339" s="42" t="str">
        <f aca="false">SUBSTITUTE($U339," ","")</f>
        <v>45253H101</v>
      </c>
      <c r="U339" s="42" t="s">
        <v>464</v>
      </c>
      <c r="V339" s="39" t="n">
        <v>149510</v>
      </c>
    </row>
    <row r="340" customFormat="false" ht="15" hidden="false" customHeight="false" outlineLevel="0" collapsed="false">
      <c r="B340" s="70" t="s">
        <v>466</v>
      </c>
      <c r="C340" s="71" t="str">
        <f aca="false">IFERROR(INDEX('13F Data'!A:A,MATCH($B340,'13F Data'!A:A,0)),"No CUSIP Match")</f>
        <v>No CUSIP Match</v>
      </c>
      <c r="D340" s="71" t="str">
        <f aca="false">IFERROR(IF($B340=$C340,"Yes","No"),"No CUSIP Match")</f>
        <v>No</v>
      </c>
      <c r="E340" s="71"/>
      <c r="F340" s="71" t="str">
        <f aca="false">IFERROR(INDEX('13F Data'!C:C, MATCH($B340,'13F Data'!A:A,0)),"No CUSIP Match")</f>
        <v>No CUSIP Match</v>
      </c>
      <c r="G340" s="72" t="str">
        <f aca="false">IFERROR(INDEX('13F Data'!D:D,MATCH($B340,'13F Data'!A:A,0)),"No CUSIP Match")</f>
        <v>No CUSIP Match</v>
      </c>
      <c r="J340" s="73" t="n">
        <f aca="false">$V340</f>
        <v>32494000</v>
      </c>
      <c r="K340" s="71" t="str">
        <f aca="false">IFERROR(INDEX('EOD Data'!G:G, MATCH($A340, 'EOD Data'!B:B,0)), "No TKR Match")</f>
        <v>No TKR Match</v>
      </c>
      <c r="L340" s="71" t="str">
        <f aca="false">IFERROR(ROUND($J340*$K340,0),"Error")</f>
        <v>Error</v>
      </c>
      <c r="M340" s="71" t="str">
        <f aca="false">IFERROR(IF(AND($J340&lt;10000,$L340&lt;200000),"Yes","No"),"Error")</f>
        <v>No</v>
      </c>
      <c r="P340" s="42" t="str">
        <f aca="false">IF($N340="SOLE",$J340,"")</f>
        <v/>
      </c>
      <c r="Q340" s="42" t="str">
        <f aca="false">IFERROR(IF($N340="Sole",0,IF(AND($N340="OTR",$R340=0),$J340-$P340,IF(AND($N340="OTR", $R340&gt;0), $J340-$P340-$Q340, ""))),"")</f>
        <v/>
      </c>
      <c r="R340" s="42" t="str">
        <f aca="false">IF($P340=$J340, "0","")</f>
        <v/>
      </c>
      <c r="S340" s="42" t="str">
        <f aca="false">IF(OR(ISBLANK($B340),ISBLANK($C340), ISBLANK($E340), ISBLANK($F340), AND(ISBLANK($G340),ISBLANK($H340)), ISBLANK($I340), ISBLANK($L340), AND(ISBLANK($N340), ISBLANK($O340)), AND(ISBLANK($P340), ISBLANK($Q340), ISBLANK($R340))), "No", "Yes")</f>
        <v>No</v>
      </c>
      <c r="T340" s="42" t="str">
        <f aca="false">SUBSTITUTE($U340," ","")</f>
        <v>453204AD1</v>
      </c>
      <c r="U340" s="42" t="s">
        <v>466</v>
      </c>
      <c r="V340" s="39" t="n">
        <v>32494000</v>
      </c>
    </row>
    <row r="341" customFormat="false" ht="15" hidden="false" customHeight="false" outlineLevel="0" collapsed="false">
      <c r="B341" s="70" t="s">
        <v>468</v>
      </c>
      <c r="C341" s="71" t="str">
        <f aca="false">IFERROR(INDEX('13F Data'!A:A,MATCH($B341,'13F Data'!A:A,0)),"No CUSIP Match")</f>
        <v>No CUSIP Match</v>
      </c>
      <c r="D341" s="71" t="str">
        <f aca="false">IFERROR(IF($B341=$C341,"Yes","No"),"No CUSIP Match")</f>
        <v>No</v>
      </c>
      <c r="E341" s="71"/>
      <c r="F341" s="71" t="str">
        <f aca="false">IFERROR(INDEX('13F Data'!C:C, MATCH($B341,'13F Data'!A:A,0)),"No CUSIP Match")</f>
        <v>No CUSIP Match</v>
      </c>
      <c r="G341" s="72" t="str">
        <f aca="false">IFERROR(INDEX('13F Data'!D:D,MATCH($B341,'13F Data'!A:A,0)),"No CUSIP Match")</f>
        <v>No CUSIP Match</v>
      </c>
      <c r="J341" s="73" t="n">
        <f aca="false">$V341</f>
        <v>28500000</v>
      </c>
      <c r="K341" s="71" t="str">
        <f aca="false">IFERROR(INDEX('EOD Data'!G:G, MATCH($A341, 'EOD Data'!B:B,0)), "No TKR Match")</f>
        <v>No TKR Match</v>
      </c>
      <c r="L341" s="71" t="str">
        <f aca="false">IFERROR(ROUND($J341*$K341,0),"Error")</f>
        <v>Error</v>
      </c>
      <c r="M341" s="71" t="str">
        <f aca="false">IFERROR(IF(AND($J341&lt;10000,$L341&lt;200000),"Yes","No"),"Error")</f>
        <v>No</v>
      </c>
      <c r="P341" s="42" t="str">
        <f aca="false">IF($N341="SOLE",$J341,"")</f>
        <v/>
      </c>
      <c r="Q341" s="42" t="str">
        <f aca="false">IFERROR(IF($N341="Sole",0,IF(AND($N341="OTR",$R341=0),$J341-$P341,IF(AND($N341="OTR", $R341&gt;0), $J341-$P341-$Q341, ""))),"")</f>
        <v/>
      </c>
      <c r="R341" s="42" t="str">
        <f aca="false">IF($P341=$J341, "0","")</f>
        <v/>
      </c>
      <c r="S341" s="42" t="str">
        <f aca="false">IF(OR(ISBLANK($B341),ISBLANK($C341), ISBLANK($E341), ISBLANK($F341), AND(ISBLANK($G341),ISBLANK($H341)), ISBLANK($I341), ISBLANK($L341), AND(ISBLANK($N341), ISBLANK($O341)), AND(ISBLANK($P341), ISBLANK($Q341), ISBLANK($R341))), "No", "Yes")</f>
        <v>No</v>
      </c>
      <c r="T341" s="42" t="str">
        <f aca="false">SUBSTITUTE($U341," ","")</f>
        <v>45569UAA9</v>
      </c>
      <c r="U341" s="42" t="s">
        <v>468</v>
      </c>
      <c r="V341" s="39" t="n">
        <v>28500000</v>
      </c>
    </row>
    <row r="342" customFormat="false" ht="15" hidden="false" customHeight="false" outlineLevel="0" collapsed="false">
      <c r="B342" s="70" t="s">
        <v>470</v>
      </c>
      <c r="C342" s="71" t="str">
        <f aca="false">IFERROR(INDEX('13F Data'!A:A,MATCH($B342,'13F Data'!A:A,0)),"No CUSIP Match")</f>
        <v>No CUSIP Match</v>
      </c>
      <c r="D342" s="71" t="str">
        <f aca="false">IFERROR(IF($B342=$C342,"Yes","No"),"No CUSIP Match")</f>
        <v>No</v>
      </c>
      <c r="E342" s="71"/>
      <c r="F342" s="71" t="str">
        <f aca="false">IFERROR(INDEX('13F Data'!C:C, MATCH($B342,'13F Data'!A:A,0)),"No CUSIP Match")</f>
        <v>No CUSIP Match</v>
      </c>
      <c r="G342" s="72" t="str">
        <f aca="false">IFERROR(INDEX('13F Data'!D:D,MATCH($B342,'13F Data'!A:A,0)),"No CUSIP Match")</f>
        <v>No CUSIP Match</v>
      </c>
      <c r="J342" s="73" t="n">
        <f aca="false">$V342</f>
        <v>13839</v>
      </c>
      <c r="K342" s="71" t="str">
        <f aca="false">IFERROR(INDEX('EOD Data'!G:G, MATCH($A342, 'EOD Data'!B:B,0)), "No TKR Match")</f>
        <v>No TKR Match</v>
      </c>
      <c r="L342" s="71" t="str">
        <f aca="false">IFERROR(ROUND($J342*$K342,0),"Error")</f>
        <v>Error</v>
      </c>
      <c r="M342" s="71" t="str">
        <f aca="false">IFERROR(IF(AND($J342&lt;10000,$L342&lt;200000),"Yes","No"),"Error")</f>
        <v>No</v>
      </c>
      <c r="P342" s="42" t="str">
        <f aca="false">IF($N342="SOLE",$J342,"")</f>
        <v/>
      </c>
      <c r="Q342" s="42" t="str">
        <f aca="false">IFERROR(IF($N342="Sole",0,IF(AND($N342="OTR",$R342=0),$J342-$P342,IF(AND($N342="OTR", $R342&gt;0), $J342-$P342-$Q342, ""))),"")</f>
        <v/>
      </c>
      <c r="R342" s="42" t="str">
        <f aca="false">IF($P342=$J342, "0","")</f>
        <v/>
      </c>
      <c r="S342" s="42" t="str">
        <f aca="false">IF(OR(ISBLANK($B342),ISBLANK($C342), ISBLANK($E342), ISBLANK($F342), AND(ISBLANK($G342),ISBLANK($H342)), ISBLANK($I342), ISBLANK($L342), AND(ISBLANK($N342), ISBLANK($O342)), AND(ISBLANK($P342), ISBLANK($Q342), ISBLANK($R342))), "No", "Yes")</f>
        <v>No</v>
      </c>
      <c r="T342" s="42" t="str">
        <f aca="false">SUBSTITUTE($U342," ","")</f>
        <v>45720L107</v>
      </c>
      <c r="U342" s="42" t="s">
        <v>470</v>
      </c>
      <c r="V342" s="39" t="n">
        <v>13839</v>
      </c>
    </row>
    <row r="343" customFormat="false" ht="15" hidden="false" customHeight="false" outlineLevel="0" collapsed="false">
      <c r="B343" s="70" t="s">
        <v>472</v>
      </c>
      <c r="C343" s="71" t="str">
        <f aca="false">IFERROR(INDEX('13F Data'!A:A,MATCH($B343,'13F Data'!A:A,0)),"No CUSIP Match")</f>
        <v>No CUSIP Match</v>
      </c>
      <c r="D343" s="71" t="str">
        <f aca="false">IFERROR(IF($B343=$C343,"Yes","No"),"No CUSIP Match")</f>
        <v>No</v>
      </c>
      <c r="E343" s="71"/>
      <c r="F343" s="71" t="str">
        <f aca="false">IFERROR(INDEX('13F Data'!C:C, MATCH($B343,'13F Data'!A:A,0)),"No CUSIP Match")</f>
        <v>No CUSIP Match</v>
      </c>
      <c r="G343" s="72" t="str">
        <f aca="false">IFERROR(INDEX('13F Data'!D:D,MATCH($B343,'13F Data'!A:A,0)),"No CUSIP Match")</f>
        <v>No CUSIP Match</v>
      </c>
      <c r="J343" s="73" t="n">
        <f aca="false">$V343</f>
        <v>5500000</v>
      </c>
      <c r="K343" s="71" t="str">
        <f aca="false">IFERROR(INDEX('EOD Data'!G:G, MATCH($A343, 'EOD Data'!B:B,0)), "No TKR Match")</f>
        <v>No TKR Match</v>
      </c>
      <c r="L343" s="71" t="str">
        <f aca="false">IFERROR(ROUND($J343*$K343,0),"Error")</f>
        <v>Error</v>
      </c>
      <c r="M343" s="71" t="str">
        <f aca="false">IFERROR(IF(AND($J343&lt;10000,$L343&lt;200000),"Yes","No"),"Error")</f>
        <v>No</v>
      </c>
      <c r="P343" s="42" t="str">
        <f aca="false">IF($N343="SOLE",$J343,"")</f>
        <v/>
      </c>
      <c r="Q343" s="42" t="str">
        <f aca="false">IFERROR(IF($N343="Sole",0,IF(AND($N343="OTR",$R343=0),$J343-$P343,IF(AND($N343="OTR", $R343&gt;0), $J343-$P343-$Q343, ""))),"")</f>
        <v/>
      </c>
      <c r="R343" s="42" t="str">
        <f aca="false">IF($P343=$J343, "0","")</f>
        <v/>
      </c>
      <c r="S343" s="42" t="str">
        <f aca="false">IF(OR(ISBLANK($B343),ISBLANK($C343), ISBLANK($E343), ISBLANK($F343), AND(ISBLANK($G343),ISBLANK($H343)), ISBLANK($I343), ISBLANK($L343), AND(ISBLANK($N343), ISBLANK($O343)), AND(ISBLANK($P343), ISBLANK($Q343), ISBLANK($R343))), "No", "Yes")</f>
        <v>No</v>
      </c>
      <c r="T343" s="42" t="str">
        <f aca="false">SUBSTITUTE($U343," ","")</f>
        <v>45781MAB7</v>
      </c>
      <c r="U343" s="42" t="s">
        <v>472</v>
      </c>
      <c r="V343" s="39" t="n">
        <v>5500000</v>
      </c>
    </row>
    <row r="344" customFormat="false" ht="15" hidden="false" customHeight="false" outlineLevel="0" collapsed="false">
      <c r="B344" s="70" t="s">
        <v>474</v>
      </c>
      <c r="C344" s="71" t="str">
        <f aca="false">IFERROR(INDEX('13F Data'!A:A,MATCH($B344,'13F Data'!A:A,0)),"No CUSIP Match")</f>
        <v>No CUSIP Match</v>
      </c>
      <c r="D344" s="71" t="str">
        <f aca="false">IFERROR(IF($B344=$C344,"Yes","No"),"No CUSIP Match")</f>
        <v>No</v>
      </c>
      <c r="E344" s="71"/>
      <c r="F344" s="71" t="str">
        <f aca="false">IFERROR(INDEX('13F Data'!C:C, MATCH($B344,'13F Data'!A:A,0)),"No CUSIP Match")</f>
        <v>No CUSIP Match</v>
      </c>
      <c r="G344" s="72" t="str">
        <f aca="false">IFERROR(INDEX('13F Data'!D:D,MATCH($B344,'13F Data'!A:A,0)),"No CUSIP Match")</f>
        <v>No CUSIP Match</v>
      </c>
      <c r="J344" s="73" t="n">
        <f aca="false">$V344</f>
        <v>19000000</v>
      </c>
      <c r="K344" s="71" t="str">
        <f aca="false">IFERROR(INDEX('EOD Data'!G:G, MATCH($A344, 'EOD Data'!B:B,0)), "No TKR Match")</f>
        <v>No TKR Match</v>
      </c>
      <c r="L344" s="71" t="str">
        <f aca="false">IFERROR(ROUND($J344*$K344,0),"Error")</f>
        <v>Error</v>
      </c>
      <c r="M344" s="71" t="str">
        <f aca="false">IFERROR(IF(AND($J344&lt;10000,$L344&lt;200000),"Yes","No"),"Error")</f>
        <v>No</v>
      </c>
      <c r="P344" s="42" t="str">
        <f aca="false">IF($N344="SOLE",$J344,"")</f>
        <v/>
      </c>
      <c r="Q344" s="42" t="str">
        <f aca="false">IFERROR(IF($N344="Sole",0,IF(AND($N344="OTR",$R344=0),$J344-$P344,IF(AND($N344="OTR", $R344&gt;0), $J344-$P344-$Q344, ""))),"")</f>
        <v/>
      </c>
      <c r="R344" s="42" t="str">
        <f aca="false">IF($P344=$J344, "0","")</f>
        <v/>
      </c>
      <c r="S344" s="42" t="str">
        <f aca="false">IF(OR(ISBLANK($B344),ISBLANK($C344), ISBLANK($E344), ISBLANK($F344), AND(ISBLANK($G344),ISBLANK($H344)), ISBLANK($I344), ISBLANK($L344), AND(ISBLANK($N344), ISBLANK($O344)), AND(ISBLANK($P344), ISBLANK($Q344), ISBLANK($R344))), "No", "Yes")</f>
        <v>No</v>
      </c>
      <c r="T344" s="42" t="str">
        <f aca="false">SUBSTITUTE($U344," ","")</f>
        <v>457669AB5</v>
      </c>
      <c r="U344" s="42" t="s">
        <v>474</v>
      </c>
      <c r="V344" s="39" t="n">
        <v>19000000</v>
      </c>
    </row>
    <row r="345" customFormat="false" ht="15" hidden="false" customHeight="false" outlineLevel="0" collapsed="false">
      <c r="B345" s="70" t="s">
        <v>476</v>
      </c>
      <c r="C345" s="71" t="str">
        <f aca="false">IFERROR(INDEX('13F Data'!A:A,MATCH($B345,'13F Data'!A:A,0)),"No CUSIP Match")</f>
        <v>No CUSIP Match</v>
      </c>
      <c r="D345" s="71" t="str">
        <f aca="false">IFERROR(IF($B345=$C345,"Yes","No"),"No CUSIP Match")</f>
        <v>No</v>
      </c>
      <c r="E345" s="71"/>
      <c r="F345" s="71" t="str">
        <f aca="false">IFERROR(INDEX('13F Data'!C:C, MATCH($B345,'13F Data'!A:A,0)),"No CUSIP Match")</f>
        <v>No CUSIP Match</v>
      </c>
      <c r="G345" s="72" t="str">
        <f aca="false">IFERROR(INDEX('13F Data'!D:D,MATCH($B345,'13F Data'!A:A,0)),"No CUSIP Match")</f>
        <v>No CUSIP Match</v>
      </c>
      <c r="J345" s="73" t="n">
        <f aca="false">$V345</f>
        <v>178060</v>
      </c>
      <c r="K345" s="71" t="str">
        <f aca="false">IFERROR(INDEX('EOD Data'!G:G, MATCH($A345, 'EOD Data'!B:B,0)), "No TKR Match")</f>
        <v>No TKR Match</v>
      </c>
      <c r="L345" s="71" t="str">
        <f aca="false">IFERROR(ROUND($J345*$K345,0),"Error")</f>
        <v>Error</v>
      </c>
      <c r="M345" s="71" t="str">
        <f aca="false">IFERROR(IF(AND($J345&lt;10000,$L345&lt;200000),"Yes","No"),"Error")</f>
        <v>No</v>
      </c>
      <c r="P345" s="42" t="str">
        <f aca="false">IF($N345="SOLE",$J345,"")</f>
        <v/>
      </c>
      <c r="Q345" s="42" t="str">
        <f aca="false">IFERROR(IF($N345="Sole",0,IF(AND($N345="OTR",$R345=0),$J345-$P345,IF(AND($N345="OTR", $R345&gt;0), $J345-$P345-$Q345, ""))),"")</f>
        <v/>
      </c>
      <c r="R345" s="42" t="str">
        <f aca="false">IF($P345=$J345, "0","")</f>
        <v/>
      </c>
      <c r="S345" s="42" t="str">
        <f aca="false">IF(OR(ISBLANK($B345),ISBLANK($C345), ISBLANK($E345), ISBLANK($F345), AND(ISBLANK($G345),ISBLANK($H345)), ISBLANK($I345), ISBLANK($L345), AND(ISBLANK($N345), ISBLANK($O345)), AND(ISBLANK($P345), ISBLANK($Q345), ISBLANK($R345))), "No", "Yes")</f>
        <v>No</v>
      </c>
      <c r="T345" s="42" t="str">
        <f aca="false">SUBSTITUTE($U345," ","")</f>
        <v>458140100</v>
      </c>
      <c r="U345" s="42" t="s">
        <v>476</v>
      </c>
      <c r="V345" s="39" t="n">
        <v>178060</v>
      </c>
    </row>
    <row r="346" customFormat="false" ht="15" hidden="false" customHeight="false" outlineLevel="0" collapsed="false">
      <c r="B346" s="70" t="s">
        <v>476</v>
      </c>
      <c r="C346" s="71" t="str">
        <f aca="false">IFERROR(INDEX('13F Data'!A:A,MATCH($B346,'13F Data'!A:A,0)),"No CUSIP Match")</f>
        <v>No CUSIP Match</v>
      </c>
      <c r="D346" s="71" t="str">
        <f aca="false">IFERROR(IF($B346=$C346,"Yes","No"),"No CUSIP Match")</f>
        <v>No</v>
      </c>
      <c r="E346" s="71"/>
      <c r="F346" s="71" t="str">
        <f aca="false">IFERROR(INDEX('13F Data'!C:C, MATCH($B346,'13F Data'!A:A,0)),"No CUSIP Match")</f>
        <v>No CUSIP Match</v>
      </c>
      <c r="G346" s="72" t="str">
        <f aca="false">IFERROR(INDEX('13F Data'!D:D,MATCH($B346,'13F Data'!A:A,0)),"No CUSIP Match")</f>
        <v>No CUSIP Match</v>
      </c>
      <c r="J346" s="73" t="n">
        <f aca="false">$V346</f>
        <v>73300</v>
      </c>
      <c r="K346" s="71" t="str">
        <f aca="false">IFERROR(INDEX('EOD Data'!G:G, MATCH($A346, 'EOD Data'!B:B,0)), "No TKR Match")</f>
        <v>No TKR Match</v>
      </c>
      <c r="L346" s="71" t="str">
        <f aca="false">IFERROR(ROUND($J346*$K346,0),"Error")</f>
        <v>Error</v>
      </c>
      <c r="M346" s="71" t="str">
        <f aca="false">IFERROR(IF(AND($J346&lt;10000,$L346&lt;200000),"Yes","No"),"Error")</f>
        <v>No</v>
      </c>
      <c r="P346" s="42" t="str">
        <f aca="false">IF($N346="SOLE",$J346,"")</f>
        <v/>
      </c>
      <c r="Q346" s="42" t="str">
        <f aca="false">IFERROR(IF($N346="Sole",0,IF(AND($N346="OTR",$R346=0),$J346-$P346,IF(AND($N346="OTR", $R346&gt;0), $J346-$P346-$Q346, ""))),"")</f>
        <v/>
      </c>
      <c r="R346" s="42" t="str">
        <f aca="false">IF($P346=$J346, "0","")</f>
        <v/>
      </c>
      <c r="S346" s="42" t="str">
        <f aca="false">IF(OR(ISBLANK($B346),ISBLANK($C346), ISBLANK($E346), ISBLANK($F346), AND(ISBLANK($G346),ISBLANK($H346)), ISBLANK($I346), ISBLANK($L346), AND(ISBLANK($N346), ISBLANK($O346)), AND(ISBLANK($P346), ISBLANK($Q346), ISBLANK($R346))), "No", "Yes")</f>
        <v>No</v>
      </c>
      <c r="T346" s="42" t="str">
        <f aca="false">SUBSTITUTE($U346," ","")</f>
        <v>458140100</v>
      </c>
      <c r="U346" s="42" t="s">
        <v>476</v>
      </c>
      <c r="V346" s="39" t="n">
        <v>73300</v>
      </c>
    </row>
    <row r="347" customFormat="false" ht="15" hidden="false" customHeight="false" outlineLevel="0" collapsed="false">
      <c r="B347" s="70" t="s">
        <v>476</v>
      </c>
      <c r="C347" s="71" t="str">
        <f aca="false">IFERROR(INDEX('13F Data'!A:A,MATCH($B347,'13F Data'!A:A,0)),"No CUSIP Match")</f>
        <v>No CUSIP Match</v>
      </c>
      <c r="D347" s="71" t="str">
        <f aca="false">IFERROR(IF($B347=$C347,"Yes","No"),"No CUSIP Match")</f>
        <v>No</v>
      </c>
      <c r="E347" s="71"/>
      <c r="F347" s="71" t="str">
        <f aca="false">IFERROR(INDEX('13F Data'!C:C, MATCH($B347,'13F Data'!A:A,0)),"No CUSIP Match")</f>
        <v>No CUSIP Match</v>
      </c>
      <c r="G347" s="72" t="str">
        <f aca="false">IFERROR(INDEX('13F Data'!D:D,MATCH($B347,'13F Data'!A:A,0)),"No CUSIP Match")</f>
        <v>No CUSIP Match</v>
      </c>
      <c r="J347" s="73" t="n">
        <f aca="false">$V347</f>
        <v>73300</v>
      </c>
      <c r="K347" s="71" t="str">
        <f aca="false">IFERROR(INDEX('EOD Data'!G:G, MATCH($A347, 'EOD Data'!B:B,0)), "No TKR Match")</f>
        <v>No TKR Match</v>
      </c>
      <c r="L347" s="71" t="str">
        <f aca="false">IFERROR(ROUND($J347*$K347,0),"Error")</f>
        <v>Error</v>
      </c>
      <c r="M347" s="71" t="str">
        <f aca="false">IFERROR(IF(AND($J347&lt;10000,$L347&lt;200000),"Yes","No"),"Error")</f>
        <v>No</v>
      </c>
      <c r="P347" s="42" t="str">
        <f aca="false">IF($N347="SOLE",$J347,"")</f>
        <v/>
      </c>
      <c r="Q347" s="42" t="str">
        <f aca="false">IFERROR(IF($N347="Sole",0,IF(AND($N347="OTR",$R347=0),$J347-$P347,IF(AND($N347="OTR", $R347&gt;0), $J347-$P347-$Q347, ""))),"")</f>
        <v/>
      </c>
      <c r="R347" s="42" t="str">
        <f aca="false">IF($P347=$J347, "0","")</f>
        <v/>
      </c>
      <c r="S347" s="42" t="str">
        <f aca="false">IF(OR(ISBLANK($B347),ISBLANK($C347), ISBLANK($E347), ISBLANK($F347), AND(ISBLANK($G347),ISBLANK($H347)), ISBLANK($I347), ISBLANK($L347), AND(ISBLANK($N347), ISBLANK($O347)), AND(ISBLANK($P347), ISBLANK($Q347), ISBLANK($R347))), "No", "Yes")</f>
        <v>No</v>
      </c>
      <c r="T347" s="42" t="str">
        <f aca="false">SUBSTITUTE($U347," ","")</f>
        <v>458140100</v>
      </c>
      <c r="U347" s="42" t="s">
        <v>476</v>
      </c>
      <c r="V347" s="39" t="n">
        <v>73300</v>
      </c>
    </row>
    <row r="348" customFormat="false" ht="15" hidden="false" customHeight="false" outlineLevel="0" collapsed="false">
      <c r="B348" s="70" t="s">
        <v>478</v>
      </c>
      <c r="C348" s="71" t="str">
        <f aca="false">IFERROR(INDEX('13F Data'!A:A,MATCH($B348,'13F Data'!A:A,0)),"No CUSIP Match")</f>
        <v>No CUSIP Match</v>
      </c>
      <c r="D348" s="71" t="str">
        <f aca="false">IFERROR(IF($B348=$C348,"Yes","No"),"No CUSIP Match")</f>
        <v>No</v>
      </c>
      <c r="E348" s="71"/>
      <c r="F348" s="71" t="str">
        <f aca="false">IFERROR(INDEX('13F Data'!C:C, MATCH($B348,'13F Data'!A:A,0)),"No CUSIP Match")</f>
        <v>No CUSIP Match</v>
      </c>
      <c r="G348" s="72" t="str">
        <f aca="false">IFERROR(INDEX('13F Data'!D:D,MATCH($B348,'13F Data'!A:A,0)),"No CUSIP Match")</f>
        <v>No CUSIP Match</v>
      </c>
      <c r="J348" s="73" t="n">
        <f aca="false">$V348</f>
        <v>1000</v>
      </c>
      <c r="K348" s="71" t="str">
        <f aca="false">IFERROR(INDEX('EOD Data'!G:G, MATCH($A348, 'EOD Data'!B:B,0)), "No TKR Match")</f>
        <v>No TKR Match</v>
      </c>
      <c r="L348" s="71" t="str">
        <f aca="false">IFERROR(ROUND($J348*$K348,0),"Error")</f>
        <v>Error</v>
      </c>
      <c r="M348" s="71" t="str">
        <f aca="false">IFERROR(IF(AND($J348&lt;10000,$L348&lt;200000),"Yes","No"),"Error")</f>
        <v>No</v>
      </c>
      <c r="P348" s="42" t="str">
        <f aca="false">IF($N348="SOLE",$J348,"")</f>
        <v/>
      </c>
      <c r="Q348" s="42" t="str">
        <f aca="false">IFERROR(IF($N348="Sole",0,IF(AND($N348="OTR",$R348=0),$J348-$P348,IF(AND($N348="OTR", $R348&gt;0), $J348-$P348-$Q348, ""))),"")</f>
        <v/>
      </c>
      <c r="R348" s="42" t="str">
        <f aca="false">IF($P348=$J348, "0","")</f>
        <v/>
      </c>
      <c r="S348" s="42" t="str">
        <f aca="false">IF(OR(ISBLANK($B348),ISBLANK($C348), ISBLANK($E348), ISBLANK($F348), AND(ISBLANK($G348),ISBLANK($H348)), ISBLANK($I348), ISBLANK($L348), AND(ISBLANK($N348), ISBLANK($O348)), AND(ISBLANK($P348), ISBLANK($Q348), ISBLANK($R348))), "No", "Yes")</f>
        <v>No</v>
      </c>
      <c r="T348" s="42" t="str">
        <f aca="false">SUBSTITUTE($U348," ","")</f>
        <v>459200101</v>
      </c>
      <c r="U348" s="42" t="s">
        <v>478</v>
      </c>
      <c r="V348" s="39" t="n">
        <v>1000</v>
      </c>
    </row>
    <row r="349" customFormat="false" ht="15" hidden="false" customHeight="false" outlineLevel="0" collapsed="false">
      <c r="B349" s="70" t="s">
        <v>478</v>
      </c>
      <c r="C349" s="71" t="str">
        <f aca="false">IFERROR(INDEX('13F Data'!A:A,MATCH($B349,'13F Data'!A:A,0)),"No CUSIP Match")</f>
        <v>No CUSIP Match</v>
      </c>
      <c r="D349" s="71" t="str">
        <f aca="false">IFERROR(IF($B349=$C349,"Yes","No"),"No CUSIP Match")</f>
        <v>No</v>
      </c>
      <c r="E349" s="71"/>
      <c r="F349" s="71" t="str">
        <f aca="false">IFERROR(INDEX('13F Data'!C:C, MATCH($B349,'13F Data'!A:A,0)),"No CUSIP Match")</f>
        <v>No CUSIP Match</v>
      </c>
      <c r="G349" s="72" t="str">
        <f aca="false">IFERROR(INDEX('13F Data'!D:D,MATCH($B349,'13F Data'!A:A,0)),"No CUSIP Match")</f>
        <v>No CUSIP Match</v>
      </c>
      <c r="J349" s="73" t="n">
        <f aca="false">$V349</f>
        <v>1000</v>
      </c>
      <c r="K349" s="71" t="str">
        <f aca="false">IFERROR(INDEX('EOD Data'!G:G, MATCH($A349, 'EOD Data'!B:B,0)), "No TKR Match")</f>
        <v>No TKR Match</v>
      </c>
      <c r="L349" s="71" t="str">
        <f aca="false">IFERROR(ROUND($J349*$K349,0),"Error")</f>
        <v>Error</v>
      </c>
      <c r="M349" s="71" t="str">
        <f aca="false">IFERROR(IF(AND($J349&lt;10000,$L349&lt;200000),"Yes","No"),"Error")</f>
        <v>No</v>
      </c>
      <c r="P349" s="42" t="str">
        <f aca="false">IF($N349="SOLE",$J349,"")</f>
        <v/>
      </c>
      <c r="Q349" s="42" t="str">
        <f aca="false">IFERROR(IF($N349="Sole",0,IF(AND($N349="OTR",$R349=0),$J349-$P349,IF(AND($N349="OTR", $R349&gt;0), $J349-$P349-$Q349, ""))),"")</f>
        <v/>
      </c>
      <c r="R349" s="42" t="str">
        <f aca="false">IF($P349=$J349, "0","")</f>
        <v/>
      </c>
      <c r="S349" s="42" t="str">
        <f aca="false">IF(OR(ISBLANK($B349),ISBLANK($C349), ISBLANK($E349), ISBLANK($F349), AND(ISBLANK($G349),ISBLANK($H349)), ISBLANK($I349), ISBLANK($L349), AND(ISBLANK($N349), ISBLANK($O349)), AND(ISBLANK($P349), ISBLANK($Q349), ISBLANK($R349))), "No", "Yes")</f>
        <v>No</v>
      </c>
      <c r="T349" s="42" t="str">
        <f aca="false">SUBSTITUTE($U349," ","")</f>
        <v>459200101</v>
      </c>
      <c r="U349" s="42" t="s">
        <v>478</v>
      </c>
      <c r="V349" s="39" t="n">
        <v>1000</v>
      </c>
    </row>
    <row r="350" customFormat="false" ht="15" hidden="false" customHeight="false" outlineLevel="0" collapsed="false">
      <c r="B350" s="70" t="s">
        <v>480</v>
      </c>
      <c r="C350" s="71" t="str">
        <f aca="false">IFERROR(INDEX('13F Data'!A:A,MATCH($B350,'13F Data'!A:A,0)),"No CUSIP Match")</f>
        <v>No CUSIP Match</v>
      </c>
      <c r="D350" s="71" t="str">
        <f aca="false">IFERROR(IF($B350=$C350,"Yes","No"),"No CUSIP Match")</f>
        <v>No</v>
      </c>
      <c r="E350" s="71"/>
      <c r="F350" s="71" t="str">
        <f aca="false">IFERROR(INDEX('13F Data'!C:C, MATCH($B350,'13F Data'!A:A,0)),"No CUSIP Match")</f>
        <v>No CUSIP Match</v>
      </c>
      <c r="G350" s="72" t="str">
        <f aca="false">IFERROR(INDEX('13F Data'!D:D,MATCH($B350,'13F Data'!A:A,0)),"No CUSIP Match")</f>
        <v>No CUSIP Match</v>
      </c>
      <c r="J350" s="73" t="n">
        <f aca="false">$V350</f>
        <v>7700</v>
      </c>
      <c r="K350" s="71" t="str">
        <f aca="false">IFERROR(INDEX('EOD Data'!G:G, MATCH($A350, 'EOD Data'!B:B,0)), "No TKR Match")</f>
        <v>No TKR Match</v>
      </c>
      <c r="L350" s="71" t="str">
        <f aca="false">IFERROR(ROUND($J350*$K350,0),"Error")</f>
        <v>Error</v>
      </c>
      <c r="M350" s="71" t="str">
        <f aca="false">IFERROR(IF(AND($J350&lt;10000,$L350&lt;200000),"Yes","No"),"Error")</f>
        <v>No</v>
      </c>
      <c r="P350" s="42" t="str">
        <f aca="false">IF($N350="SOLE",$J350,"")</f>
        <v/>
      </c>
      <c r="Q350" s="42" t="str">
        <f aca="false">IFERROR(IF($N350="Sole",0,IF(AND($N350="OTR",$R350=0),$J350-$P350,IF(AND($N350="OTR", $R350&gt;0), $J350-$P350-$Q350, ""))),"")</f>
        <v/>
      </c>
      <c r="R350" s="42" t="str">
        <f aca="false">IF($P350=$J350, "0","")</f>
        <v/>
      </c>
      <c r="S350" s="42" t="str">
        <f aca="false">IF(OR(ISBLANK($B350),ISBLANK($C350), ISBLANK($E350), ISBLANK($F350), AND(ISBLANK($G350),ISBLANK($H350)), ISBLANK($I350), ISBLANK($L350), AND(ISBLANK($N350), ISBLANK($O350)), AND(ISBLANK($P350), ISBLANK($Q350), ISBLANK($R350))), "No", "Yes")</f>
        <v>No</v>
      </c>
      <c r="T350" s="42" t="str">
        <f aca="false">SUBSTITUTE($U350," ","")</f>
        <v>461202103</v>
      </c>
      <c r="U350" s="42" t="s">
        <v>480</v>
      </c>
      <c r="V350" s="39" t="n">
        <v>7700</v>
      </c>
    </row>
    <row r="351" customFormat="false" ht="15" hidden="false" customHeight="false" outlineLevel="0" collapsed="false">
      <c r="B351" s="70" t="s">
        <v>480</v>
      </c>
      <c r="C351" s="71" t="str">
        <f aca="false">IFERROR(INDEX('13F Data'!A:A,MATCH($B351,'13F Data'!A:A,0)),"No CUSIP Match")</f>
        <v>No CUSIP Match</v>
      </c>
      <c r="D351" s="71" t="str">
        <f aca="false">IFERROR(IF($B351=$C351,"Yes","No"),"No CUSIP Match")</f>
        <v>No</v>
      </c>
      <c r="E351" s="71"/>
      <c r="F351" s="71" t="str">
        <f aca="false">IFERROR(INDEX('13F Data'!C:C, MATCH($B351,'13F Data'!A:A,0)),"No CUSIP Match")</f>
        <v>No CUSIP Match</v>
      </c>
      <c r="G351" s="72" t="str">
        <f aca="false">IFERROR(INDEX('13F Data'!D:D,MATCH($B351,'13F Data'!A:A,0)),"No CUSIP Match")</f>
        <v>No CUSIP Match</v>
      </c>
      <c r="J351" s="73" t="n">
        <f aca="false">$V351</f>
        <v>7700</v>
      </c>
      <c r="K351" s="71" t="str">
        <f aca="false">IFERROR(INDEX('EOD Data'!G:G, MATCH($A351, 'EOD Data'!B:B,0)), "No TKR Match")</f>
        <v>No TKR Match</v>
      </c>
      <c r="L351" s="71" t="str">
        <f aca="false">IFERROR(ROUND($J351*$K351,0),"Error")</f>
        <v>Error</v>
      </c>
      <c r="M351" s="71" t="str">
        <f aca="false">IFERROR(IF(AND($J351&lt;10000,$L351&lt;200000),"Yes","No"),"Error")</f>
        <v>No</v>
      </c>
      <c r="P351" s="42" t="str">
        <f aca="false">IF($N351="SOLE",$J351,"")</f>
        <v/>
      </c>
      <c r="Q351" s="42" t="str">
        <f aca="false">IFERROR(IF($N351="Sole",0,IF(AND($N351="OTR",$R351=0),$J351-$P351,IF(AND($N351="OTR", $R351&gt;0), $J351-$P351-$Q351, ""))),"")</f>
        <v/>
      </c>
      <c r="R351" s="42" t="str">
        <f aca="false">IF($P351=$J351, "0","")</f>
        <v/>
      </c>
      <c r="S351" s="42" t="str">
        <f aca="false">IF(OR(ISBLANK($B351),ISBLANK($C351), ISBLANK($E351), ISBLANK($F351), AND(ISBLANK($G351),ISBLANK($H351)), ISBLANK($I351), ISBLANK($L351), AND(ISBLANK($N351), ISBLANK($O351)), AND(ISBLANK($P351), ISBLANK($Q351), ISBLANK($R351))), "No", "Yes")</f>
        <v>No</v>
      </c>
      <c r="T351" s="42" t="str">
        <f aca="false">SUBSTITUTE($U351," ","")</f>
        <v>461202103</v>
      </c>
      <c r="U351" s="42" t="s">
        <v>480</v>
      </c>
      <c r="V351" s="39" t="n">
        <v>7700</v>
      </c>
    </row>
    <row r="352" customFormat="false" ht="15" hidden="false" customHeight="false" outlineLevel="0" collapsed="false">
      <c r="B352" s="70" t="s">
        <v>482</v>
      </c>
      <c r="C352" s="71" t="str">
        <f aca="false">IFERROR(INDEX('13F Data'!A:A,MATCH($B352,'13F Data'!A:A,0)),"No CUSIP Match")</f>
        <v>No CUSIP Match</v>
      </c>
      <c r="D352" s="71" t="str">
        <f aca="false">IFERROR(IF($B352=$C352,"Yes","No"),"No CUSIP Match")</f>
        <v>No</v>
      </c>
      <c r="E352" s="71"/>
      <c r="F352" s="71" t="str">
        <f aca="false">IFERROR(INDEX('13F Data'!C:C, MATCH($B352,'13F Data'!A:A,0)),"No CUSIP Match")</f>
        <v>No CUSIP Match</v>
      </c>
      <c r="G352" s="72" t="str">
        <f aca="false">IFERROR(INDEX('13F Data'!D:D,MATCH($B352,'13F Data'!A:A,0)),"No CUSIP Match")</f>
        <v>No CUSIP Match</v>
      </c>
      <c r="J352" s="73" t="n">
        <f aca="false">$V352</f>
        <v>9300</v>
      </c>
      <c r="K352" s="71" t="str">
        <f aca="false">IFERROR(INDEX('EOD Data'!G:G, MATCH($A352, 'EOD Data'!B:B,0)), "No TKR Match")</f>
        <v>No TKR Match</v>
      </c>
      <c r="L352" s="71" t="str">
        <f aca="false">IFERROR(ROUND($J352*$K352,0),"Error")</f>
        <v>Error</v>
      </c>
      <c r="M352" s="71" t="str">
        <f aca="false">IFERROR(IF(AND($J352&lt;10000,$L352&lt;200000),"Yes","No"),"Error")</f>
        <v>No</v>
      </c>
      <c r="P352" s="42" t="str">
        <f aca="false">IF($N352="SOLE",$J352,"")</f>
        <v/>
      </c>
      <c r="Q352" s="42" t="str">
        <f aca="false">IFERROR(IF($N352="Sole",0,IF(AND($N352="OTR",$R352=0),$J352-$P352,IF(AND($N352="OTR", $R352&gt;0), $J352-$P352-$Q352, ""))),"")</f>
        <v/>
      </c>
      <c r="R352" s="42" t="str">
        <f aca="false">IF($P352=$J352, "0","")</f>
        <v/>
      </c>
      <c r="S352" s="42" t="str">
        <f aca="false">IF(OR(ISBLANK($B352),ISBLANK($C352), ISBLANK($E352), ISBLANK($F352), AND(ISBLANK($G352),ISBLANK($H352)), ISBLANK($I352), ISBLANK($L352), AND(ISBLANK($N352), ISBLANK($O352)), AND(ISBLANK($P352), ISBLANK($Q352), ISBLANK($R352))), "No", "Yes")</f>
        <v>No</v>
      </c>
      <c r="T352" s="42" t="str">
        <f aca="false">SUBSTITUTE($U352," ","")</f>
        <v>46120E602</v>
      </c>
      <c r="U352" s="42" t="s">
        <v>482</v>
      </c>
      <c r="V352" s="39" t="n">
        <v>9300</v>
      </c>
    </row>
    <row r="353" customFormat="false" ht="15" hidden="false" customHeight="false" outlineLevel="0" collapsed="false">
      <c r="B353" s="70" t="s">
        <v>482</v>
      </c>
      <c r="C353" s="71" t="str">
        <f aca="false">IFERROR(INDEX('13F Data'!A:A,MATCH($B353,'13F Data'!A:A,0)),"No CUSIP Match")</f>
        <v>No CUSIP Match</v>
      </c>
      <c r="D353" s="71" t="str">
        <f aca="false">IFERROR(IF($B353=$C353,"Yes","No"),"No CUSIP Match")</f>
        <v>No</v>
      </c>
      <c r="E353" s="71"/>
      <c r="F353" s="71" t="str">
        <f aca="false">IFERROR(INDEX('13F Data'!C:C, MATCH($B353,'13F Data'!A:A,0)),"No CUSIP Match")</f>
        <v>No CUSIP Match</v>
      </c>
      <c r="G353" s="72" t="str">
        <f aca="false">IFERROR(INDEX('13F Data'!D:D,MATCH($B353,'13F Data'!A:A,0)),"No CUSIP Match")</f>
        <v>No CUSIP Match</v>
      </c>
      <c r="J353" s="73" t="n">
        <f aca="false">$V353</f>
        <v>9300</v>
      </c>
      <c r="K353" s="71" t="str">
        <f aca="false">IFERROR(INDEX('EOD Data'!G:G, MATCH($A353, 'EOD Data'!B:B,0)), "No TKR Match")</f>
        <v>No TKR Match</v>
      </c>
      <c r="L353" s="71" t="str">
        <f aca="false">IFERROR(ROUND($J353*$K353,0),"Error")</f>
        <v>Error</v>
      </c>
      <c r="M353" s="71" t="str">
        <f aca="false">IFERROR(IF(AND($J353&lt;10000,$L353&lt;200000),"Yes","No"),"Error")</f>
        <v>No</v>
      </c>
      <c r="P353" s="42" t="str">
        <f aca="false">IF($N353="SOLE",$J353,"")</f>
        <v/>
      </c>
      <c r="Q353" s="42" t="str">
        <f aca="false">IFERROR(IF($N353="Sole",0,IF(AND($N353="OTR",$R353=0),$J353-$P353,IF(AND($N353="OTR", $R353&gt;0), $J353-$P353-$Q353, ""))),"")</f>
        <v/>
      </c>
      <c r="R353" s="42" t="str">
        <f aca="false">IF($P353=$J353, "0","")</f>
        <v/>
      </c>
      <c r="S353" s="42" t="str">
        <f aca="false">IF(OR(ISBLANK($B353),ISBLANK($C353), ISBLANK($E353), ISBLANK($F353), AND(ISBLANK($G353),ISBLANK($H353)), ISBLANK($I353), ISBLANK($L353), AND(ISBLANK($N353), ISBLANK($O353)), AND(ISBLANK($P353), ISBLANK($Q353), ISBLANK($R353))), "No", "Yes")</f>
        <v>No</v>
      </c>
      <c r="T353" s="42" t="str">
        <f aca="false">SUBSTITUTE($U353," ","")</f>
        <v>46120E602</v>
      </c>
      <c r="U353" s="42" t="s">
        <v>482</v>
      </c>
      <c r="V353" s="39" t="n">
        <v>9300</v>
      </c>
    </row>
    <row r="354" customFormat="false" ht="15" hidden="false" customHeight="false" outlineLevel="0" collapsed="false">
      <c r="B354" s="70" t="s">
        <v>484</v>
      </c>
      <c r="C354" s="71" t="str">
        <f aca="false">IFERROR(INDEX('13F Data'!A:A,MATCH($B354,'13F Data'!A:A,0)),"No CUSIP Match")</f>
        <v>No CUSIP Match</v>
      </c>
      <c r="D354" s="71" t="str">
        <f aca="false">IFERROR(IF($B354=$C354,"Yes","No"),"No CUSIP Match")</f>
        <v>No</v>
      </c>
      <c r="E354" s="71"/>
      <c r="F354" s="71" t="str">
        <f aca="false">IFERROR(INDEX('13F Data'!C:C, MATCH($B354,'13F Data'!A:A,0)),"No CUSIP Match")</f>
        <v>No CUSIP Match</v>
      </c>
      <c r="G354" s="72" t="str">
        <f aca="false">IFERROR(INDEX('13F Data'!D:D,MATCH($B354,'13F Data'!A:A,0)),"No CUSIP Match")</f>
        <v>No CUSIP Match</v>
      </c>
      <c r="J354" s="73" t="n">
        <f aca="false">$V354</f>
        <v>217010</v>
      </c>
      <c r="K354" s="71" t="str">
        <f aca="false">IFERROR(INDEX('EOD Data'!G:G, MATCH($A354, 'EOD Data'!B:B,0)), "No TKR Match")</f>
        <v>No TKR Match</v>
      </c>
      <c r="L354" s="71" t="str">
        <f aca="false">IFERROR(ROUND($J354*$K354,0),"Error")</f>
        <v>Error</v>
      </c>
      <c r="M354" s="71" t="str">
        <f aca="false">IFERROR(IF(AND($J354&lt;10000,$L354&lt;200000),"Yes","No"),"Error")</f>
        <v>No</v>
      </c>
      <c r="P354" s="42" t="str">
        <f aca="false">IF($N354="SOLE",$J354,"")</f>
        <v/>
      </c>
      <c r="Q354" s="42" t="str">
        <f aca="false">IFERROR(IF($N354="Sole",0,IF(AND($N354="OTR",$R354=0),$J354-$P354,IF(AND($N354="OTR", $R354&gt;0), $J354-$P354-$Q354, ""))),"")</f>
        <v/>
      </c>
      <c r="R354" s="42" t="str">
        <f aca="false">IF($P354=$J354, "0","")</f>
        <v/>
      </c>
      <c r="S354" s="42" t="str">
        <f aca="false">IF(OR(ISBLANK($B354),ISBLANK($C354), ISBLANK($E354), ISBLANK($F354), AND(ISBLANK($G354),ISBLANK($H354)), ISBLANK($I354), ISBLANK($L354), AND(ISBLANK($N354), ISBLANK($O354)), AND(ISBLANK($P354), ISBLANK($Q354), ISBLANK($R354))), "No", "Yes")</f>
        <v>No</v>
      </c>
      <c r="T354" s="42" t="str">
        <f aca="false">SUBSTITUTE($U354," ","")</f>
        <v>46090E103</v>
      </c>
      <c r="U354" s="42" t="s">
        <v>484</v>
      </c>
      <c r="V354" s="39" t="n">
        <v>217010</v>
      </c>
    </row>
    <row r="355" customFormat="false" ht="15" hidden="false" customHeight="false" outlineLevel="0" collapsed="false">
      <c r="B355" s="70" t="s">
        <v>484</v>
      </c>
      <c r="C355" s="71" t="str">
        <f aca="false">IFERROR(INDEX('13F Data'!A:A,MATCH($B355,'13F Data'!A:A,0)),"No CUSIP Match")</f>
        <v>No CUSIP Match</v>
      </c>
      <c r="D355" s="71" t="str">
        <f aca="false">IFERROR(IF($B355=$C355,"Yes","No"),"No CUSIP Match")</f>
        <v>No</v>
      </c>
      <c r="E355" s="71"/>
      <c r="F355" s="71" t="str">
        <f aca="false">IFERROR(INDEX('13F Data'!C:C, MATCH($B355,'13F Data'!A:A,0)),"No CUSIP Match")</f>
        <v>No CUSIP Match</v>
      </c>
      <c r="G355" s="72" t="str">
        <f aca="false">IFERROR(INDEX('13F Data'!D:D,MATCH($B355,'13F Data'!A:A,0)),"No CUSIP Match")</f>
        <v>No CUSIP Match</v>
      </c>
      <c r="J355" s="73" t="n">
        <f aca="false">$V355</f>
        <v>33200</v>
      </c>
      <c r="K355" s="71" t="str">
        <f aca="false">IFERROR(INDEX('EOD Data'!G:G, MATCH($A355, 'EOD Data'!B:B,0)), "No TKR Match")</f>
        <v>No TKR Match</v>
      </c>
      <c r="L355" s="71" t="str">
        <f aca="false">IFERROR(ROUND($J355*$K355,0),"Error")</f>
        <v>Error</v>
      </c>
      <c r="M355" s="71" t="str">
        <f aca="false">IFERROR(IF(AND($J355&lt;10000,$L355&lt;200000),"Yes","No"),"Error")</f>
        <v>No</v>
      </c>
      <c r="P355" s="42" t="str">
        <f aca="false">IF($N355="SOLE",$J355,"")</f>
        <v/>
      </c>
      <c r="Q355" s="42" t="str">
        <f aca="false">IFERROR(IF($N355="Sole",0,IF(AND($N355="OTR",$R355=0),$J355-$P355,IF(AND($N355="OTR", $R355&gt;0), $J355-$P355-$Q355, ""))),"")</f>
        <v/>
      </c>
      <c r="R355" s="42" t="str">
        <f aca="false">IF($P355=$J355, "0","")</f>
        <v/>
      </c>
      <c r="S355" s="42" t="str">
        <f aca="false">IF(OR(ISBLANK($B355),ISBLANK($C355), ISBLANK($E355), ISBLANK($F355), AND(ISBLANK($G355),ISBLANK($H355)), ISBLANK($I355), ISBLANK($L355), AND(ISBLANK($N355), ISBLANK($O355)), AND(ISBLANK($P355), ISBLANK($Q355), ISBLANK($R355))), "No", "Yes")</f>
        <v>No</v>
      </c>
      <c r="T355" s="42" t="str">
        <f aca="false">SUBSTITUTE($U355," ","")</f>
        <v>46090E103</v>
      </c>
      <c r="U355" s="42" t="s">
        <v>484</v>
      </c>
      <c r="V355" s="39" t="n">
        <v>33200</v>
      </c>
    </row>
    <row r="356" customFormat="false" ht="15" hidden="false" customHeight="false" outlineLevel="0" collapsed="false">
      <c r="B356" s="70" t="s">
        <v>486</v>
      </c>
      <c r="C356" s="71" t="str">
        <f aca="false">IFERROR(INDEX('13F Data'!A:A,MATCH($B356,'13F Data'!A:A,0)),"No CUSIP Match")</f>
        <v>No CUSIP Match</v>
      </c>
      <c r="D356" s="71" t="str">
        <f aca="false">IFERROR(IF($B356=$C356,"Yes","No"),"No CUSIP Match")</f>
        <v>No</v>
      </c>
      <c r="E356" s="71"/>
      <c r="F356" s="71" t="str">
        <f aca="false">IFERROR(INDEX('13F Data'!C:C, MATCH($B356,'13F Data'!A:A,0)),"No CUSIP Match")</f>
        <v>No CUSIP Match</v>
      </c>
      <c r="G356" s="72" t="str">
        <f aca="false">IFERROR(INDEX('13F Data'!D:D,MATCH($B356,'13F Data'!A:A,0)),"No CUSIP Match")</f>
        <v>No CUSIP Match</v>
      </c>
      <c r="J356" s="73" t="n">
        <f aca="false">$V356</f>
        <v>20500000</v>
      </c>
      <c r="K356" s="71" t="str">
        <f aca="false">IFERROR(INDEX('EOD Data'!G:G, MATCH($A356, 'EOD Data'!B:B,0)), "No TKR Match")</f>
        <v>No TKR Match</v>
      </c>
      <c r="L356" s="71" t="str">
        <f aca="false">IFERROR(ROUND($J356*$K356,0),"Error")</f>
        <v>Error</v>
      </c>
      <c r="M356" s="71" t="str">
        <f aca="false">IFERROR(IF(AND($J356&lt;10000,$L356&lt;200000),"Yes","No"),"Error")</f>
        <v>No</v>
      </c>
      <c r="P356" s="42" t="str">
        <f aca="false">IF($N356="SOLE",$J356,"")</f>
        <v/>
      </c>
      <c r="Q356" s="42" t="str">
        <f aca="false">IFERROR(IF($N356="Sole",0,IF(AND($N356="OTR",$R356=0),$J356-$P356,IF(AND($N356="OTR", $R356&gt;0), $J356-$P356-$Q356, ""))),"")</f>
        <v/>
      </c>
      <c r="R356" s="42" t="str">
        <f aca="false">IF($P356=$J356, "0","")</f>
        <v/>
      </c>
      <c r="S356" s="42" t="str">
        <f aca="false">IF(OR(ISBLANK($B356),ISBLANK($C356), ISBLANK($E356), ISBLANK($F356), AND(ISBLANK($G356),ISBLANK($H356)), ISBLANK($I356), ISBLANK($L356), AND(ISBLANK($N356), ISBLANK($O356)), AND(ISBLANK($P356), ISBLANK($Q356), ISBLANK($R356))), "No", "Yes")</f>
        <v>No</v>
      </c>
      <c r="T356" s="42" t="str">
        <f aca="false">SUBSTITUTE($U356," ","")</f>
        <v>462222AE0</v>
      </c>
      <c r="U356" s="42" t="s">
        <v>486</v>
      </c>
      <c r="V356" s="39" t="n">
        <v>20500000</v>
      </c>
    </row>
    <row r="357" customFormat="false" ht="15" hidden="false" customHeight="false" outlineLevel="0" collapsed="false">
      <c r="B357" s="70" t="s">
        <v>488</v>
      </c>
      <c r="C357" s="71" t="str">
        <f aca="false">IFERROR(INDEX('13F Data'!A:A,MATCH($B357,'13F Data'!A:A,0)),"No CUSIP Match")</f>
        <v>No CUSIP Match</v>
      </c>
      <c r="D357" s="71" t="str">
        <f aca="false">IFERROR(IF($B357=$C357,"Yes","No"),"No CUSIP Match")</f>
        <v>No</v>
      </c>
      <c r="E357" s="71"/>
      <c r="F357" s="71" t="str">
        <f aca="false">IFERROR(INDEX('13F Data'!C:C, MATCH($B357,'13F Data'!A:A,0)),"No CUSIP Match")</f>
        <v>No CUSIP Match</v>
      </c>
      <c r="G357" s="72" t="str">
        <f aca="false">IFERROR(INDEX('13F Data'!D:D,MATCH($B357,'13F Data'!A:A,0)),"No CUSIP Match")</f>
        <v>No CUSIP Match</v>
      </c>
      <c r="J357" s="73" t="n">
        <f aca="false">$V357</f>
        <v>12000000</v>
      </c>
      <c r="K357" s="71" t="str">
        <f aca="false">IFERROR(INDEX('EOD Data'!G:G, MATCH($A357, 'EOD Data'!B:B,0)), "No TKR Match")</f>
        <v>No TKR Match</v>
      </c>
      <c r="L357" s="71" t="str">
        <f aca="false">IFERROR(ROUND($J357*$K357,0),"Error")</f>
        <v>Error</v>
      </c>
      <c r="M357" s="71" t="str">
        <f aca="false">IFERROR(IF(AND($J357&lt;10000,$L357&lt;200000),"Yes","No"),"Error")</f>
        <v>No</v>
      </c>
      <c r="P357" s="42" t="str">
        <f aca="false">IF($N357="SOLE",$J357,"")</f>
        <v/>
      </c>
      <c r="Q357" s="42" t="str">
        <f aca="false">IFERROR(IF($N357="Sole",0,IF(AND($N357="OTR",$R357=0),$J357-$P357,IF(AND($N357="OTR", $R357&gt;0), $J357-$P357-$Q357, ""))),"")</f>
        <v/>
      </c>
      <c r="R357" s="42" t="str">
        <f aca="false">IF($P357=$J357, "0","")</f>
        <v/>
      </c>
      <c r="S357" s="42" t="str">
        <f aca="false">IF(OR(ISBLANK($B357),ISBLANK($C357), ISBLANK($E357), ISBLANK($F357), AND(ISBLANK($G357),ISBLANK($H357)), ISBLANK($I357), ISBLANK($L357), AND(ISBLANK($N357), ISBLANK($O357)), AND(ISBLANK($P357), ISBLANK($Q357), ISBLANK($R357))), "No", "Yes")</f>
        <v>No</v>
      </c>
      <c r="T357" s="42" t="str">
        <f aca="false">SUBSTITUTE($U357," ","")</f>
        <v>46333XAH1</v>
      </c>
      <c r="U357" s="42" t="s">
        <v>488</v>
      </c>
      <c r="V357" s="39" t="n">
        <v>12000000</v>
      </c>
    </row>
    <row r="358" customFormat="false" ht="15" hidden="false" customHeight="false" outlineLevel="0" collapsed="false">
      <c r="B358" s="70" t="s">
        <v>490</v>
      </c>
      <c r="C358" s="71" t="str">
        <f aca="false">IFERROR(INDEX('13F Data'!A:A,MATCH($B358,'13F Data'!A:A,0)),"No CUSIP Match")</f>
        <v>No CUSIP Match</v>
      </c>
      <c r="D358" s="71" t="str">
        <f aca="false">IFERROR(IF($B358=$C358,"Yes","No"),"No CUSIP Match")</f>
        <v>No</v>
      </c>
      <c r="E358" s="71"/>
      <c r="F358" s="71" t="str">
        <f aca="false">IFERROR(INDEX('13F Data'!C:C, MATCH($B358,'13F Data'!A:A,0)),"No CUSIP Match")</f>
        <v>No CUSIP Match</v>
      </c>
      <c r="G358" s="72" t="str">
        <f aca="false">IFERROR(INDEX('13F Data'!D:D,MATCH($B358,'13F Data'!A:A,0)),"No CUSIP Match")</f>
        <v>No CUSIP Match</v>
      </c>
      <c r="J358" s="73" t="n">
        <f aca="false">$V358</f>
        <v>467000</v>
      </c>
      <c r="K358" s="71" t="str">
        <f aca="false">IFERROR(INDEX('EOD Data'!G:G, MATCH($A358, 'EOD Data'!B:B,0)), "No TKR Match")</f>
        <v>No TKR Match</v>
      </c>
      <c r="L358" s="71" t="str">
        <f aca="false">IFERROR(ROUND($J358*$K358,0),"Error")</f>
        <v>Error</v>
      </c>
      <c r="M358" s="71" t="str">
        <f aca="false">IFERROR(IF(AND($J358&lt;10000,$L358&lt;200000),"Yes","No"),"Error")</f>
        <v>No</v>
      </c>
      <c r="P358" s="42" t="str">
        <f aca="false">IF($N358="SOLE",$J358,"")</f>
        <v/>
      </c>
      <c r="Q358" s="42" t="str">
        <f aca="false">IFERROR(IF($N358="Sole",0,IF(AND($N358="OTR",$R358=0),$J358-$P358,IF(AND($N358="OTR", $R358&gt;0), $J358-$P358-$Q358, ""))),"")</f>
        <v/>
      </c>
      <c r="R358" s="42" t="str">
        <f aca="false">IF($P358=$J358, "0","")</f>
        <v/>
      </c>
      <c r="S358" s="42" t="str">
        <f aca="false">IF(OR(ISBLANK($B358),ISBLANK($C358), ISBLANK($E358), ISBLANK($F358), AND(ISBLANK($G358),ISBLANK($H358)), ISBLANK($I358), ISBLANK($L358), AND(ISBLANK($N358), ISBLANK($O358)), AND(ISBLANK($P358), ISBLANK($Q358), ISBLANK($R358))), "No", "Yes")</f>
        <v>No</v>
      </c>
      <c r="T358" s="42" t="str">
        <f aca="false">SUBSTITUTE($U358," ","")</f>
        <v>464287655</v>
      </c>
      <c r="U358" s="42" t="s">
        <v>490</v>
      </c>
      <c r="V358" s="39" t="n">
        <v>467000</v>
      </c>
    </row>
    <row r="359" customFormat="false" ht="15" hidden="false" customHeight="false" outlineLevel="0" collapsed="false">
      <c r="B359" s="70" t="s">
        <v>490</v>
      </c>
      <c r="C359" s="71" t="str">
        <f aca="false">IFERROR(INDEX('13F Data'!A:A,MATCH($B359,'13F Data'!A:A,0)),"No CUSIP Match")</f>
        <v>No CUSIP Match</v>
      </c>
      <c r="D359" s="71" t="str">
        <f aca="false">IFERROR(IF($B359=$C359,"Yes","No"),"No CUSIP Match")</f>
        <v>No</v>
      </c>
      <c r="E359" s="71"/>
      <c r="F359" s="71" t="str">
        <f aca="false">IFERROR(INDEX('13F Data'!C:C, MATCH($B359,'13F Data'!A:A,0)),"No CUSIP Match")</f>
        <v>No CUSIP Match</v>
      </c>
      <c r="G359" s="72" t="str">
        <f aca="false">IFERROR(INDEX('13F Data'!D:D,MATCH($B359,'13F Data'!A:A,0)),"No CUSIP Match")</f>
        <v>No CUSIP Match</v>
      </c>
      <c r="J359" s="73" t="n">
        <f aca="false">$V359</f>
        <v>233500</v>
      </c>
      <c r="K359" s="71" t="str">
        <f aca="false">IFERROR(INDEX('EOD Data'!G:G, MATCH($A359, 'EOD Data'!B:B,0)), "No TKR Match")</f>
        <v>No TKR Match</v>
      </c>
      <c r="L359" s="71" t="str">
        <f aca="false">IFERROR(ROUND($J359*$K359,0),"Error")</f>
        <v>Error</v>
      </c>
      <c r="M359" s="71" t="str">
        <f aca="false">IFERROR(IF(AND($J359&lt;10000,$L359&lt;200000),"Yes","No"),"Error")</f>
        <v>No</v>
      </c>
      <c r="P359" s="42" t="str">
        <f aca="false">IF($N359="SOLE",$J359,"")</f>
        <v/>
      </c>
      <c r="Q359" s="42" t="str">
        <f aca="false">IFERROR(IF($N359="Sole",0,IF(AND($N359="OTR",$R359=0),$J359-$P359,IF(AND($N359="OTR", $R359&gt;0), $J359-$P359-$Q359, ""))),"")</f>
        <v/>
      </c>
      <c r="R359" s="42" t="str">
        <f aca="false">IF($P359=$J359, "0","")</f>
        <v/>
      </c>
      <c r="S359" s="42" t="str">
        <f aca="false">IF(OR(ISBLANK($B359),ISBLANK($C359), ISBLANK($E359), ISBLANK($F359), AND(ISBLANK($G359),ISBLANK($H359)), ISBLANK($I359), ISBLANK($L359), AND(ISBLANK($N359), ISBLANK($O359)), AND(ISBLANK($P359), ISBLANK($Q359), ISBLANK($R359))), "No", "Yes")</f>
        <v>No</v>
      </c>
      <c r="T359" s="42" t="str">
        <f aca="false">SUBSTITUTE($U359," ","")</f>
        <v>464287655</v>
      </c>
      <c r="U359" s="42" t="s">
        <v>490</v>
      </c>
      <c r="V359" s="39" t="n">
        <v>233500</v>
      </c>
    </row>
    <row r="360" customFormat="false" ht="15" hidden="false" customHeight="false" outlineLevel="0" collapsed="false">
      <c r="B360" s="70" t="s">
        <v>492</v>
      </c>
      <c r="C360" s="71" t="str">
        <f aca="false">IFERROR(INDEX('13F Data'!A:A,MATCH($B360,'13F Data'!A:A,0)),"No CUSIP Match")</f>
        <v>No CUSIP Match</v>
      </c>
      <c r="D360" s="71" t="str">
        <f aca="false">IFERROR(IF($B360=$C360,"Yes","No"),"No CUSIP Match")</f>
        <v>No</v>
      </c>
      <c r="E360" s="71"/>
      <c r="F360" s="71" t="str">
        <f aca="false">IFERROR(INDEX('13F Data'!C:C, MATCH($B360,'13F Data'!A:A,0)),"No CUSIP Match")</f>
        <v>No CUSIP Match</v>
      </c>
      <c r="G360" s="72" t="str">
        <f aca="false">IFERROR(INDEX('13F Data'!D:D,MATCH($B360,'13F Data'!A:A,0)),"No CUSIP Match")</f>
        <v>No CUSIP Match</v>
      </c>
      <c r="J360" s="73" t="n">
        <f aca="false">$V360</f>
        <v>141791</v>
      </c>
      <c r="K360" s="71" t="str">
        <f aca="false">IFERROR(INDEX('EOD Data'!G:G, MATCH($A360, 'EOD Data'!B:B,0)), "No TKR Match")</f>
        <v>No TKR Match</v>
      </c>
      <c r="L360" s="71" t="str">
        <f aca="false">IFERROR(ROUND($J360*$K360,0),"Error")</f>
        <v>Error</v>
      </c>
      <c r="M360" s="71" t="str">
        <f aca="false">IFERROR(IF(AND($J360&lt;10000,$L360&lt;200000),"Yes","No"),"Error")</f>
        <v>No</v>
      </c>
      <c r="P360" s="42" t="str">
        <f aca="false">IF($N360="SOLE",$J360,"")</f>
        <v/>
      </c>
      <c r="Q360" s="42" t="str">
        <f aca="false">IFERROR(IF($N360="Sole",0,IF(AND($N360="OTR",$R360=0),$J360-$P360,IF(AND($N360="OTR", $R360&gt;0), $J360-$P360-$Q360, ""))),"")</f>
        <v/>
      </c>
      <c r="R360" s="42" t="str">
        <f aca="false">IF($P360=$J360, "0","")</f>
        <v/>
      </c>
      <c r="S360" s="42" t="str">
        <f aca="false">IF(OR(ISBLANK($B360),ISBLANK($C360), ISBLANK($E360), ISBLANK($F360), AND(ISBLANK($G360),ISBLANK($H360)), ISBLANK($I360), ISBLANK($L360), AND(ISBLANK($N360), ISBLANK($O360)), AND(ISBLANK($P360), ISBLANK($Q360), ISBLANK($R360))), "No", "Yes")</f>
        <v>No</v>
      </c>
      <c r="T360" s="42" t="str">
        <f aca="false">SUBSTITUTE($U360," ","")</f>
        <v>46565G104</v>
      </c>
      <c r="U360" s="42" t="s">
        <v>492</v>
      </c>
      <c r="V360" s="39" t="n">
        <v>141791</v>
      </c>
    </row>
    <row r="361" customFormat="false" ht="15" hidden="false" customHeight="false" outlineLevel="0" collapsed="false">
      <c r="B361" s="70" t="s">
        <v>494</v>
      </c>
      <c r="C361" s="71" t="str">
        <f aca="false">IFERROR(INDEX('13F Data'!A:A,MATCH($B361,'13F Data'!A:A,0)),"No CUSIP Match")</f>
        <v>No CUSIP Match</v>
      </c>
      <c r="D361" s="71" t="str">
        <f aca="false">IFERROR(IF($B361=$C361,"Yes","No"),"No CUSIP Match")</f>
        <v>No</v>
      </c>
      <c r="E361" s="71"/>
      <c r="F361" s="71" t="str">
        <f aca="false">IFERROR(INDEX('13F Data'!C:C, MATCH($B361,'13F Data'!A:A,0)),"No CUSIP Match")</f>
        <v>No CUSIP Match</v>
      </c>
      <c r="G361" s="72" t="str">
        <f aca="false">IFERROR(INDEX('13F Data'!D:D,MATCH($B361,'13F Data'!A:A,0)),"No CUSIP Match")</f>
        <v>No CUSIP Match</v>
      </c>
      <c r="J361" s="73" t="n">
        <f aca="false">$V361</f>
        <v>19635000</v>
      </c>
      <c r="K361" s="71" t="str">
        <f aca="false">IFERROR(INDEX('EOD Data'!G:G, MATCH($A361, 'EOD Data'!B:B,0)), "No TKR Match")</f>
        <v>No TKR Match</v>
      </c>
      <c r="L361" s="71" t="str">
        <f aca="false">IFERROR(ROUND($J361*$K361,0),"Error")</f>
        <v>Error</v>
      </c>
      <c r="M361" s="71" t="str">
        <f aca="false">IFERROR(IF(AND($J361&lt;10000,$L361&lt;200000),"Yes","No"),"Error")</f>
        <v>No</v>
      </c>
      <c r="P361" s="42" t="str">
        <f aca="false">IF($N361="SOLE",$J361,"")</f>
        <v/>
      </c>
      <c r="Q361" s="42" t="str">
        <f aca="false">IFERROR(IF($N361="Sole",0,IF(AND($N361="OTR",$R361=0),$J361-$P361,IF(AND($N361="OTR", $R361&gt;0), $J361-$P361-$Q361, ""))),"")</f>
        <v/>
      </c>
      <c r="R361" s="42" t="str">
        <f aca="false">IF($P361=$J361, "0","")</f>
        <v/>
      </c>
      <c r="S361" s="42" t="str">
        <f aca="false">IF(OR(ISBLANK($B361),ISBLANK($C361), ISBLANK($E361), ISBLANK($F361), AND(ISBLANK($G361),ISBLANK($H361)), ISBLANK($I361), ISBLANK($L361), AND(ISBLANK($N361), ISBLANK($O361)), AND(ISBLANK($P361), ISBLANK($Q361), ISBLANK($R361))), "No", "Yes")</f>
        <v>No</v>
      </c>
      <c r="T361" s="42" t="str">
        <f aca="false">SUBSTITUTE($U361," ","")</f>
        <v>465741AN6</v>
      </c>
      <c r="U361" s="42" t="s">
        <v>494</v>
      </c>
      <c r="V361" s="39" t="n">
        <v>19635000</v>
      </c>
    </row>
    <row r="362" customFormat="false" ht="15" hidden="false" customHeight="false" outlineLevel="0" collapsed="false">
      <c r="B362" s="70" t="s">
        <v>496</v>
      </c>
      <c r="C362" s="71" t="str">
        <f aca="false">IFERROR(INDEX('13F Data'!A:A,MATCH($B362,'13F Data'!A:A,0)),"No CUSIP Match")</f>
        <v>No CUSIP Match</v>
      </c>
      <c r="D362" s="71" t="str">
        <f aca="false">IFERROR(IF($B362=$C362,"Yes","No"),"No CUSIP Match")</f>
        <v>No</v>
      </c>
      <c r="E362" s="71"/>
      <c r="F362" s="71" t="str">
        <f aca="false">IFERROR(INDEX('13F Data'!C:C, MATCH($B362,'13F Data'!A:A,0)),"No CUSIP Match")</f>
        <v>No CUSIP Match</v>
      </c>
      <c r="G362" s="72" t="str">
        <f aca="false">IFERROR(INDEX('13F Data'!D:D,MATCH($B362,'13F Data'!A:A,0)),"No CUSIP Match")</f>
        <v>No CUSIP Match</v>
      </c>
      <c r="J362" s="73" t="n">
        <f aca="false">$V362</f>
        <v>64314</v>
      </c>
      <c r="K362" s="71" t="str">
        <f aca="false">IFERROR(INDEX('EOD Data'!G:G, MATCH($A362, 'EOD Data'!B:B,0)), "No TKR Match")</f>
        <v>No TKR Match</v>
      </c>
      <c r="L362" s="71" t="str">
        <f aca="false">IFERROR(ROUND($J362*$K362,0),"Error")</f>
        <v>Error</v>
      </c>
      <c r="M362" s="71" t="str">
        <f aca="false">IFERROR(IF(AND($J362&lt;10000,$L362&lt;200000),"Yes","No"),"Error")</f>
        <v>No</v>
      </c>
      <c r="P362" s="42" t="str">
        <f aca="false">IF($N362="SOLE",$J362,"")</f>
        <v/>
      </c>
      <c r="Q362" s="42" t="str">
        <f aca="false">IFERROR(IF($N362="Sole",0,IF(AND($N362="OTR",$R362=0),$J362-$P362,IF(AND($N362="OTR", $R362&gt;0), $J362-$P362-$Q362, ""))),"")</f>
        <v/>
      </c>
      <c r="R362" s="42" t="str">
        <f aca="false">IF($P362=$J362, "0","")</f>
        <v/>
      </c>
      <c r="S362" s="42" t="str">
        <f aca="false">IF(OR(ISBLANK($B362),ISBLANK($C362), ISBLANK($E362), ISBLANK($F362), AND(ISBLANK($G362),ISBLANK($H362)), ISBLANK($I362), ISBLANK($L362), AND(ISBLANK($N362), ISBLANK($O362)), AND(ISBLANK($P362), ISBLANK($Q362), ISBLANK($R362))), "No", "Yes")</f>
        <v>No</v>
      </c>
      <c r="T362" s="42" t="str">
        <f aca="false">SUBSTITUTE($U362," ","")</f>
        <v>47215P106</v>
      </c>
      <c r="U362" s="42" t="s">
        <v>496</v>
      </c>
      <c r="V362" s="39" t="n">
        <v>64314</v>
      </c>
    </row>
    <row r="363" customFormat="false" ht="15" hidden="false" customHeight="false" outlineLevel="0" collapsed="false">
      <c r="B363" s="70" t="s">
        <v>496</v>
      </c>
      <c r="C363" s="71" t="str">
        <f aca="false">IFERROR(INDEX('13F Data'!A:A,MATCH($B363,'13F Data'!A:A,0)),"No CUSIP Match")</f>
        <v>No CUSIP Match</v>
      </c>
      <c r="D363" s="71" t="str">
        <f aca="false">IFERROR(IF($B363=$C363,"Yes","No"),"No CUSIP Match")</f>
        <v>No</v>
      </c>
      <c r="E363" s="71"/>
      <c r="F363" s="71" t="str">
        <f aca="false">IFERROR(INDEX('13F Data'!C:C, MATCH($B363,'13F Data'!A:A,0)),"No CUSIP Match")</f>
        <v>No CUSIP Match</v>
      </c>
      <c r="G363" s="72" t="str">
        <f aca="false">IFERROR(INDEX('13F Data'!D:D,MATCH($B363,'13F Data'!A:A,0)),"No CUSIP Match")</f>
        <v>No CUSIP Match</v>
      </c>
      <c r="J363" s="73" t="n">
        <f aca="false">$V363</f>
        <v>85500</v>
      </c>
      <c r="K363" s="71" t="str">
        <f aca="false">IFERROR(INDEX('EOD Data'!G:G, MATCH($A363, 'EOD Data'!B:B,0)), "No TKR Match")</f>
        <v>No TKR Match</v>
      </c>
      <c r="L363" s="71" t="str">
        <f aca="false">IFERROR(ROUND($J363*$K363,0),"Error")</f>
        <v>Error</v>
      </c>
      <c r="M363" s="71" t="str">
        <f aca="false">IFERROR(IF(AND($J363&lt;10000,$L363&lt;200000),"Yes","No"),"Error")</f>
        <v>No</v>
      </c>
      <c r="P363" s="42" t="str">
        <f aca="false">IF($N363="SOLE",$J363,"")</f>
        <v/>
      </c>
      <c r="Q363" s="42" t="str">
        <f aca="false">IFERROR(IF($N363="Sole",0,IF(AND($N363="OTR",$R363=0),$J363-$P363,IF(AND($N363="OTR", $R363&gt;0), $J363-$P363-$Q363, ""))),"")</f>
        <v/>
      </c>
      <c r="R363" s="42" t="str">
        <f aca="false">IF($P363=$J363, "0","")</f>
        <v/>
      </c>
      <c r="S363" s="42" t="str">
        <f aca="false">IF(OR(ISBLANK($B363),ISBLANK($C363), ISBLANK($E363), ISBLANK($F363), AND(ISBLANK($G363),ISBLANK($H363)), ISBLANK($I363), ISBLANK($L363), AND(ISBLANK($N363), ISBLANK($O363)), AND(ISBLANK($P363), ISBLANK($Q363), ISBLANK($R363))), "No", "Yes")</f>
        <v>No</v>
      </c>
      <c r="T363" s="42" t="str">
        <f aca="false">SUBSTITUTE($U363," ","")</f>
        <v>47215P106</v>
      </c>
      <c r="U363" s="42" t="s">
        <v>496</v>
      </c>
      <c r="V363" s="39" t="n">
        <v>85500</v>
      </c>
    </row>
    <row r="364" customFormat="false" ht="15" hidden="false" customHeight="false" outlineLevel="0" collapsed="false">
      <c r="B364" s="70" t="s">
        <v>496</v>
      </c>
      <c r="C364" s="71" t="str">
        <f aca="false">IFERROR(INDEX('13F Data'!A:A,MATCH($B364,'13F Data'!A:A,0)),"No CUSIP Match")</f>
        <v>No CUSIP Match</v>
      </c>
      <c r="D364" s="71" t="str">
        <f aca="false">IFERROR(IF($B364=$C364,"Yes","No"),"No CUSIP Match")</f>
        <v>No</v>
      </c>
      <c r="E364" s="71"/>
      <c r="F364" s="71" t="str">
        <f aca="false">IFERROR(INDEX('13F Data'!C:C, MATCH($B364,'13F Data'!A:A,0)),"No CUSIP Match")</f>
        <v>No CUSIP Match</v>
      </c>
      <c r="G364" s="72" t="str">
        <f aca="false">IFERROR(INDEX('13F Data'!D:D,MATCH($B364,'13F Data'!A:A,0)),"No CUSIP Match")</f>
        <v>No CUSIP Match</v>
      </c>
      <c r="J364" s="73" t="n">
        <f aca="false">$V364</f>
        <v>85500</v>
      </c>
      <c r="K364" s="71" t="str">
        <f aca="false">IFERROR(INDEX('EOD Data'!G:G, MATCH($A364, 'EOD Data'!B:B,0)), "No TKR Match")</f>
        <v>No TKR Match</v>
      </c>
      <c r="L364" s="71" t="str">
        <f aca="false">IFERROR(ROUND($J364*$K364,0),"Error")</f>
        <v>Error</v>
      </c>
      <c r="M364" s="71" t="str">
        <f aca="false">IFERROR(IF(AND($J364&lt;10000,$L364&lt;200000),"Yes","No"),"Error")</f>
        <v>No</v>
      </c>
      <c r="P364" s="42" t="str">
        <f aca="false">IF($N364="SOLE",$J364,"")</f>
        <v/>
      </c>
      <c r="Q364" s="42" t="str">
        <f aca="false">IFERROR(IF($N364="Sole",0,IF(AND($N364="OTR",$R364=0),$J364-$P364,IF(AND($N364="OTR", $R364&gt;0), $J364-$P364-$Q364, ""))),"")</f>
        <v/>
      </c>
      <c r="R364" s="42" t="str">
        <f aca="false">IF($P364=$J364, "0","")</f>
        <v/>
      </c>
      <c r="S364" s="42" t="str">
        <f aca="false">IF(OR(ISBLANK($B364),ISBLANK($C364), ISBLANK($E364), ISBLANK($F364), AND(ISBLANK($G364),ISBLANK($H364)), ISBLANK($I364), ISBLANK($L364), AND(ISBLANK($N364), ISBLANK($O364)), AND(ISBLANK($P364), ISBLANK($Q364), ISBLANK($R364))), "No", "Yes")</f>
        <v>No</v>
      </c>
      <c r="T364" s="42" t="str">
        <f aca="false">SUBSTITUTE($U364," ","")</f>
        <v>47215P106</v>
      </c>
      <c r="U364" s="42" t="s">
        <v>496</v>
      </c>
      <c r="V364" s="39" t="n">
        <v>85500</v>
      </c>
    </row>
    <row r="365" customFormat="false" ht="15" hidden="false" customHeight="false" outlineLevel="0" collapsed="false">
      <c r="B365" s="70" t="s">
        <v>498</v>
      </c>
      <c r="C365" s="71" t="str">
        <f aca="false">IFERROR(INDEX('13F Data'!A:A,MATCH($B365,'13F Data'!A:A,0)),"No CUSIP Match")</f>
        <v>No CUSIP Match</v>
      </c>
      <c r="D365" s="71" t="str">
        <f aca="false">IFERROR(IF($B365=$C365,"Yes","No"),"No CUSIP Match")</f>
        <v>No</v>
      </c>
      <c r="E365" s="71"/>
      <c r="F365" s="71" t="str">
        <f aca="false">IFERROR(INDEX('13F Data'!C:C, MATCH($B365,'13F Data'!A:A,0)),"No CUSIP Match")</f>
        <v>No CUSIP Match</v>
      </c>
      <c r="G365" s="72" t="str">
        <f aca="false">IFERROR(INDEX('13F Data'!D:D,MATCH($B365,'13F Data'!A:A,0)),"No CUSIP Match")</f>
        <v>No CUSIP Match</v>
      </c>
      <c r="J365" s="73" t="n">
        <f aca="false">$V365</f>
        <v>24500</v>
      </c>
      <c r="K365" s="71" t="str">
        <f aca="false">IFERROR(INDEX('EOD Data'!G:G, MATCH($A365, 'EOD Data'!B:B,0)), "No TKR Match")</f>
        <v>No TKR Match</v>
      </c>
      <c r="L365" s="71" t="str">
        <f aca="false">IFERROR(ROUND($J365*$K365,0),"Error")</f>
        <v>Error</v>
      </c>
      <c r="M365" s="71" t="str">
        <f aca="false">IFERROR(IF(AND($J365&lt;10000,$L365&lt;200000),"Yes","No"),"Error")</f>
        <v>No</v>
      </c>
      <c r="P365" s="42" t="str">
        <f aca="false">IF($N365="SOLE",$J365,"")</f>
        <v/>
      </c>
      <c r="Q365" s="42" t="str">
        <f aca="false">IFERROR(IF($N365="Sole",0,IF(AND($N365="OTR",$R365=0),$J365-$P365,IF(AND($N365="OTR", $R365&gt;0), $J365-$P365-$Q365, ""))),"")</f>
        <v/>
      </c>
      <c r="R365" s="42" t="str">
        <f aca="false">IF($P365=$J365, "0","")</f>
        <v/>
      </c>
      <c r="S365" s="42" t="str">
        <f aca="false">IF(OR(ISBLANK($B365),ISBLANK($C365), ISBLANK($E365), ISBLANK($F365), AND(ISBLANK($G365),ISBLANK($H365)), ISBLANK($I365), ISBLANK($L365), AND(ISBLANK($N365), ISBLANK($O365)), AND(ISBLANK($P365), ISBLANK($Q365), ISBLANK($R365))), "No", "Yes")</f>
        <v>No</v>
      </c>
      <c r="T365" s="42" t="str">
        <f aca="false">SUBSTITUTE($U365," ","")</f>
        <v>478160104</v>
      </c>
      <c r="U365" s="42" t="s">
        <v>498</v>
      </c>
      <c r="V365" s="39" t="n">
        <v>24500</v>
      </c>
    </row>
    <row r="366" customFormat="false" ht="15" hidden="false" customHeight="false" outlineLevel="0" collapsed="false">
      <c r="B366" s="70" t="s">
        <v>498</v>
      </c>
      <c r="C366" s="71" t="str">
        <f aca="false">IFERROR(INDEX('13F Data'!A:A,MATCH($B366,'13F Data'!A:A,0)),"No CUSIP Match")</f>
        <v>No CUSIP Match</v>
      </c>
      <c r="D366" s="71" t="str">
        <f aca="false">IFERROR(IF($B366=$C366,"Yes","No"),"No CUSIP Match")</f>
        <v>No</v>
      </c>
      <c r="E366" s="71"/>
      <c r="F366" s="71" t="str">
        <f aca="false">IFERROR(INDEX('13F Data'!C:C, MATCH($B366,'13F Data'!A:A,0)),"No CUSIP Match")</f>
        <v>No CUSIP Match</v>
      </c>
      <c r="G366" s="72" t="str">
        <f aca="false">IFERROR(INDEX('13F Data'!D:D,MATCH($B366,'13F Data'!A:A,0)),"No CUSIP Match")</f>
        <v>No CUSIP Match</v>
      </c>
      <c r="J366" s="73" t="n">
        <f aca="false">$V366</f>
        <v>24500</v>
      </c>
      <c r="K366" s="71" t="str">
        <f aca="false">IFERROR(INDEX('EOD Data'!G:G, MATCH($A366, 'EOD Data'!B:B,0)), "No TKR Match")</f>
        <v>No TKR Match</v>
      </c>
      <c r="L366" s="71" t="str">
        <f aca="false">IFERROR(ROUND($J366*$K366,0),"Error")</f>
        <v>Error</v>
      </c>
      <c r="M366" s="71" t="str">
        <f aca="false">IFERROR(IF(AND($J366&lt;10000,$L366&lt;200000),"Yes","No"),"Error")</f>
        <v>No</v>
      </c>
      <c r="P366" s="42" t="str">
        <f aca="false">IF($N366="SOLE",$J366,"")</f>
        <v/>
      </c>
      <c r="Q366" s="42" t="str">
        <f aca="false">IFERROR(IF($N366="Sole",0,IF(AND($N366="OTR",$R366=0),$J366-$P366,IF(AND($N366="OTR", $R366&gt;0), $J366-$P366-$Q366, ""))),"")</f>
        <v/>
      </c>
      <c r="R366" s="42" t="str">
        <f aca="false">IF($P366=$J366, "0","")</f>
        <v/>
      </c>
      <c r="S366" s="42" t="str">
        <f aca="false">IF(OR(ISBLANK($B366),ISBLANK($C366), ISBLANK($E366), ISBLANK($F366), AND(ISBLANK($G366),ISBLANK($H366)), ISBLANK($I366), ISBLANK($L366), AND(ISBLANK($N366), ISBLANK($O366)), AND(ISBLANK($P366), ISBLANK($Q366), ISBLANK($R366))), "No", "Yes")</f>
        <v>No</v>
      </c>
      <c r="T366" s="42" t="str">
        <f aca="false">SUBSTITUTE($U366," ","")</f>
        <v>478160104</v>
      </c>
      <c r="U366" s="42" t="s">
        <v>498</v>
      </c>
      <c r="V366" s="39" t="n">
        <v>24500</v>
      </c>
    </row>
    <row r="367" customFormat="false" ht="15" hidden="false" customHeight="false" outlineLevel="0" collapsed="false">
      <c r="B367" s="70" t="s">
        <v>500</v>
      </c>
      <c r="C367" s="71" t="str">
        <f aca="false">IFERROR(INDEX('13F Data'!A:A,MATCH($B367,'13F Data'!A:A,0)),"No CUSIP Match")</f>
        <v>No CUSIP Match</v>
      </c>
      <c r="D367" s="71" t="str">
        <f aca="false">IFERROR(IF($B367=$C367,"Yes","No"),"No CUSIP Match")</f>
        <v>No</v>
      </c>
      <c r="E367" s="71"/>
      <c r="F367" s="71" t="str">
        <f aca="false">IFERROR(INDEX('13F Data'!C:C, MATCH($B367,'13F Data'!A:A,0)),"No CUSIP Match")</f>
        <v>No CUSIP Match</v>
      </c>
      <c r="G367" s="72" t="str">
        <f aca="false">IFERROR(INDEX('13F Data'!D:D,MATCH($B367,'13F Data'!A:A,0)),"No CUSIP Match")</f>
        <v>No CUSIP Match</v>
      </c>
      <c r="J367" s="73" t="n">
        <f aca="false">$V367</f>
        <v>20600</v>
      </c>
      <c r="K367" s="71" t="str">
        <f aca="false">IFERROR(INDEX('EOD Data'!G:G, MATCH($A367, 'EOD Data'!B:B,0)), "No TKR Match")</f>
        <v>No TKR Match</v>
      </c>
      <c r="L367" s="71" t="str">
        <f aca="false">IFERROR(ROUND($J367*$K367,0),"Error")</f>
        <v>Error</v>
      </c>
      <c r="M367" s="71" t="str">
        <f aca="false">IFERROR(IF(AND($J367&lt;10000,$L367&lt;200000),"Yes","No"),"Error")</f>
        <v>No</v>
      </c>
      <c r="P367" s="42" t="str">
        <f aca="false">IF($N367="SOLE",$J367,"")</f>
        <v/>
      </c>
      <c r="Q367" s="42" t="str">
        <f aca="false">IFERROR(IF($N367="Sole",0,IF(AND($N367="OTR",$R367=0),$J367-$P367,IF(AND($N367="OTR", $R367&gt;0), $J367-$P367-$Q367, ""))),"")</f>
        <v/>
      </c>
      <c r="R367" s="42" t="str">
        <f aca="false">IF($P367=$J367, "0","")</f>
        <v/>
      </c>
      <c r="S367" s="42" t="str">
        <f aca="false">IF(OR(ISBLANK($B367),ISBLANK($C367), ISBLANK($E367), ISBLANK($F367), AND(ISBLANK($G367),ISBLANK($H367)), ISBLANK($I367), ISBLANK($L367), AND(ISBLANK($N367), ISBLANK($O367)), AND(ISBLANK($P367), ISBLANK($Q367), ISBLANK($R367))), "No", "Yes")</f>
        <v>No</v>
      </c>
      <c r="T367" s="42" t="str">
        <f aca="false">SUBSTITUTE($U367," ","")</f>
        <v>46625H100</v>
      </c>
      <c r="U367" s="42" t="s">
        <v>500</v>
      </c>
      <c r="V367" s="39" t="n">
        <v>20600</v>
      </c>
    </row>
    <row r="368" customFormat="false" ht="15" hidden="false" customHeight="false" outlineLevel="0" collapsed="false">
      <c r="B368" s="70" t="s">
        <v>500</v>
      </c>
      <c r="C368" s="71" t="str">
        <f aca="false">IFERROR(INDEX('13F Data'!A:A,MATCH($B368,'13F Data'!A:A,0)),"No CUSIP Match")</f>
        <v>No CUSIP Match</v>
      </c>
      <c r="D368" s="71" t="str">
        <f aca="false">IFERROR(IF($B368=$C368,"Yes","No"),"No CUSIP Match")</f>
        <v>No</v>
      </c>
      <c r="E368" s="71"/>
      <c r="F368" s="71" t="str">
        <f aca="false">IFERROR(INDEX('13F Data'!C:C, MATCH($B368,'13F Data'!A:A,0)),"No CUSIP Match")</f>
        <v>No CUSIP Match</v>
      </c>
      <c r="G368" s="72" t="str">
        <f aca="false">IFERROR(INDEX('13F Data'!D:D,MATCH($B368,'13F Data'!A:A,0)),"No CUSIP Match")</f>
        <v>No CUSIP Match</v>
      </c>
      <c r="J368" s="73" t="n">
        <f aca="false">$V368</f>
        <v>20600</v>
      </c>
      <c r="K368" s="71" t="str">
        <f aca="false">IFERROR(INDEX('EOD Data'!G:G, MATCH($A368, 'EOD Data'!B:B,0)), "No TKR Match")</f>
        <v>No TKR Match</v>
      </c>
      <c r="L368" s="71" t="str">
        <f aca="false">IFERROR(ROUND($J368*$K368,0),"Error")</f>
        <v>Error</v>
      </c>
      <c r="M368" s="71" t="str">
        <f aca="false">IFERROR(IF(AND($J368&lt;10000,$L368&lt;200000),"Yes","No"),"Error")</f>
        <v>No</v>
      </c>
      <c r="P368" s="42" t="str">
        <f aca="false">IF($N368="SOLE",$J368,"")</f>
        <v/>
      </c>
      <c r="Q368" s="42" t="str">
        <f aca="false">IFERROR(IF($N368="Sole",0,IF(AND($N368="OTR",$R368=0),$J368-$P368,IF(AND($N368="OTR", $R368&gt;0), $J368-$P368-$Q368, ""))),"")</f>
        <v/>
      </c>
      <c r="R368" s="42" t="str">
        <f aca="false">IF($P368=$J368, "0","")</f>
        <v/>
      </c>
      <c r="S368" s="42" t="str">
        <f aca="false">IF(OR(ISBLANK($B368),ISBLANK($C368), ISBLANK($E368), ISBLANK($F368), AND(ISBLANK($G368),ISBLANK($H368)), ISBLANK($I368), ISBLANK($L368), AND(ISBLANK($N368), ISBLANK($O368)), AND(ISBLANK($P368), ISBLANK($Q368), ISBLANK($R368))), "No", "Yes")</f>
        <v>No</v>
      </c>
      <c r="T368" s="42" t="str">
        <f aca="false">SUBSTITUTE($U368," ","")</f>
        <v>46625H100</v>
      </c>
      <c r="U368" s="42" t="s">
        <v>500</v>
      </c>
      <c r="V368" s="39" t="n">
        <v>20600</v>
      </c>
    </row>
    <row r="369" customFormat="false" ht="15" hidden="false" customHeight="false" outlineLevel="0" collapsed="false">
      <c r="B369" s="70" t="s">
        <v>502</v>
      </c>
      <c r="C369" s="71" t="str">
        <f aca="false">IFERROR(INDEX('13F Data'!A:A,MATCH($B369,'13F Data'!A:A,0)),"No CUSIP Match")</f>
        <v>No CUSIP Match</v>
      </c>
      <c r="D369" s="71" t="str">
        <f aca="false">IFERROR(IF($B369=$C369,"Yes","No"),"No CUSIP Match")</f>
        <v>No</v>
      </c>
      <c r="E369" s="71"/>
      <c r="F369" s="71" t="str">
        <f aca="false">IFERROR(INDEX('13F Data'!C:C, MATCH($B369,'13F Data'!A:A,0)),"No CUSIP Match")</f>
        <v>No CUSIP Match</v>
      </c>
      <c r="G369" s="72" t="str">
        <f aca="false">IFERROR(INDEX('13F Data'!D:D,MATCH($B369,'13F Data'!A:A,0)),"No CUSIP Match")</f>
        <v>No CUSIP Match</v>
      </c>
      <c r="J369" s="73" t="n">
        <f aca="false">$V369</f>
        <v>580850</v>
      </c>
      <c r="K369" s="71" t="str">
        <f aca="false">IFERROR(INDEX('EOD Data'!G:G, MATCH($A369, 'EOD Data'!B:B,0)), "No TKR Match")</f>
        <v>No TKR Match</v>
      </c>
      <c r="L369" s="71" t="str">
        <f aca="false">IFERROR(ROUND($J369*$K369,0),"Error")</f>
        <v>Error</v>
      </c>
      <c r="M369" s="71" t="str">
        <f aca="false">IFERROR(IF(AND($J369&lt;10000,$L369&lt;200000),"Yes","No"),"Error")</f>
        <v>No</v>
      </c>
      <c r="P369" s="42" t="str">
        <f aca="false">IF($N369="SOLE",$J369,"")</f>
        <v/>
      </c>
      <c r="Q369" s="42" t="str">
        <f aca="false">IFERROR(IF($N369="Sole",0,IF(AND($N369="OTR",$R369=0),$J369-$P369,IF(AND($N369="OTR", $R369&gt;0), $J369-$P369-$Q369, ""))),"")</f>
        <v/>
      </c>
      <c r="R369" s="42" t="str">
        <f aca="false">IF($P369=$J369, "0","")</f>
        <v/>
      </c>
      <c r="S369" s="42" t="str">
        <f aca="false">IF(OR(ISBLANK($B369),ISBLANK($C369), ISBLANK($E369), ISBLANK($F369), AND(ISBLANK($G369),ISBLANK($H369)), ISBLANK($I369), ISBLANK($L369), AND(ISBLANK($N369), ISBLANK($O369)), AND(ISBLANK($P369), ISBLANK($Q369), ISBLANK($R369))), "No", "Yes")</f>
        <v>No</v>
      </c>
      <c r="T369" s="42" t="str">
        <f aca="false">SUBSTITUTE($U369," ","")</f>
        <v>49177J102</v>
      </c>
      <c r="U369" s="42" t="s">
        <v>502</v>
      </c>
      <c r="V369" s="39" t="n">
        <v>580850</v>
      </c>
    </row>
    <row r="370" customFormat="false" ht="15" hidden="false" customHeight="false" outlineLevel="0" collapsed="false">
      <c r="B370" s="70" t="s">
        <v>504</v>
      </c>
      <c r="C370" s="71" t="str">
        <f aca="false">IFERROR(INDEX('13F Data'!A:A,MATCH($B370,'13F Data'!A:A,0)),"No CUSIP Match")</f>
        <v>No CUSIP Match</v>
      </c>
      <c r="D370" s="71" t="str">
        <f aca="false">IFERROR(IF($B370=$C370,"Yes","No"),"No CUSIP Match")</f>
        <v>No</v>
      </c>
      <c r="E370" s="71"/>
      <c r="F370" s="71" t="str">
        <f aca="false">IFERROR(INDEX('13F Data'!C:C, MATCH($B370,'13F Data'!A:A,0)),"No CUSIP Match")</f>
        <v>No CUSIP Match</v>
      </c>
      <c r="G370" s="72" t="str">
        <f aca="false">IFERROR(INDEX('13F Data'!D:D,MATCH($B370,'13F Data'!A:A,0)),"No CUSIP Match")</f>
        <v>No CUSIP Match</v>
      </c>
      <c r="J370" s="73" t="n">
        <f aca="false">$V370</f>
        <v>161143</v>
      </c>
      <c r="K370" s="71" t="str">
        <f aca="false">IFERROR(INDEX('EOD Data'!G:G, MATCH($A370, 'EOD Data'!B:B,0)), "No TKR Match")</f>
        <v>No TKR Match</v>
      </c>
      <c r="L370" s="71" t="str">
        <f aca="false">IFERROR(ROUND($J370*$K370,0),"Error")</f>
        <v>Error</v>
      </c>
      <c r="M370" s="71" t="str">
        <f aca="false">IFERROR(IF(AND($J370&lt;10000,$L370&lt;200000),"Yes","No"),"Error")</f>
        <v>No</v>
      </c>
      <c r="P370" s="42" t="str">
        <f aca="false">IF($N370="SOLE",$J370,"")</f>
        <v/>
      </c>
      <c r="Q370" s="42" t="str">
        <f aca="false">IFERROR(IF($N370="Sole",0,IF(AND($N370="OTR",$R370=0),$J370-$P370,IF(AND($N370="OTR", $R370&gt;0), $J370-$P370-$Q370, ""))),"")</f>
        <v/>
      </c>
      <c r="R370" s="42" t="str">
        <f aca="false">IF($P370=$J370, "0","")</f>
        <v/>
      </c>
      <c r="S370" s="42" t="str">
        <f aca="false">IF(OR(ISBLANK($B370),ISBLANK($C370), ISBLANK($E370), ISBLANK($F370), AND(ISBLANK($G370),ISBLANK($H370)), ISBLANK($I370), ISBLANK($L370), AND(ISBLANK($N370), ISBLANK($O370)), AND(ISBLANK($P370), ISBLANK($Q370), ISBLANK($R370))), "No", "Yes")</f>
        <v>No</v>
      </c>
      <c r="T370" s="42" t="str">
        <f aca="false">SUBSTITUTE($U370," ","")</f>
        <v>497266106</v>
      </c>
      <c r="U370" s="42" t="s">
        <v>504</v>
      </c>
      <c r="V370" s="39" t="n">
        <v>161143</v>
      </c>
    </row>
    <row r="371" customFormat="false" ht="15" hidden="false" customHeight="false" outlineLevel="0" collapsed="false">
      <c r="B371" s="70" t="s">
        <v>506</v>
      </c>
      <c r="C371" s="71" t="str">
        <f aca="false">IFERROR(INDEX('13F Data'!A:A,MATCH($B371,'13F Data'!A:A,0)),"No CUSIP Match")</f>
        <v>No CUSIP Match</v>
      </c>
      <c r="D371" s="71" t="str">
        <f aca="false">IFERROR(IF($B371=$C371,"Yes","No"),"No CUSIP Match")</f>
        <v>No</v>
      </c>
      <c r="E371" s="71"/>
      <c r="F371" s="71" t="str">
        <f aca="false">IFERROR(INDEX('13F Data'!C:C, MATCH($B371,'13F Data'!A:A,0)),"No CUSIP Match")</f>
        <v>No CUSIP Match</v>
      </c>
      <c r="G371" s="72" t="str">
        <f aca="false">IFERROR(INDEX('13F Data'!D:D,MATCH($B371,'13F Data'!A:A,0)),"No CUSIP Match")</f>
        <v>No CUSIP Match</v>
      </c>
      <c r="J371" s="73" t="n">
        <f aca="false">$V371</f>
        <v>159</v>
      </c>
      <c r="K371" s="71" t="str">
        <f aca="false">IFERROR(INDEX('EOD Data'!G:G, MATCH($A371, 'EOD Data'!B:B,0)), "No TKR Match")</f>
        <v>No TKR Match</v>
      </c>
      <c r="L371" s="71" t="str">
        <f aca="false">IFERROR(ROUND($J371*$K371,0),"Error")</f>
        <v>Error</v>
      </c>
      <c r="M371" s="71" t="str">
        <f aca="false">IFERROR(IF(AND($J371&lt;10000,$L371&lt;200000),"Yes","No"),"Error")</f>
        <v>No</v>
      </c>
      <c r="P371" s="42" t="str">
        <f aca="false">IF($N371="SOLE",$J371,"")</f>
        <v/>
      </c>
      <c r="Q371" s="42" t="str">
        <f aca="false">IFERROR(IF($N371="Sole",0,IF(AND($N371="OTR",$R371=0),$J371-$P371,IF(AND($N371="OTR", $R371&gt;0), $J371-$P371-$Q371, ""))),"")</f>
        <v/>
      </c>
      <c r="R371" s="42" t="str">
        <f aca="false">IF($P371=$J371, "0","")</f>
        <v/>
      </c>
      <c r="S371" s="42" t="str">
        <f aca="false">IF(OR(ISBLANK($B371),ISBLANK($C371), ISBLANK($E371), ISBLANK($F371), AND(ISBLANK($G371),ISBLANK($H371)), ISBLANK($I371), ISBLANK($L371), AND(ISBLANK($N371), ISBLANK($O371)), AND(ISBLANK($P371), ISBLANK($Q371), ISBLANK($R371))), "No", "Yes")</f>
        <v>No</v>
      </c>
      <c r="T371" s="42" t="str">
        <f aca="false">SUBSTITUTE($U371," ","")</f>
        <v>482480100</v>
      </c>
      <c r="U371" s="42" t="s">
        <v>506</v>
      </c>
      <c r="V371" s="39" t="n">
        <v>159</v>
      </c>
    </row>
    <row r="372" customFormat="false" ht="15" hidden="false" customHeight="false" outlineLevel="0" collapsed="false">
      <c r="B372" s="70" t="s">
        <v>506</v>
      </c>
      <c r="C372" s="71" t="str">
        <f aca="false">IFERROR(INDEX('13F Data'!A:A,MATCH($B372,'13F Data'!A:A,0)),"No CUSIP Match")</f>
        <v>No CUSIP Match</v>
      </c>
      <c r="D372" s="71" t="str">
        <f aca="false">IFERROR(IF($B372=$C372,"Yes","No"),"No CUSIP Match")</f>
        <v>No</v>
      </c>
      <c r="E372" s="71"/>
      <c r="F372" s="71" t="str">
        <f aca="false">IFERROR(INDEX('13F Data'!C:C, MATCH($B372,'13F Data'!A:A,0)),"No CUSIP Match")</f>
        <v>No CUSIP Match</v>
      </c>
      <c r="G372" s="72" t="str">
        <f aca="false">IFERROR(INDEX('13F Data'!D:D,MATCH($B372,'13F Data'!A:A,0)),"No CUSIP Match")</f>
        <v>No CUSIP Match</v>
      </c>
      <c r="J372" s="73" t="n">
        <f aca="false">$V372</f>
        <v>5400</v>
      </c>
      <c r="K372" s="71" t="str">
        <f aca="false">IFERROR(INDEX('EOD Data'!G:G, MATCH($A372, 'EOD Data'!B:B,0)), "No TKR Match")</f>
        <v>No TKR Match</v>
      </c>
      <c r="L372" s="71" t="str">
        <f aca="false">IFERROR(ROUND($J372*$K372,0),"Error")</f>
        <v>Error</v>
      </c>
      <c r="M372" s="71" t="str">
        <f aca="false">IFERROR(IF(AND($J372&lt;10000,$L372&lt;200000),"Yes","No"),"Error")</f>
        <v>No</v>
      </c>
      <c r="P372" s="42" t="str">
        <f aca="false">IF($N372="SOLE",$J372,"")</f>
        <v/>
      </c>
      <c r="Q372" s="42" t="str">
        <f aca="false">IFERROR(IF($N372="Sole",0,IF(AND($N372="OTR",$R372=0),$J372-$P372,IF(AND($N372="OTR", $R372&gt;0), $J372-$P372-$Q372, ""))),"")</f>
        <v/>
      </c>
      <c r="R372" s="42" t="str">
        <f aca="false">IF($P372=$J372, "0","")</f>
        <v/>
      </c>
      <c r="S372" s="42" t="str">
        <f aca="false">IF(OR(ISBLANK($B372),ISBLANK($C372), ISBLANK($E372), ISBLANK($F372), AND(ISBLANK($G372),ISBLANK($H372)), ISBLANK($I372), ISBLANK($L372), AND(ISBLANK($N372), ISBLANK($O372)), AND(ISBLANK($P372), ISBLANK($Q372), ISBLANK($R372))), "No", "Yes")</f>
        <v>No</v>
      </c>
      <c r="T372" s="42" t="str">
        <f aca="false">SUBSTITUTE($U372," ","")</f>
        <v>482480100</v>
      </c>
      <c r="U372" s="42" t="s">
        <v>506</v>
      </c>
      <c r="V372" s="39" t="n">
        <v>5400</v>
      </c>
    </row>
    <row r="373" customFormat="false" ht="15" hidden="false" customHeight="false" outlineLevel="0" collapsed="false">
      <c r="B373" s="70" t="s">
        <v>506</v>
      </c>
      <c r="C373" s="71" t="str">
        <f aca="false">IFERROR(INDEX('13F Data'!A:A,MATCH($B373,'13F Data'!A:A,0)),"No CUSIP Match")</f>
        <v>No CUSIP Match</v>
      </c>
      <c r="D373" s="71" t="str">
        <f aca="false">IFERROR(IF($B373=$C373,"Yes","No"),"No CUSIP Match")</f>
        <v>No</v>
      </c>
      <c r="E373" s="71"/>
      <c r="F373" s="71" t="str">
        <f aca="false">IFERROR(INDEX('13F Data'!C:C, MATCH($B373,'13F Data'!A:A,0)),"No CUSIP Match")</f>
        <v>No CUSIP Match</v>
      </c>
      <c r="G373" s="72" t="str">
        <f aca="false">IFERROR(INDEX('13F Data'!D:D,MATCH($B373,'13F Data'!A:A,0)),"No CUSIP Match")</f>
        <v>No CUSIP Match</v>
      </c>
      <c r="J373" s="73" t="n">
        <f aca="false">$V373</f>
        <v>5400</v>
      </c>
      <c r="K373" s="71" t="str">
        <f aca="false">IFERROR(INDEX('EOD Data'!G:G, MATCH($A373, 'EOD Data'!B:B,0)), "No TKR Match")</f>
        <v>No TKR Match</v>
      </c>
      <c r="L373" s="71" t="str">
        <f aca="false">IFERROR(ROUND($J373*$K373,0),"Error")</f>
        <v>Error</v>
      </c>
      <c r="M373" s="71" t="str">
        <f aca="false">IFERROR(IF(AND($J373&lt;10000,$L373&lt;200000),"Yes","No"),"Error")</f>
        <v>No</v>
      </c>
      <c r="P373" s="42" t="str">
        <f aca="false">IF($N373="SOLE",$J373,"")</f>
        <v/>
      </c>
      <c r="Q373" s="42" t="str">
        <f aca="false">IFERROR(IF($N373="Sole",0,IF(AND($N373="OTR",$R373=0),$J373-$P373,IF(AND($N373="OTR", $R373&gt;0), $J373-$P373-$Q373, ""))),"")</f>
        <v/>
      </c>
      <c r="R373" s="42" t="str">
        <f aca="false">IF($P373=$J373, "0","")</f>
        <v/>
      </c>
      <c r="S373" s="42" t="str">
        <f aca="false">IF(OR(ISBLANK($B373),ISBLANK($C373), ISBLANK($E373), ISBLANK($F373), AND(ISBLANK($G373),ISBLANK($H373)), ISBLANK($I373), ISBLANK($L373), AND(ISBLANK($N373), ISBLANK($O373)), AND(ISBLANK($P373), ISBLANK($Q373), ISBLANK($R373))), "No", "Yes")</f>
        <v>No</v>
      </c>
      <c r="T373" s="42" t="str">
        <f aca="false">SUBSTITUTE($U373," ","")</f>
        <v>482480100</v>
      </c>
      <c r="U373" s="42" t="s">
        <v>506</v>
      </c>
      <c r="V373" s="39" t="n">
        <v>5400</v>
      </c>
    </row>
    <row r="374" customFormat="false" ht="15" hidden="false" customHeight="false" outlineLevel="0" collapsed="false">
      <c r="B374" s="70" t="s">
        <v>508</v>
      </c>
      <c r="C374" s="71" t="str">
        <f aca="false">IFERROR(INDEX('13F Data'!A:A,MATCH($B374,'13F Data'!A:A,0)),"No CUSIP Match")</f>
        <v>No CUSIP Match</v>
      </c>
      <c r="D374" s="71" t="str">
        <f aca="false">IFERROR(IF($B374=$C374,"Yes","No"),"No CUSIP Match")</f>
        <v>No</v>
      </c>
      <c r="E374" s="71"/>
      <c r="F374" s="71" t="str">
        <f aca="false">IFERROR(INDEX('13F Data'!C:C, MATCH($B374,'13F Data'!A:A,0)),"No CUSIP Match")</f>
        <v>No CUSIP Match</v>
      </c>
      <c r="G374" s="72" t="str">
        <f aca="false">IFERROR(INDEX('13F Data'!D:D,MATCH($B374,'13F Data'!A:A,0)),"No CUSIP Match")</f>
        <v>No CUSIP Match</v>
      </c>
      <c r="J374" s="73" t="n">
        <f aca="false">$V374</f>
        <v>4300</v>
      </c>
      <c r="K374" s="71" t="str">
        <f aca="false">IFERROR(INDEX('EOD Data'!G:G, MATCH($A374, 'EOD Data'!B:B,0)), "No TKR Match")</f>
        <v>No TKR Match</v>
      </c>
      <c r="L374" s="71" t="str">
        <f aca="false">IFERROR(ROUND($J374*$K374,0),"Error")</f>
        <v>Error</v>
      </c>
      <c r="M374" s="71" t="str">
        <f aca="false">IFERROR(IF(AND($J374&lt;10000,$L374&lt;200000),"Yes","No"),"Error")</f>
        <v>No</v>
      </c>
      <c r="P374" s="42" t="str">
        <f aca="false">IF($N374="SOLE",$J374,"")</f>
        <v/>
      </c>
      <c r="Q374" s="42" t="str">
        <f aca="false">IFERROR(IF($N374="Sole",0,IF(AND($N374="OTR",$R374=0),$J374-$P374,IF(AND($N374="OTR", $R374&gt;0), $J374-$P374-$Q374, ""))),"")</f>
        <v/>
      </c>
      <c r="R374" s="42" t="str">
        <f aca="false">IF($P374=$J374, "0","")</f>
        <v/>
      </c>
      <c r="S374" s="42" t="str">
        <f aca="false">IF(OR(ISBLANK($B374),ISBLANK($C374), ISBLANK($E374), ISBLANK($F374), AND(ISBLANK($G374),ISBLANK($H374)), ISBLANK($I374), ISBLANK($L374), AND(ISBLANK($N374), ISBLANK($O374)), AND(ISBLANK($P374), ISBLANK($Q374), ISBLANK($R374))), "No", "Yes")</f>
        <v>No</v>
      </c>
      <c r="T374" s="42" t="str">
        <f aca="false">SUBSTITUTE($U374," ","")</f>
        <v>512807108</v>
      </c>
      <c r="U374" s="42" t="s">
        <v>508</v>
      </c>
      <c r="V374" s="39" t="n">
        <v>4300</v>
      </c>
    </row>
    <row r="375" customFormat="false" ht="15" hidden="false" customHeight="false" outlineLevel="0" collapsed="false">
      <c r="B375" s="70" t="s">
        <v>508</v>
      </c>
      <c r="C375" s="71" t="str">
        <f aca="false">IFERROR(INDEX('13F Data'!A:A,MATCH($B375,'13F Data'!A:A,0)),"No CUSIP Match")</f>
        <v>No CUSIP Match</v>
      </c>
      <c r="D375" s="71" t="str">
        <f aca="false">IFERROR(IF($B375=$C375,"Yes","No"),"No CUSIP Match")</f>
        <v>No</v>
      </c>
      <c r="E375" s="71"/>
      <c r="F375" s="71" t="str">
        <f aca="false">IFERROR(INDEX('13F Data'!C:C, MATCH($B375,'13F Data'!A:A,0)),"No CUSIP Match")</f>
        <v>No CUSIP Match</v>
      </c>
      <c r="G375" s="72" t="str">
        <f aca="false">IFERROR(INDEX('13F Data'!D:D,MATCH($B375,'13F Data'!A:A,0)),"No CUSIP Match")</f>
        <v>No CUSIP Match</v>
      </c>
      <c r="J375" s="73" t="n">
        <f aca="false">$V375</f>
        <v>4300</v>
      </c>
      <c r="K375" s="71" t="str">
        <f aca="false">IFERROR(INDEX('EOD Data'!G:G, MATCH($A375, 'EOD Data'!B:B,0)), "No TKR Match")</f>
        <v>No TKR Match</v>
      </c>
      <c r="L375" s="71" t="str">
        <f aca="false">IFERROR(ROUND($J375*$K375,0),"Error")</f>
        <v>Error</v>
      </c>
      <c r="M375" s="71" t="str">
        <f aca="false">IFERROR(IF(AND($J375&lt;10000,$L375&lt;200000),"Yes","No"),"Error")</f>
        <v>No</v>
      </c>
      <c r="P375" s="42" t="str">
        <f aca="false">IF($N375="SOLE",$J375,"")</f>
        <v/>
      </c>
      <c r="Q375" s="42" t="str">
        <f aca="false">IFERROR(IF($N375="Sole",0,IF(AND($N375="OTR",$R375=0),$J375-$P375,IF(AND($N375="OTR", $R375&gt;0), $J375-$P375-$Q375, ""))),"")</f>
        <v/>
      </c>
      <c r="R375" s="42" t="str">
        <f aca="false">IF($P375=$J375, "0","")</f>
        <v/>
      </c>
      <c r="S375" s="42" t="str">
        <f aca="false">IF(OR(ISBLANK($B375),ISBLANK($C375), ISBLANK($E375), ISBLANK($F375), AND(ISBLANK($G375),ISBLANK($H375)), ISBLANK($I375), ISBLANK($L375), AND(ISBLANK($N375), ISBLANK($O375)), AND(ISBLANK($P375), ISBLANK($Q375), ISBLANK($R375))), "No", "Yes")</f>
        <v>No</v>
      </c>
      <c r="T375" s="42" t="str">
        <f aca="false">SUBSTITUTE($U375," ","")</f>
        <v>512807108</v>
      </c>
      <c r="U375" s="42" t="s">
        <v>508</v>
      </c>
      <c r="V375" s="39" t="n">
        <v>4300</v>
      </c>
    </row>
    <row r="376" customFormat="false" ht="15" hidden="false" customHeight="false" outlineLevel="0" collapsed="false">
      <c r="B376" s="70" t="s">
        <v>510</v>
      </c>
      <c r="C376" s="71" t="str">
        <f aca="false">IFERROR(INDEX('13F Data'!A:A,MATCH($B376,'13F Data'!A:A,0)),"No CUSIP Match")</f>
        <v>No CUSIP Match</v>
      </c>
      <c r="D376" s="71" t="str">
        <f aca="false">IFERROR(IF($B376=$C376,"Yes","No"),"No CUSIP Match")</f>
        <v>No</v>
      </c>
      <c r="E376" s="71"/>
      <c r="F376" s="71" t="str">
        <f aca="false">IFERROR(INDEX('13F Data'!C:C, MATCH($B376,'13F Data'!A:A,0)),"No CUSIP Match")</f>
        <v>No CUSIP Match</v>
      </c>
      <c r="G376" s="72" t="str">
        <f aca="false">IFERROR(INDEX('13F Data'!D:D,MATCH($B376,'13F Data'!A:A,0)),"No CUSIP Match")</f>
        <v>No CUSIP Match</v>
      </c>
      <c r="J376" s="73" t="n">
        <f aca="false">$V376</f>
        <v>40500000</v>
      </c>
      <c r="K376" s="71" t="str">
        <f aca="false">IFERROR(INDEX('EOD Data'!G:G, MATCH($A376, 'EOD Data'!B:B,0)), "No TKR Match")</f>
        <v>No TKR Match</v>
      </c>
      <c r="L376" s="71" t="str">
        <f aca="false">IFERROR(ROUND($J376*$K376,0),"Error")</f>
        <v>Error</v>
      </c>
      <c r="M376" s="71" t="str">
        <f aca="false">IFERROR(IF(AND($J376&lt;10000,$L376&lt;200000),"Yes","No"),"Error")</f>
        <v>No</v>
      </c>
      <c r="P376" s="42" t="str">
        <f aca="false">IF($N376="SOLE",$J376,"")</f>
        <v/>
      </c>
      <c r="Q376" s="42" t="str">
        <f aca="false">IFERROR(IF($N376="Sole",0,IF(AND($N376="OTR",$R376=0),$J376-$P376,IF(AND($N376="OTR", $R376&gt;0), $J376-$P376-$Q376, ""))),"")</f>
        <v/>
      </c>
      <c r="R376" s="42" t="str">
        <f aca="false">IF($P376=$J376, "0","")</f>
        <v/>
      </c>
      <c r="S376" s="42" t="str">
        <f aca="false">IF(OR(ISBLANK($B376),ISBLANK($C376), ISBLANK($E376), ISBLANK($F376), AND(ISBLANK($G376),ISBLANK($H376)), ISBLANK($I376), ISBLANK($L376), AND(ISBLANK($N376), ISBLANK($O376)), AND(ISBLANK($P376), ISBLANK($Q376), ISBLANK($R376))), "No", "Yes")</f>
        <v>No</v>
      </c>
      <c r="T376" s="42" t="str">
        <f aca="false">SUBSTITUTE($U376," ","")</f>
        <v>516544AB9</v>
      </c>
      <c r="U376" s="42" t="s">
        <v>510</v>
      </c>
      <c r="V376" s="39" t="n">
        <v>40500000</v>
      </c>
    </row>
    <row r="377" customFormat="false" ht="15" hidden="false" customHeight="false" outlineLevel="0" collapsed="false">
      <c r="B377" s="70" t="s">
        <v>512</v>
      </c>
      <c r="C377" s="71" t="str">
        <f aca="false">IFERROR(INDEX('13F Data'!A:A,MATCH($B377,'13F Data'!A:A,0)),"No CUSIP Match")</f>
        <v>No CUSIP Match</v>
      </c>
      <c r="D377" s="71" t="str">
        <f aca="false">IFERROR(IF($B377=$C377,"Yes","No"),"No CUSIP Match")</f>
        <v>No</v>
      </c>
      <c r="E377" s="71"/>
      <c r="F377" s="71" t="str">
        <f aca="false">IFERROR(INDEX('13F Data'!C:C, MATCH($B377,'13F Data'!A:A,0)),"No CUSIP Match")</f>
        <v>No CUSIP Match</v>
      </c>
      <c r="G377" s="72" t="str">
        <f aca="false">IFERROR(INDEX('13F Data'!D:D,MATCH($B377,'13F Data'!A:A,0)),"No CUSIP Match")</f>
        <v>No CUSIP Match</v>
      </c>
      <c r="J377" s="73" t="n">
        <f aca="false">$V377</f>
        <v>6586</v>
      </c>
      <c r="K377" s="71" t="str">
        <f aca="false">IFERROR(INDEX('EOD Data'!G:G, MATCH($A377, 'EOD Data'!B:B,0)), "No TKR Match")</f>
        <v>No TKR Match</v>
      </c>
      <c r="L377" s="71" t="str">
        <f aca="false">IFERROR(ROUND($J377*$K377,0),"Error")</f>
        <v>Error</v>
      </c>
      <c r="M377" s="71" t="str">
        <f aca="false">IFERROR(IF(AND($J377&lt;10000,$L377&lt;200000),"Yes","No"),"Error")</f>
        <v>No</v>
      </c>
      <c r="P377" s="42" t="str">
        <f aca="false">IF($N377="SOLE",$J377,"")</f>
        <v/>
      </c>
      <c r="Q377" s="42" t="str">
        <f aca="false">IFERROR(IF($N377="Sole",0,IF(AND($N377="OTR",$R377=0),$J377-$P377,IF(AND($N377="OTR", $R377&gt;0), $J377-$P377-$Q377, ""))),"")</f>
        <v/>
      </c>
      <c r="R377" s="42" t="str">
        <f aca="false">IF($P377=$J377, "0","")</f>
        <v/>
      </c>
      <c r="S377" s="42" t="str">
        <f aca="false">IF(OR(ISBLANK($B377),ISBLANK($C377), ISBLANK($E377), ISBLANK($F377), AND(ISBLANK($G377),ISBLANK($H377)), ISBLANK($I377), ISBLANK($L377), AND(ISBLANK($N377), ISBLANK($O377)), AND(ISBLANK($P377), ISBLANK($Q377), ISBLANK($R377))), "No", "Yes")</f>
        <v>No</v>
      </c>
      <c r="T377" s="42" t="str">
        <f aca="false">SUBSTITUTE($U377," ","")</f>
        <v>517834107</v>
      </c>
      <c r="U377" s="42" t="s">
        <v>512</v>
      </c>
      <c r="V377" s="39" t="n">
        <v>6586</v>
      </c>
    </row>
    <row r="378" customFormat="false" ht="15" hidden="false" customHeight="false" outlineLevel="0" collapsed="false">
      <c r="B378" s="70" t="s">
        <v>512</v>
      </c>
      <c r="C378" s="71" t="str">
        <f aca="false">IFERROR(INDEX('13F Data'!A:A,MATCH($B378,'13F Data'!A:A,0)),"No CUSIP Match")</f>
        <v>No CUSIP Match</v>
      </c>
      <c r="D378" s="71" t="str">
        <f aca="false">IFERROR(IF($B378=$C378,"Yes","No"),"No CUSIP Match")</f>
        <v>No</v>
      </c>
      <c r="E378" s="71"/>
      <c r="F378" s="71" t="str">
        <f aca="false">IFERROR(INDEX('13F Data'!C:C, MATCH($B378,'13F Data'!A:A,0)),"No CUSIP Match")</f>
        <v>No CUSIP Match</v>
      </c>
      <c r="G378" s="72" t="str">
        <f aca="false">IFERROR(INDEX('13F Data'!D:D,MATCH($B378,'13F Data'!A:A,0)),"No CUSIP Match")</f>
        <v>No CUSIP Match</v>
      </c>
      <c r="J378" s="73" t="n">
        <f aca="false">$V378</f>
        <v>8100</v>
      </c>
      <c r="K378" s="71" t="str">
        <f aca="false">IFERROR(INDEX('EOD Data'!G:G, MATCH($A378, 'EOD Data'!B:B,0)), "No TKR Match")</f>
        <v>No TKR Match</v>
      </c>
      <c r="L378" s="71" t="str">
        <f aca="false">IFERROR(ROUND($J378*$K378,0),"Error")</f>
        <v>Error</v>
      </c>
      <c r="M378" s="71" t="str">
        <f aca="false">IFERROR(IF(AND($J378&lt;10000,$L378&lt;200000),"Yes","No"),"Error")</f>
        <v>No</v>
      </c>
      <c r="P378" s="42" t="str">
        <f aca="false">IF($N378="SOLE",$J378,"")</f>
        <v/>
      </c>
      <c r="Q378" s="42" t="str">
        <f aca="false">IFERROR(IF($N378="Sole",0,IF(AND($N378="OTR",$R378=0),$J378-$P378,IF(AND($N378="OTR", $R378&gt;0), $J378-$P378-$Q378, ""))),"")</f>
        <v/>
      </c>
      <c r="R378" s="42" t="str">
        <f aca="false">IF($P378=$J378, "0","")</f>
        <v/>
      </c>
      <c r="S378" s="42" t="str">
        <f aca="false">IF(OR(ISBLANK($B378),ISBLANK($C378), ISBLANK($E378), ISBLANK($F378), AND(ISBLANK($G378),ISBLANK($H378)), ISBLANK($I378), ISBLANK($L378), AND(ISBLANK($N378), ISBLANK($O378)), AND(ISBLANK($P378), ISBLANK($Q378), ISBLANK($R378))), "No", "Yes")</f>
        <v>No</v>
      </c>
      <c r="T378" s="42" t="str">
        <f aca="false">SUBSTITUTE($U378," ","")</f>
        <v>517834107</v>
      </c>
      <c r="U378" s="42" t="s">
        <v>512</v>
      </c>
      <c r="V378" s="39" t="n">
        <v>8100</v>
      </c>
    </row>
    <row r="379" customFormat="false" ht="15" hidden="false" customHeight="false" outlineLevel="0" collapsed="false">
      <c r="B379" s="70" t="s">
        <v>512</v>
      </c>
      <c r="C379" s="71" t="str">
        <f aca="false">IFERROR(INDEX('13F Data'!A:A,MATCH($B379,'13F Data'!A:A,0)),"No CUSIP Match")</f>
        <v>No CUSIP Match</v>
      </c>
      <c r="D379" s="71" t="str">
        <f aca="false">IFERROR(IF($B379=$C379,"Yes","No"),"No CUSIP Match")</f>
        <v>No</v>
      </c>
      <c r="E379" s="71"/>
      <c r="F379" s="71" t="str">
        <f aca="false">IFERROR(INDEX('13F Data'!C:C, MATCH($B379,'13F Data'!A:A,0)),"No CUSIP Match")</f>
        <v>No CUSIP Match</v>
      </c>
      <c r="G379" s="72" t="str">
        <f aca="false">IFERROR(INDEX('13F Data'!D:D,MATCH($B379,'13F Data'!A:A,0)),"No CUSIP Match")</f>
        <v>No CUSIP Match</v>
      </c>
      <c r="J379" s="73" t="n">
        <f aca="false">$V379</f>
        <v>8100</v>
      </c>
      <c r="K379" s="71" t="str">
        <f aca="false">IFERROR(INDEX('EOD Data'!G:G, MATCH($A379, 'EOD Data'!B:B,0)), "No TKR Match")</f>
        <v>No TKR Match</v>
      </c>
      <c r="L379" s="71" t="str">
        <f aca="false">IFERROR(ROUND($J379*$K379,0),"Error")</f>
        <v>Error</v>
      </c>
      <c r="M379" s="71" t="str">
        <f aca="false">IFERROR(IF(AND($J379&lt;10000,$L379&lt;200000),"Yes","No"),"Error")</f>
        <v>No</v>
      </c>
      <c r="P379" s="42" t="str">
        <f aca="false">IF($N379="SOLE",$J379,"")</f>
        <v/>
      </c>
      <c r="Q379" s="42" t="str">
        <f aca="false">IFERROR(IF($N379="Sole",0,IF(AND($N379="OTR",$R379=0),$J379-$P379,IF(AND($N379="OTR", $R379&gt;0), $J379-$P379-$Q379, ""))),"")</f>
        <v/>
      </c>
      <c r="R379" s="42" t="str">
        <f aca="false">IF($P379=$J379, "0","")</f>
        <v/>
      </c>
      <c r="S379" s="42" t="str">
        <f aca="false">IF(OR(ISBLANK($B379),ISBLANK($C379), ISBLANK($E379), ISBLANK($F379), AND(ISBLANK($G379),ISBLANK($H379)), ISBLANK($I379), ISBLANK($L379), AND(ISBLANK($N379), ISBLANK($O379)), AND(ISBLANK($P379), ISBLANK($Q379), ISBLANK($R379))), "No", "Yes")</f>
        <v>No</v>
      </c>
      <c r="T379" s="42" t="str">
        <f aca="false">SUBSTITUTE($U379," ","")</f>
        <v>517834107</v>
      </c>
      <c r="U379" s="42" t="s">
        <v>512</v>
      </c>
      <c r="V379" s="39" t="n">
        <v>8100</v>
      </c>
    </row>
    <row r="380" customFormat="false" ht="15" hidden="false" customHeight="false" outlineLevel="0" collapsed="false">
      <c r="B380" s="70" t="s">
        <v>514</v>
      </c>
      <c r="C380" s="71" t="str">
        <f aca="false">IFERROR(INDEX('13F Data'!A:A,MATCH($B380,'13F Data'!A:A,0)),"No CUSIP Match")</f>
        <v>No CUSIP Match</v>
      </c>
      <c r="D380" s="71" t="str">
        <f aca="false">IFERROR(IF($B380=$C380,"Yes","No"),"No CUSIP Match")</f>
        <v>No</v>
      </c>
      <c r="E380" s="71"/>
      <c r="F380" s="71" t="str">
        <f aca="false">IFERROR(INDEX('13F Data'!C:C, MATCH($B380,'13F Data'!A:A,0)),"No CUSIP Match")</f>
        <v>No CUSIP Match</v>
      </c>
      <c r="G380" s="72" t="str">
        <f aca="false">IFERROR(INDEX('13F Data'!D:D,MATCH($B380,'13F Data'!A:A,0)),"No CUSIP Match")</f>
        <v>No CUSIP Match</v>
      </c>
      <c r="J380" s="73" t="n">
        <f aca="false">$V380</f>
        <v>3500</v>
      </c>
      <c r="K380" s="71" t="str">
        <f aca="false">IFERROR(INDEX('EOD Data'!G:G, MATCH($A380, 'EOD Data'!B:B,0)), "No TKR Match")</f>
        <v>No TKR Match</v>
      </c>
      <c r="L380" s="71" t="str">
        <f aca="false">IFERROR(ROUND($J380*$K380,0),"Error")</f>
        <v>Error</v>
      </c>
      <c r="M380" s="71" t="str">
        <f aca="false">IFERROR(IF(AND($J380&lt;10000,$L380&lt;200000),"Yes","No"),"Error")</f>
        <v>No</v>
      </c>
      <c r="P380" s="42" t="str">
        <f aca="false">IF($N380="SOLE",$J380,"")</f>
        <v/>
      </c>
      <c r="Q380" s="42" t="str">
        <f aca="false">IFERROR(IF($N380="Sole",0,IF(AND($N380="OTR",$R380=0),$J380-$P380,IF(AND($N380="OTR", $R380&gt;0), $J380-$P380-$Q380, ""))),"")</f>
        <v/>
      </c>
      <c r="R380" s="42" t="str">
        <f aca="false">IF($P380=$J380, "0","")</f>
        <v/>
      </c>
      <c r="S380" s="42" t="str">
        <f aca="false">IF(OR(ISBLANK($B380),ISBLANK($C380), ISBLANK($E380), ISBLANK($F380), AND(ISBLANK($G380),ISBLANK($H380)), ISBLANK($I380), ISBLANK($L380), AND(ISBLANK($N380), ISBLANK($O380)), AND(ISBLANK($P380), ISBLANK($Q380), ISBLANK($R380))), "No", "Yes")</f>
        <v>No</v>
      </c>
      <c r="T380" s="42" t="str">
        <f aca="false">SUBSTITUTE($U380," ","")</f>
        <v>526057104</v>
      </c>
      <c r="U380" s="42" t="s">
        <v>514</v>
      </c>
      <c r="V380" s="39" t="n">
        <v>3500</v>
      </c>
    </row>
    <row r="381" customFormat="false" ht="15" hidden="false" customHeight="false" outlineLevel="0" collapsed="false">
      <c r="B381" s="70" t="s">
        <v>514</v>
      </c>
      <c r="C381" s="71" t="str">
        <f aca="false">IFERROR(INDEX('13F Data'!A:A,MATCH($B381,'13F Data'!A:A,0)),"No CUSIP Match")</f>
        <v>No CUSIP Match</v>
      </c>
      <c r="D381" s="71" t="str">
        <f aca="false">IFERROR(IF($B381=$C381,"Yes","No"),"No CUSIP Match")</f>
        <v>No</v>
      </c>
      <c r="E381" s="71"/>
      <c r="F381" s="71" t="str">
        <f aca="false">IFERROR(INDEX('13F Data'!C:C, MATCH($B381,'13F Data'!A:A,0)),"No CUSIP Match")</f>
        <v>No CUSIP Match</v>
      </c>
      <c r="G381" s="72" t="str">
        <f aca="false">IFERROR(INDEX('13F Data'!D:D,MATCH($B381,'13F Data'!A:A,0)),"No CUSIP Match")</f>
        <v>No CUSIP Match</v>
      </c>
      <c r="J381" s="73" t="n">
        <f aca="false">$V381</f>
        <v>3500</v>
      </c>
      <c r="K381" s="71" t="str">
        <f aca="false">IFERROR(INDEX('EOD Data'!G:G, MATCH($A381, 'EOD Data'!B:B,0)), "No TKR Match")</f>
        <v>No TKR Match</v>
      </c>
      <c r="L381" s="71" t="str">
        <f aca="false">IFERROR(ROUND($J381*$K381,0),"Error")</f>
        <v>Error</v>
      </c>
      <c r="M381" s="71" t="str">
        <f aca="false">IFERROR(IF(AND($J381&lt;10000,$L381&lt;200000),"Yes","No"),"Error")</f>
        <v>No</v>
      </c>
      <c r="P381" s="42" t="str">
        <f aca="false">IF($N381="SOLE",$J381,"")</f>
        <v/>
      </c>
      <c r="Q381" s="42" t="str">
        <f aca="false">IFERROR(IF($N381="Sole",0,IF(AND($N381="OTR",$R381=0),$J381-$P381,IF(AND($N381="OTR", $R381&gt;0), $J381-$P381-$Q381, ""))),"")</f>
        <v/>
      </c>
      <c r="R381" s="42" t="str">
        <f aca="false">IF($P381=$J381, "0","")</f>
        <v/>
      </c>
      <c r="S381" s="42" t="str">
        <f aca="false">IF(OR(ISBLANK($B381),ISBLANK($C381), ISBLANK($E381), ISBLANK($F381), AND(ISBLANK($G381),ISBLANK($H381)), ISBLANK($I381), ISBLANK($L381), AND(ISBLANK($N381), ISBLANK($O381)), AND(ISBLANK($P381), ISBLANK($Q381), ISBLANK($R381))), "No", "Yes")</f>
        <v>No</v>
      </c>
      <c r="T381" s="42" t="str">
        <f aca="false">SUBSTITUTE($U381," ","")</f>
        <v>526057104</v>
      </c>
      <c r="U381" s="42" t="s">
        <v>514</v>
      </c>
      <c r="V381" s="39" t="n">
        <v>3500</v>
      </c>
    </row>
    <row r="382" customFormat="false" ht="15" hidden="false" customHeight="false" outlineLevel="0" collapsed="false">
      <c r="B382" s="70" t="s">
        <v>516</v>
      </c>
      <c r="C382" s="71" t="str">
        <f aca="false">IFERROR(INDEX('13F Data'!A:A,MATCH($B382,'13F Data'!A:A,0)),"No CUSIP Match")</f>
        <v>No CUSIP Match</v>
      </c>
      <c r="D382" s="71" t="str">
        <f aca="false">IFERROR(IF($B382=$C382,"Yes","No"),"No CUSIP Match")</f>
        <v>No</v>
      </c>
      <c r="E382" s="71"/>
      <c r="F382" s="71" t="str">
        <f aca="false">IFERROR(INDEX('13F Data'!C:C, MATCH($B382,'13F Data'!A:A,0)),"No CUSIP Match")</f>
        <v>No CUSIP Match</v>
      </c>
      <c r="G382" s="72" t="str">
        <f aca="false">IFERROR(INDEX('13F Data'!D:D,MATCH($B382,'13F Data'!A:A,0)),"No CUSIP Match")</f>
        <v>No CUSIP Match</v>
      </c>
      <c r="J382" s="73" t="n">
        <f aca="false">$V382</f>
        <v>454</v>
      </c>
      <c r="K382" s="71" t="str">
        <f aca="false">IFERROR(INDEX('EOD Data'!G:G, MATCH($A382, 'EOD Data'!B:B,0)), "No TKR Match")</f>
        <v>No TKR Match</v>
      </c>
      <c r="L382" s="71" t="str">
        <f aca="false">IFERROR(ROUND($J382*$K382,0),"Error")</f>
        <v>Error</v>
      </c>
      <c r="M382" s="71" t="str">
        <f aca="false">IFERROR(IF(AND($J382&lt;10000,$L382&lt;200000),"Yes","No"),"Error")</f>
        <v>No</v>
      </c>
      <c r="P382" s="42" t="str">
        <f aca="false">IF($N382="SOLE",$J382,"")</f>
        <v/>
      </c>
      <c r="Q382" s="42" t="str">
        <f aca="false">IFERROR(IF($N382="Sole",0,IF(AND($N382="OTR",$R382=0),$J382-$P382,IF(AND($N382="OTR", $R382&gt;0), $J382-$P382-$Q382, ""))),"")</f>
        <v/>
      </c>
      <c r="R382" s="42" t="str">
        <f aca="false">IF($P382=$J382, "0","")</f>
        <v/>
      </c>
      <c r="S382" s="42" t="str">
        <f aca="false">IF(OR(ISBLANK($B382),ISBLANK($C382), ISBLANK($E382), ISBLANK($F382), AND(ISBLANK($G382),ISBLANK($H382)), ISBLANK($I382), ISBLANK($L382), AND(ISBLANK($N382), ISBLANK($O382)), AND(ISBLANK($P382), ISBLANK($Q382), ISBLANK($R382))), "No", "Yes")</f>
        <v>No</v>
      </c>
      <c r="T382" s="42" t="str">
        <f aca="false">SUBSTITUTE($U382," ","")</f>
        <v>526107107</v>
      </c>
      <c r="U382" s="42" t="s">
        <v>516</v>
      </c>
      <c r="V382" s="39" t="n">
        <v>454</v>
      </c>
    </row>
    <row r="383" customFormat="false" ht="15" hidden="false" customHeight="false" outlineLevel="0" collapsed="false">
      <c r="B383" s="70" t="s">
        <v>518</v>
      </c>
      <c r="C383" s="71" t="str">
        <f aca="false">IFERROR(INDEX('13F Data'!A:A,MATCH($B383,'13F Data'!A:A,0)),"No CUSIP Match")</f>
        <v>No CUSIP Match</v>
      </c>
      <c r="D383" s="71" t="str">
        <f aca="false">IFERROR(IF($B383=$C383,"Yes","No"),"No CUSIP Match")</f>
        <v>No</v>
      </c>
      <c r="E383" s="71"/>
      <c r="F383" s="71" t="str">
        <f aca="false">IFERROR(INDEX('13F Data'!C:C, MATCH($B383,'13F Data'!A:A,0)),"No CUSIP Match")</f>
        <v>No CUSIP Match</v>
      </c>
      <c r="G383" s="72" t="str">
        <f aca="false">IFERROR(INDEX('13F Data'!D:D,MATCH($B383,'13F Data'!A:A,0)),"No CUSIP Match")</f>
        <v>No CUSIP Match</v>
      </c>
      <c r="J383" s="73" t="n">
        <f aca="false">$V383</f>
        <v>64208</v>
      </c>
      <c r="K383" s="71" t="str">
        <f aca="false">IFERROR(INDEX('EOD Data'!G:G, MATCH($A383, 'EOD Data'!B:B,0)), "No TKR Match")</f>
        <v>No TKR Match</v>
      </c>
      <c r="L383" s="71" t="str">
        <f aca="false">IFERROR(ROUND($J383*$K383,0),"Error")</f>
        <v>Error</v>
      </c>
      <c r="M383" s="71" t="str">
        <f aca="false">IFERROR(IF(AND($J383&lt;10000,$L383&lt;200000),"Yes","No"),"Error")</f>
        <v>No</v>
      </c>
      <c r="P383" s="42" t="str">
        <f aca="false">IF($N383="SOLE",$J383,"")</f>
        <v/>
      </c>
      <c r="Q383" s="42" t="str">
        <f aca="false">IFERROR(IF($N383="Sole",0,IF(AND($N383="OTR",$R383=0),$J383-$P383,IF(AND($N383="OTR", $R383&gt;0), $J383-$P383-$Q383, ""))),"")</f>
        <v/>
      </c>
      <c r="R383" s="42" t="str">
        <f aca="false">IF($P383=$J383, "0","")</f>
        <v/>
      </c>
      <c r="S383" s="42" t="str">
        <f aca="false">IF(OR(ISBLANK($B383),ISBLANK($C383), ISBLANK($E383), ISBLANK($F383), AND(ISBLANK($G383),ISBLANK($H383)), ISBLANK($I383), ISBLANK($L383), AND(ISBLANK($N383), ISBLANK($O383)), AND(ISBLANK($P383), ISBLANK($Q383), ISBLANK($R383))), "No", "Yes")</f>
        <v>No</v>
      </c>
      <c r="T383" s="42" t="str">
        <f aca="false">SUBSTITUTE($U383," ","")</f>
        <v>531229789</v>
      </c>
      <c r="U383" s="42" t="s">
        <v>518</v>
      </c>
      <c r="V383" s="39" t="n">
        <v>64208</v>
      </c>
    </row>
    <row r="384" customFormat="false" ht="15" hidden="false" customHeight="false" outlineLevel="0" collapsed="false">
      <c r="B384" s="70" t="s">
        <v>520</v>
      </c>
      <c r="C384" s="71" t="str">
        <f aca="false">IFERROR(INDEX('13F Data'!A:A,MATCH($B384,'13F Data'!A:A,0)),"No CUSIP Match")</f>
        <v>No CUSIP Match</v>
      </c>
      <c r="D384" s="71" t="str">
        <f aca="false">IFERROR(IF($B384=$C384,"Yes","No"),"No CUSIP Match")</f>
        <v>No</v>
      </c>
      <c r="E384" s="71"/>
      <c r="F384" s="71" t="str">
        <f aca="false">IFERROR(INDEX('13F Data'!C:C, MATCH($B384,'13F Data'!A:A,0)),"No CUSIP Match")</f>
        <v>No CUSIP Match</v>
      </c>
      <c r="G384" s="72" t="str">
        <f aca="false">IFERROR(INDEX('13F Data'!D:D,MATCH($B384,'13F Data'!A:A,0)),"No CUSIP Match")</f>
        <v>No CUSIP Match</v>
      </c>
      <c r="J384" s="73" t="n">
        <f aca="false">$V384</f>
        <v>5800</v>
      </c>
      <c r="K384" s="71" t="str">
        <f aca="false">IFERROR(INDEX('EOD Data'!G:G, MATCH($A384, 'EOD Data'!B:B,0)), "No TKR Match")</f>
        <v>No TKR Match</v>
      </c>
      <c r="L384" s="71" t="str">
        <f aca="false">IFERROR(ROUND($J384*$K384,0),"Error")</f>
        <v>Error</v>
      </c>
      <c r="M384" s="71" t="str">
        <f aca="false">IFERROR(IF(AND($J384&lt;10000,$L384&lt;200000),"Yes","No"),"Error")</f>
        <v>No</v>
      </c>
      <c r="P384" s="42" t="str">
        <f aca="false">IF($N384="SOLE",$J384,"")</f>
        <v/>
      </c>
      <c r="Q384" s="42" t="str">
        <f aca="false">IFERROR(IF($N384="Sole",0,IF(AND($N384="OTR",$R384=0),$J384-$P384,IF(AND($N384="OTR", $R384&gt;0), $J384-$P384-$Q384, ""))),"")</f>
        <v/>
      </c>
      <c r="R384" s="42" t="str">
        <f aca="false">IF($P384=$J384, "0","")</f>
        <v/>
      </c>
      <c r="S384" s="42" t="str">
        <f aca="false">IF(OR(ISBLANK($B384),ISBLANK($C384), ISBLANK($E384), ISBLANK($F384), AND(ISBLANK($G384),ISBLANK($H384)), ISBLANK($I384), ISBLANK($L384), AND(ISBLANK($N384), ISBLANK($O384)), AND(ISBLANK($P384), ISBLANK($Q384), ISBLANK($R384))), "No", "Yes")</f>
        <v>No</v>
      </c>
      <c r="T384" s="42" t="str">
        <f aca="false">SUBSTITUTE($U384," ","")</f>
        <v>000S9YS76</v>
      </c>
      <c r="U384" s="42" t="s">
        <v>520</v>
      </c>
      <c r="V384" s="39" t="n">
        <v>5800</v>
      </c>
    </row>
    <row r="385" customFormat="false" ht="15" hidden="false" customHeight="false" outlineLevel="0" collapsed="false">
      <c r="B385" s="70" t="s">
        <v>520</v>
      </c>
      <c r="C385" s="71" t="str">
        <f aca="false">IFERROR(INDEX('13F Data'!A:A,MATCH($B385,'13F Data'!A:A,0)),"No CUSIP Match")</f>
        <v>No CUSIP Match</v>
      </c>
      <c r="D385" s="71" t="str">
        <f aca="false">IFERROR(IF($B385=$C385,"Yes","No"),"No CUSIP Match")</f>
        <v>No</v>
      </c>
      <c r="E385" s="71"/>
      <c r="F385" s="71" t="str">
        <f aca="false">IFERROR(INDEX('13F Data'!C:C, MATCH($B385,'13F Data'!A:A,0)),"No CUSIP Match")</f>
        <v>No CUSIP Match</v>
      </c>
      <c r="G385" s="72" t="str">
        <f aca="false">IFERROR(INDEX('13F Data'!D:D,MATCH($B385,'13F Data'!A:A,0)),"No CUSIP Match")</f>
        <v>No CUSIP Match</v>
      </c>
      <c r="J385" s="73" t="n">
        <f aca="false">$V385</f>
        <v>5800</v>
      </c>
      <c r="K385" s="71" t="str">
        <f aca="false">IFERROR(INDEX('EOD Data'!G:G, MATCH($A385, 'EOD Data'!B:B,0)), "No TKR Match")</f>
        <v>No TKR Match</v>
      </c>
      <c r="L385" s="71" t="str">
        <f aca="false">IFERROR(ROUND($J385*$K385,0),"Error")</f>
        <v>Error</v>
      </c>
      <c r="M385" s="71" t="str">
        <f aca="false">IFERROR(IF(AND($J385&lt;10000,$L385&lt;200000),"Yes","No"),"Error")</f>
        <v>No</v>
      </c>
      <c r="P385" s="42" t="str">
        <f aca="false">IF($N385="SOLE",$J385,"")</f>
        <v/>
      </c>
      <c r="Q385" s="42" t="str">
        <f aca="false">IFERROR(IF($N385="Sole",0,IF(AND($N385="OTR",$R385=0),$J385-$P385,IF(AND($N385="OTR", $R385&gt;0), $J385-$P385-$Q385, ""))),"")</f>
        <v/>
      </c>
      <c r="R385" s="42" t="str">
        <f aca="false">IF($P385=$J385, "0","")</f>
        <v/>
      </c>
      <c r="S385" s="42" t="str">
        <f aca="false">IF(OR(ISBLANK($B385),ISBLANK($C385), ISBLANK($E385), ISBLANK($F385), AND(ISBLANK($G385),ISBLANK($H385)), ISBLANK($I385), ISBLANK($L385), AND(ISBLANK($N385), ISBLANK($O385)), AND(ISBLANK($P385), ISBLANK($Q385), ISBLANK($R385))), "No", "Yes")</f>
        <v>No</v>
      </c>
      <c r="T385" s="42" t="str">
        <f aca="false">SUBSTITUTE($U385," ","")</f>
        <v>000S9YS76</v>
      </c>
      <c r="U385" s="42" t="s">
        <v>520</v>
      </c>
      <c r="V385" s="39" t="n">
        <v>5800</v>
      </c>
    </row>
    <row r="386" customFormat="false" ht="15" hidden="false" customHeight="false" outlineLevel="0" collapsed="false">
      <c r="B386" s="70" t="s">
        <v>522</v>
      </c>
      <c r="C386" s="71" t="str">
        <f aca="false">IFERROR(INDEX('13F Data'!A:A,MATCH($B386,'13F Data'!A:A,0)),"No CUSIP Match")</f>
        <v>No CUSIP Match</v>
      </c>
      <c r="D386" s="71" t="str">
        <f aca="false">IFERROR(IF($B386=$C386,"Yes","No"),"No CUSIP Match")</f>
        <v>No</v>
      </c>
      <c r="E386" s="71"/>
      <c r="F386" s="71" t="str">
        <f aca="false">IFERROR(INDEX('13F Data'!C:C, MATCH($B386,'13F Data'!A:A,0)),"No CUSIP Match")</f>
        <v>No CUSIP Match</v>
      </c>
      <c r="G386" s="72" t="str">
        <f aca="false">IFERROR(INDEX('13F Data'!D:D,MATCH($B386,'13F Data'!A:A,0)),"No CUSIP Match")</f>
        <v>No CUSIP Match</v>
      </c>
      <c r="J386" s="73" t="n">
        <f aca="false">$V386</f>
        <v>3709</v>
      </c>
      <c r="K386" s="71" t="str">
        <f aca="false">IFERROR(INDEX('EOD Data'!G:G, MATCH($A386, 'EOD Data'!B:B,0)), "No TKR Match")</f>
        <v>No TKR Match</v>
      </c>
      <c r="L386" s="71" t="str">
        <f aca="false">IFERROR(ROUND($J386*$K386,0),"Error")</f>
        <v>Error</v>
      </c>
      <c r="M386" s="71" t="str">
        <f aca="false">IFERROR(IF(AND($J386&lt;10000,$L386&lt;200000),"Yes","No"),"Error")</f>
        <v>No</v>
      </c>
      <c r="P386" s="42" t="str">
        <f aca="false">IF($N386="SOLE",$J386,"")</f>
        <v/>
      </c>
      <c r="Q386" s="42" t="str">
        <f aca="false">IFERROR(IF($N386="Sole",0,IF(AND($N386="OTR",$R386=0),$J386-$P386,IF(AND($N386="OTR", $R386&gt;0), $J386-$P386-$Q386, ""))),"")</f>
        <v/>
      </c>
      <c r="R386" s="42" t="str">
        <f aca="false">IF($P386=$J386, "0","")</f>
        <v/>
      </c>
      <c r="S386" s="42" t="str">
        <f aca="false">IF(OR(ISBLANK($B386),ISBLANK($C386), ISBLANK($E386), ISBLANK($F386), AND(ISBLANK($G386),ISBLANK($H386)), ISBLANK($I386), ISBLANK($L386), AND(ISBLANK($N386), ISBLANK($O386)), AND(ISBLANK($P386), ISBLANK($Q386), ISBLANK($R386))), "No", "Yes")</f>
        <v>No</v>
      </c>
      <c r="T386" s="42" t="str">
        <f aca="false">SUBSTITUTE($U386," ","")</f>
        <v>501889208</v>
      </c>
      <c r="U386" s="42" t="s">
        <v>522</v>
      </c>
      <c r="V386" s="39" t="n">
        <v>3709</v>
      </c>
    </row>
    <row r="387" customFormat="false" ht="15" hidden="false" customHeight="false" outlineLevel="0" collapsed="false">
      <c r="B387" s="70" t="s">
        <v>522</v>
      </c>
      <c r="C387" s="71" t="str">
        <f aca="false">IFERROR(INDEX('13F Data'!A:A,MATCH($B387,'13F Data'!A:A,0)),"No CUSIP Match")</f>
        <v>No CUSIP Match</v>
      </c>
      <c r="D387" s="71" t="str">
        <f aca="false">IFERROR(IF($B387=$C387,"Yes","No"),"No CUSIP Match")</f>
        <v>No</v>
      </c>
      <c r="E387" s="71"/>
      <c r="F387" s="71" t="str">
        <f aca="false">IFERROR(INDEX('13F Data'!C:C, MATCH($B387,'13F Data'!A:A,0)),"No CUSIP Match")</f>
        <v>No CUSIP Match</v>
      </c>
      <c r="G387" s="72" t="str">
        <f aca="false">IFERROR(INDEX('13F Data'!D:D,MATCH($B387,'13F Data'!A:A,0)),"No CUSIP Match")</f>
        <v>No CUSIP Match</v>
      </c>
      <c r="J387" s="73" t="n">
        <f aca="false">$V387</f>
        <v>8100</v>
      </c>
      <c r="K387" s="71" t="str">
        <f aca="false">IFERROR(INDEX('EOD Data'!G:G, MATCH($A387, 'EOD Data'!B:B,0)), "No TKR Match")</f>
        <v>No TKR Match</v>
      </c>
      <c r="L387" s="71" t="str">
        <f aca="false">IFERROR(ROUND($J387*$K387,0),"Error")</f>
        <v>Error</v>
      </c>
      <c r="M387" s="71" t="str">
        <f aca="false">IFERROR(IF(AND($J387&lt;10000,$L387&lt;200000),"Yes","No"),"Error")</f>
        <v>No</v>
      </c>
      <c r="P387" s="42" t="str">
        <f aca="false">IF($N387="SOLE",$J387,"")</f>
        <v/>
      </c>
      <c r="Q387" s="42" t="str">
        <f aca="false">IFERROR(IF($N387="Sole",0,IF(AND($N387="OTR",$R387=0),$J387-$P387,IF(AND($N387="OTR", $R387&gt;0), $J387-$P387-$Q387, ""))),"")</f>
        <v/>
      </c>
      <c r="R387" s="42" t="str">
        <f aca="false">IF($P387=$J387, "0","")</f>
        <v/>
      </c>
      <c r="S387" s="42" t="str">
        <f aca="false">IF(OR(ISBLANK($B387),ISBLANK($C387), ISBLANK($E387), ISBLANK($F387), AND(ISBLANK($G387),ISBLANK($H387)), ISBLANK($I387), ISBLANK($L387), AND(ISBLANK($N387), ISBLANK($O387)), AND(ISBLANK($P387), ISBLANK($Q387), ISBLANK($R387))), "No", "Yes")</f>
        <v>No</v>
      </c>
      <c r="T387" s="42" t="str">
        <f aca="false">SUBSTITUTE($U387," ","")</f>
        <v>501889208</v>
      </c>
      <c r="U387" s="42" t="s">
        <v>522</v>
      </c>
      <c r="V387" s="39" t="n">
        <v>8100</v>
      </c>
    </row>
    <row r="388" customFormat="false" ht="15" hidden="false" customHeight="false" outlineLevel="0" collapsed="false">
      <c r="B388" s="70" t="s">
        <v>522</v>
      </c>
      <c r="C388" s="71" t="str">
        <f aca="false">IFERROR(INDEX('13F Data'!A:A,MATCH($B388,'13F Data'!A:A,0)),"No CUSIP Match")</f>
        <v>No CUSIP Match</v>
      </c>
      <c r="D388" s="71" t="str">
        <f aca="false">IFERROR(IF($B388=$C388,"Yes","No"),"No CUSIP Match")</f>
        <v>No</v>
      </c>
      <c r="E388" s="71"/>
      <c r="F388" s="71" t="str">
        <f aca="false">IFERROR(INDEX('13F Data'!C:C, MATCH($B388,'13F Data'!A:A,0)),"No CUSIP Match")</f>
        <v>No CUSIP Match</v>
      </c>
      <c r="G388" s="72" t="str">
        <f aca="false">IFERROR(INDEX('13F Data'!D:D,MATCH($B388,'13F Data'!A:A,0)),"No CUSIP Match")</f>
        <v>No CUSIP Match</v>
      </c>
      <c r="J388" s="73" t="n">
        <f aca="false">$V388</f>
        <v>8100</v>
      </c>
      <c r="K388" s="71" t="str">
        <f aca="false">IFERROR(INDEX('EOD Data'!G:G, MATCH($A388, 'EOD Data'!B:B,0)), "No TKR Match")</f>
        <v>No TKR Match</v>
      </c>
      <c r="L388" s="71" t="str">
        <f aca="false">IFERROR(ROUND($J388*$K388,0),"Error")</f>
        <v>Error</v>
      </c>
      <c r="M388" s="71" t="str">
        <f aca="false">IFERROR(IF(AND($J388&lt;10000,$L388&lt;200000),"Yes","No"),"Error")</f>
        <v>No</v>
      </c>
      <c r="P388" s="42" t="str">
        <f aca="false">IF($N388="SOLE",$J388,"")</f>
        <v/>
      </c>
      <c r="Q388" s="42" t="str">
        <f aca="false">IFERROR(IF($N388="Sole",0,IF(AND($N388="OTR",$R388=0),$J388-$P388,IF(AND($N388="OTR", $R388&gt;0), $J388-$P388-$Q388, ""))),"")</f>
        <v/>
      </c>
      <c r="R388" s="42" t="str">
        <f aca="false">IF($P388=$J388, "0","")</f>
        <v/>
      </c>
      <c r="S388" s="42" t="str">
        <f aca="false">IF(OR(ISBLANK($B388),ISBLANK($C388), ISBLANK($E388), ISBLANK($F388), AND(ISBLANK($G388),ISBLANK($H388)), ISBLANK($I388), ISBLANK($L388), AND(ISBLANK($N388), ISBLANK($O388)), AND(ISBLANK($P388), ISBLANK($Q388), ISBLANK($R388))), "No", "Yes")</f>
        <v>No</v>
      </c>
      <c r="T388" s="42" t="str">
        <f aca="false">SUBSTITUTE($U388," ","")</f>
        <v>501889208</v>
      </c>
      <c r="U388" s="42" t="s">
        <v>522</v>
      </c>
      <c r="V388" s="39" t="n">
        <v>8100</v>
      </c>
    </row>
    <row r="389" customFormat="false" ht="15" hidden="false" customHeight="false" outlineLevel="0" collapsed="false">
      <c r="B389" s="70" t="s">
        <v>524</v>
      </c>
      <c r="C389" s="71" t="str">
        <f aca="false">IFERROR(INDEX('13F Data'!A:A,MATCH($B389,'13F Data'!A:A,0)),"No CUSIP Match")</f>
        <v>No CUSIP Match</v>
      </c>
      <c r="D389" s="71" t="str">
        <f aca="false">IFERROR(IF($B389=$C389,"Yes","No"),"No CUSIP Match")</f>
        <v>No</v>
      </c>
      <c r="E389" s="71"/>
      <c r="F389" s="71" t="str">
        <f aca="false">IFERROR(INDEX('13F Data'!C:C, MATCH($B389,'13F Data'!A:A,0)),"No CUSIP Match")</f>
        <v>No CUSIP Match</v>
      </c>
      <c r="G389" s="72" t="str">
        <f aca="false">IFERROR(INDEX('13F Data'!D:D,MATCH($B389,'13F Data'!A:A,0)),"No CUSIP Match")</f>
        <v>No CUSIP Match</v>
      </c>
      <c r="J389" s="73" t="n">
        <f aca="false">$V389</f>
        <v>300</v>
      </c>
      <c r="K389" s="71" t="str">
        <f aca="false">IFERROR(INDEX('EOD Data'!G:G, MATCH($A389, 'EOD Data'!B:B,0)), "No TKR Match")</f>
        <v>No TKR Match</v>
      </c>
      <c r="L389" s="71" t="str">
        <f aca="false">IFERROR(ROUND($J389*$K389,0),"Error")</f>
        <v>Error</v>
      </c>
      <c r="M389" s="71" t="str">
        <f aca="false">IFERROR(IF(AND($J389&lt;10000,$L389&lt;200000),"Yes","No"),"Error")</f>
        <v>No</v>
      </c>
      <c r="P389" s="42" t="str">
        <f aca="false">IF($N389="SOLE",$J389,"")</f>
        <v/>
      </c>
      <c r="Q389" s="42" t="str">
        <f aca="false">IFERROR(IF($N389="Sole",0,IF(AND($N389="OTR",$R389=0),$J389-$P389,IF(AND($N389="OTR", $R389&gt;0), $J389-$P389-$Q389, ""))),"")</f>
        <v/>
      </c>
      <c r="R389" s="42" t="str">
        <f aca="false">IF($P389=$J389, "0","")</f>
        <v/>
      </c>
      <c r="S389" s="42" t="str">
        <f aca="false">IF(OR(ISBLANK($B389),ISBLANK($C389), ISBLANK($E389), ISBLANK($F389), AND(ISBLANK($G389),ISBLANK($H389)), ISBLANK($I389), ISBLANK($L389), AND(ISBLANK($N389), ISBLANK($O389)), AND(ISBLANK($P389), ISBLANK($Q389), ISBLANK($R389))), "No", "Yes")</f>
        <v>No</v>
      </c>
      <c r="T389" s="42" t="str">
        <f aca="false">SUBSTITUTE($U389," ","")</f>
        <v>539830109</v>
      </c>
      <c r="U389" s="42" t="s">
        <v>524</v>
      </c>
      <c r="V389" s="39" t="n">
        <v>300</v>
      </c>
    </row>
    <row r="390" customFormat="false" ht="15" hidden="false" customHeight="false" outlineLevel="0" collapsed="false">
      <c r="B390" s="70" t="s">
        <v>524</v>
      </c>
      <c r="C390" s="71" t="str">
        <f aca="false">IFERROR(INDEX('13F Data'!A:A,MATCH($B390,'13F Data'!A:A,0)),"No CUSIP Match")</f>
        <v>No CUSIP Match</v>
      </c>
      <c r="D390" s="71" t="str">
        <f aca="false">IFERROR(IF($B390=$C390,"Yes","No"),"No CUSIP Match")</f>
        <v>No</v>
      </c>
      <c r="E390" s="71"/>
      <c r="F390" s="71" t="str">
        <f aca="false">IFERROR(INDEX('13F Data'!C:C, MATCH($B390,'13F Data'!A:A,0)),"No CUSIP Match")</f>
        <v>No CUSIP Match</v>
      </c>
      <c r="G390" s="72" t="str">
        <f aca="false">IFERROR(INDEX('13F Data'!D:D,MATCH($B390,'13F Data'!A:A,0)),"No CUSIP Match")</f>
        <v>No CUSIP Match</v>
      </c>
      <c r="J390" s="73" t="n">
        <f aca="false">$V390</f>
        <v>300</v>
      </c>
      <c r="K390" s="71" t="str">
        <f aca="false">IFERROR(INDEX('EOD Data'!G:G, MATCH($A390, 'EOD Data'!B:B,0)), "No TKR Match")</f>
        <v>No TKR Match</v>
      </c>
      <c r="L390" s="71" t="str">
        <f aca="false">IFERROR(ROUND($J390*$K390,0),"Error")</f>
        <v>Error</v>
      </c>
      <c r="M390" s="71" t="str">
        <f aca="false">IFERROR(IF(AND($J390&lt;10000,$L390&lt;200000),"Yes","No"),"Error")</f>
        <v>No</v>
      </c>
      <c r="P390" s="42" t="str">
        <f aca="false">IF($N390="SOLE",$J390,"")</f>
        <v/>
      </c>
      <c r="Q390" s="42" t="str">
        <f aca="false">IFERROR(IF($N390="Sole",0,IF(AND($N390="OTR",$R390=0),$J390-$P390,IF(AND($N390="OTR", $R390&gt;0), $J390-$P390-$Q390, ""))),"")</f>
        <v/>
      </c>
      <c r="R390" s="42" t="str">
        <f aca="false">IF($P390=$J390, "0","")</f>
        <v/>
      </c>
      <c r="S390" s="42" t="str">
        <f aca="false">IF(OR(ISBLANK($B390),ISBLANK($C390), ISBLANK($E390), ISBLANK($F390), AND(ISBLANK($G390),ISBLANK($H390)), ISBLANK($I390), ISBLANK($L390), AND(ISBLANK($N390), ISBLANK($O390)), AND(ISBLANK($P390), ISBLANK($Q390), ISBLANK($R390))), "No", "Yes")</f>
        <v>No</v>
      </c>
      <c r="T390" s="42" t="str">
        <f aca="false">SUBSTITUTE($U390," ","")</f>
        <v>539830109</v>
      </c>
      <c r="U390" s="42" t="s">
        <v>524</v>
      </c>
      <c r="V390" s="39" t="n">
        <v>300</v>
      </c>
    </row>
    <row r="391" customFormat="false" ht="15" hidden="false" customHeight="false" outlineLevel="0" collapsed="false">
      <c r="B391" s="70" t="s">
        <v>526</v>
      </c>
      <c r="C391" s="71" t="str">
        <f aca="false">IFERROR(INDEX('13F Data'!A:A,MATCH($B391,'13F Data'!A:A,0)),"No CUSIP Match")</f>
        <v>No CUSIP Match</v>
      </c>
      <c r="D391" s="71" t="str">
        <f aca="false">IFERROR(IF($B391=$C391,"Yes","No"),"No CUSIP Match")</f>
        <v>No</v>
      </c>
      <c r="E391" s="71"/>
      <c r="F391" s="71" t="str">
        <f aca="false">IFERROR(INDEX('13F Data'!C:C, MATCH($B391,'13F Data'!A:A,0)),"No CUSIP Match")</f>
        <v>No CUSIP Match</v>
      </c>
      <c r="G391" s="72" t="str">
        <f aca="false">IFERROR(INDEX('13F Data'!D:D,MATCH($B391,'13F Data'!A:A,0)),"No CUSIP Match")</f>
        <v>No CUSIP Match</v>
      </c>
      <c r="J391" s="73" t="n">
        <f aca="false">$V391</f>
        <v>806</v>
      </c>
      <c r="K391" s="71" t="str">
        <f aca="false">IFERROR(INDEX('EOD Data'!G:G, MATCH($A391, 'EOD Data'!B:B,0)), "No TKR Match")</f>
        <v>No TKR Match</v>
      </c>
      <c r="L391" s="71" t="str">
        <f aca="false">IFERROR(ROUND($J391*$K391,0),"Error")</f>
        <v>Error</v>
      </c>
      <c r="M391" s="71" t="str">
        <f aca="false">IFERROR(IF(AND($J391&lt;10000,$L391&lt;200000),"Yes","No"),"Error")</f>
        <v>No</v>
      </c>
      <c r="P391" s="42" t="str">
        <f aca="false">IF($N391="SOLE",$J391,"")</f>
        <v/>
      </c>
      <c r="Q391" s="42" t="str">
        <f aca="false">IFERROR(IF($N391="Sole",0,IF(AND($N391="OTR",$R391=0),$J391-$P391,IF(AND($N391="OTR", $R391&gt;0), $J391-$P391-$Q391, ""))),"")</f>
        <v/>
      </c>
      <c r="R391" s="42" t="str">
        <f aca="false">IF($P391=$J391, "0","")</f>
        <v/>
      </c>
      <c r="S391" s="42" t="str">
        <f aca="false">IF(OR(ISBLANK($B391),ISBLANK($C391), ISBLANK($E391), ISBLANK($F391), AND(ISBLANK($G391),ISBLANK($H391)), ISBLANK($I391), ISBLANK($L391), AND(ISBLANK($N391), ISBLANK($O391)), AND(ISBLANK($P391), ISBLANK($Q391), ISBLANK($R391))), "No", "Yes")</f>
        <v>No</v>
      </c>
      <c r="T391" s="42" t="str">
        <f aca="false">SUBSTITUTE($U391," ","")</f>
        <v>548661107</v>
      </c>
      <c r="U391" s="42" t="s">
        <v>526</v>
      </c>
      <c r="V391" s="39" t="n">
        <v>806</v>
      </c>
    </row>
    <row r="392" customFormat="false" ht="15" hidden="false" customHeight="false" outlineLevel="0" collapsed="false">
      <c r="B392" s="70" t="s">
        <v>526</v>
      </c>
      <c r="C392" s="71" t="str">
        <f aca="false">IFERROR(INDEX('13F Data'!A:A,MATCH($B392,'13F Data'!A:A,0)),"No CUSIP Match")</f>
        <v>No CUSIP Match</v>
      </c>
      <c r="D392" s="71" t="str">
        <f aca="false">IFERROR(IF($B392=$C392,"Yes","No"),"No CUSIP Match")</f>
        <v>No</v>
      </c>
      <c r="E392" s="71"/>
      <c r="F392" s="71" t="str">
        <f aca="false">IFERROR(INDEX('13F Data'!C:C, MATCH($B392,'13F Data'!A:A,0)),"No CUSIP Match")</f>
        <v>No CUSIP Match</v>
      </c>
      <c r="G392" s="72" t="str">
        <f aca="false">IFERROR(INDEX('13F Data'!D:D,MATCH($B392,'13F Data'!A:A,0)),"No CUSIP Match")</f>
        <v>No CUSIP Match</v>
      </c>
      <c r="J392" s="73" t="n">
        <f aca="false">$V392</f>
        <v>11800</v>
      </c>
      <c r="K392" s="71" t="str">
        <f aca="false">IFERROR(INDEX('EOD Data'!G:G, MATCH($A392, 'EOD Data'!B:B,0)), "No TKR Match")</f>
        <v>No TKR Match</v>
      </c>
      <c r="L392" s="71" t="str">
        <f aca="false">IFERROR(ROUND($J392*$K392,0),"Error")</f>
        <v>Error</v>
      </c>
      <c r="M392" s="71" t="str">
        <f aca="false">IFERROR(IF(AND($J392&lt;10000,$L392&lt;200000),"Yes","No"),"Error")</f>
        <v>No</v>
      </c>
      <c r="P392" s="42" t="str">
        <f aca="false">IF($N392="SOLE",$J392,"")</f>
        <v/>
      </c>
      <c r="Q392" s="42" t="str">
        <f aca="false">IFERROR(IF($N392="Sole",0,IF(AND($N392="OTR",$R392=0),$J392-$P392,IF(AND($N392="OTR", $R392&gt;0), $J392-$P392-$Q392, ""))),"")</f>
        <v/>
      </c>
      <c r="R392" s="42" t="str">
        <f aca="false">IF($P392=$J392, "0","")</f>
        <v/>
      </c>
      <c r="S392" s="42" t="str">
        <f aca="false">IF(OR(ISBLANK($B392),ISBLANK($C392), ISBLANK($E392), ISBLANK($F392), AND(ISBLANK($G392),ISBLANK($H392)), ISBLANK($I392), ISBLANK($L392), AND(ISBLANK($N392), ISBLANK($O392)), AND(ISBLANK($P392), ISBLANK($Q392), ISBLANK($R392))), "No", "Yes")</f>
        <v>No</v>
      </c>
      <c r="T392" s="42" t="str">
        <f aca="false">SUBSTITUTE($U392," ","")</f>
        <v>548661107</v>
      </c>
      <c r="U392" s="42" t="s">
        <v>526</v>
      </c>
      <c r="V392" s="39" t="n">
        <v>11800</v>
      </c>
    </row>
    <row r="393" customFormat="false" ht="15" hidden="false" customHeight="false" outlineLevel="0" collapsed="false">
      <c r="B393" s="70" t="s">
        <v>526</v>
      </c>
      <c r="C393" s="71" t="str">
        <f aca="false">IFERROR(INDEX('13F Data'!A:A,MATCH($B393,'13F Data'!A:A,0)),"No CUSIP Match")</f>
        <v>No CUSIP Match</v>
      </c>
      <c r="D393" s="71" t="str">
        <f aca="false">IFERROR(IF($B393=$C393,"Yes","No"),"No CUSIP Match")</f>
        <v>No</v>
      </c>
      <c r="E393" s="71"/>
      <c r="F393" s="71" t="str">
        <f aca="false">IFERROR(INDEX('13F Data'!C:C, MATCH($B393,'13F Data'!A:A,0)),"No CUSIP Match")</f>
        <v>No CUSIP Match</v>
      </c>
      <c r="G393" s="72" t="str">
        <f aca="false">IFERROR(INDEX('13F Data'!D:D,MATCH($B393,'13F Data'!A:A,0)),"No CUSIP Match")</f>
        <v>No CUSIP Match</v>
      </c>
      <c r="J393" s="73" t="n">
        <f aca="false">$V393</f>
        <v>11800</v>
      </c>
      <c r="K393" s="71" t="str">
        <f aca="false">IFERROR(INDEX('EOD Data'!G:G, MATCH($A393, 'EOD Data'!B:B,0)), "No TKR Match")</f>
        <v>No TKR Match</v>
      </c>
      <c r="L393" s="71" t="str">
        <f aca="false">IFERROR(ROUND($J393*$K393,0),"Error")</f>
        <v>Error</v>
      </c>
      <c r="M393" s="71" t="str">
        <f aca="false">IFERROR(IF(AND($J393&lt;10000,$L393&lt;200000),"Yes","No"),"Error")</f>
        <v>No</v>
      </c>
      <c r="P393" s="42" t="str">
        <f aca="false">IF($N393="SOLE",$J393,"")</f>
        <v/>
      </c>
      <c r="Q393" s="42" t="str">
        <f aca="false">IFERROR(IF($N393="Sole",0,IF(AND($N393="OTR",$R393=0),$J393-$P393,IF(AND($N393="OTR", $R393&gt;0), $J393-$P393-$Q393, ""))),"")</f>
        <v/>
      </c>
      <c r="R393" s="42" t="str">
        <f aca="false">IF($P393=$J393, "0","")</f>
        <v/>
      </c>
      <c r="S393" s="42" t="str">
        <f aca="false">IF(OR(ISBLANK($B393),ISBLANK($C393), ISBLANK($E393), ISBLANK($F393), AND(ISBLANK($G393),ISBLANK($H393)), ISBLANK($I393), ISBLANK($L393), AND(ISBLANK($N393), ISBLANK($O393)), AND(ISBLANK($P393), ISBLANK($Q393), ISBLANK($R393))), "No", "Yes")</f>
        <v>No</v>
      </c>
      <c r="T393" s="42" t="str">
        <f aca="false">SUBSTITUTE($U393," ","")</f>
        <v>548661107</v>
      </c>
      <c r="U393" s="42" t="s">
        <v>526</v>
      </c>
      <c r="V393" s="39" t="n">
        <v>11800</v>
      </c>
    </row>
    <row r="394" customFormat="false" ht="15" hidden="false" customHeight="false" outlineLevel="0" collapsed="false">
      <c r="B394" s="70" t="s">
        <v>528</v>
      </c>
      <c r="C394" s="71" t="str">
        <f aca="false">IFERROR(INDEX('13F Data'!A:A,MATCH($B394,'13F Data'!A:A,0)),"No CUSIP Match")</f>
        <v>No CUSIP Match</v>
      </c>
      <c r="D394" s="71" t="str">
        <f aca="false">IFERROR(IF($B394=$C394,"Yes","No"),"No CUSIP Match")</f>
        <v>No</v>
      </c>
      <c r="E394" s="71"/>
      <c r="F394" s="71" t="str">
        <f aca="false">IFERROR(INDEX('13F Data'!C:C, MATCH($B394,'13F Data'!A:A,0)),"No CUSIP Match")</f>
        <v>No CUSIP Match</v>
      </c>
      <c r="G394" s="72" t="str">
        <f aca="false">IFERROR(INDEX('13F Data'!D:D,MATCH($B394,'13F Data'!A:A,0)),"No CUSIP Match")</f>
        <v>No CUSIP Match</v>
      </c>
      <c r="J394" s="73" t="n">
        <f aca="false">$V394</f>
        <v>3600</v>
      </c>
      <c r="K394" s="71" t="str">
        <f aca="false">IFERROR(INDEX('EOD Data'!G:G, MATCH($A394, 'EOD Data'!B:B,0)), "No TKR Match")</f>
        <v>No TKR Match</v>
      </c>
      <c r="L394" s="71" t="str">
        <f aca="false">IFERROR(ROUND($J394*$K394,0),"Error")</f>
        <v>Error</v>
      </c>
      <c r="M394" s="71" t="str">
        <f aca="false">IFERROR(IF(AND($J394&lt;10000,$L394&lt;200000),"Yes","No"),"Error")</f>
        <v>No</v>
      </c>
      <c r="P394" s="42" t="str">
        <f aca="false">IF($N394="SOLE",$J394,"")</f>
        <v/>
      </c>
      <c r="Q394" s="42" t="str">
        <f aca="false">IFERROR(IF($N394="Sole",0,IF(AND($N394="OTR",$R394=0),$J394-$P394,IF(AND($N394="OTR", $R394&gt;0), $J394-$P394-$Q394, ""))),"")</f>
        <v/>
      </c>
      <c r="R394" s="42" t="str">
        <f aca="false">IF($P394=$J394, "0","")</f>
        <v/>
      </c>
      <c r="S394" s="42" t="str">
        <f aca="false">IF(OR(ISBLANK($B394),ISBLANK($C394), ISBLANK($E394), ISBLANK($F394), AND(ISBLANK($G394),ISBLANK($H394)), ISBLANK($I394), ISBLANK($L394), AND(ISBLANK($N394), ISBLANK($O394)), AND(ISBLANK($P394), ISBLANK($Q394), ISBLANK($R394))), "No", "Yes")</f>
        <v>No</v>
      </c>
      <c r="T394" s="42" t="str">
        <f aca="false">SUBSTITUTE($U394," ","")</f>
        <v>550021109</v>
      </c>
      <c r="U394" s="42" t="s">
        <v>528</v>
      </c>
      <c r="V394" s="39" t="n">
        <v>3600</v>
      </c>
    </row>
    <row r="395" customFormat="false" ht="15" hidden="false" customHeight="false" outlineLevel="0" collapsed="false">
      <c r="B395" s="70" t="s">
        <v>528</v>
      </c>
      <c r="C395" s="71" t="str">
        <f aca="false">IFERROR(INDEX('13F Data'!A:A,MATCH($B395,'13F Data'!A:A,0)),"No CUSIP Match")</f>
        <v>No CUSIP Match</v>
      </c>
      <c r="D395" s="71" t="str">
        <f aca="false">IFERROR(IF($B395=$C395,"Yes","No"),"No CUSIP Match")</f>
        <v>No</v>
      </c>
      <c r="E395" s="71"/>
      <c r="F395" s="71" t="str">
        <f aca="false">IFERROR(INDEX('13F Data'!C:C, MATCH($B395,'13F Data'!A:A,0)),"No CUSIP Match")</f>
        <v>No CUSIP Match</v>
      </c>
      <c r="G395" s="72" t="str">
        <f aca="false">IFERROR(INDEX('13F Data'!D:D,MATCH($B395,'13F Data'!A:A,0)),"No CUSIP Match")</f>
        <v>No CUSIP Match</v>
      </c>
      <c r="J395" s="73" t="n">
        <f aca="false">$V395</f>
        <v>3600</v>
      </c>
      <c r="K395" s="71" t="str">
        <f aca="false">IFERROR(INDEX('EOD Data'!G:G, MATCH($A395, 'EOD Data'!B:B,0)), "No TKR Match")</f>
        <v>No TKR Match</v>
      </c>
      <c r="L395" s="71" t="str">
        <f aca="false">IFERROR(ROUND($J395*$K395,0),"Error")</f>
        <v>Error</v>
      </c>
      <c r="M395" s="71" t="str">
        <f aca="false">IFERROR(IF(AND($J395&lt;10000,$L395&lt;200000),"Yes","No"),"Error")</f>
        <v>No</v>
      </c>
      <c r="P395" s="42" t="str">
        <f aca="false">IF($N395="SOLE",$J395,"")</f>
        <v/>
      </c>
      <c r="Q395" s="42" t="str">
        <f aca="false">IFERROR(IF($N395="Sole",0,IF(AND($N395="OTR",$R395=0),$J395-$P395,IF(AND($N395="OTR", $R395&gt;0), $J395-$P395-$Q395, ""))),"")</f>
        <v/>
      </c>
      <c r="R395" s="42" t="str">
        <f aca="false">IF($P395=$J395, "0","")</f>
        <v/>
      </c>
      <c r="S395" s="42" t="str">
        <f aca="false">IF(OR(ISBLANK($B395),ISBLANK($C395), ISBLANK($E395), ISBLANK($F395), AND(ISBLANK($G395),ISBLANK($H395)), ISBLANK($I395), ISBLANK($L395), AND(ISBLANK($N395), ISBLANK($O395)), AND(ISBLANK($P395), ISBLANK($Q395), ISBLANK($R395))), "No", "Yes")</f>
        <v>No</v>
      </c>
      <c r="T395" s="42" t="str">
        <f aca="false">SUBSTITUTE($U395," ","")</f>
        <v>550021109</v>
      </c>
      <c r="U395" s="42" t="s">
        <v>528</v>
      </c>
      <c r="V395" s="39" t="n">
        <v>3600</v>
      </c>
    </row>
    <row r="396" customFormat="false" ht="15" hidden="false" customHeight="false" outlineLevel="0" collapsed="false">
      <c r="B396" s="70" t="s">
        <v>530</v>
      </c>
      <c r="C396" s="71" t="str">
        <f aca="false">IFERROR(INDEX('13F Data'!A:A,MATCH($B396,'13F Data'!A:A,0)),"No CUSIP Match")</f>
        <v>No CUSIP Match</v>
      </c>
      <c r="D396" s="71" t="str">
        <f aca="false">IFERROR(IF($B396=$C396,"Yes","No"),"No CUSIP Match")</f>
        <v>No</v>
      </c>
      <c r="E396" s="71"/>
      <c r="F396" s="71" t="str">
        <f aca="false">IFERROR(INDEX('13F Data'!C:C, MATCH($B396,'13F Data'!A:A,0)),"No CUSIP Match")</f>
        <v>No CUSIP Match</v>
      </c>
      <c r="G396" s="72" t="str">
        <f aca="false">IFERROR(INDEX('13F Data'!D:D,MATCH($B396,'13F Data'!A:A,0)),"No CUSIP Match")</f>
        <v>No CUSIP Match</v>
      </c>
      <c r="J396" s="73" t="n">
        <f aca="false">$V396</f>
        <v>107018</v>
      </c>
      <c r="K396" s="71" t="str">
        <f aca="false">IFERROR(INDEX('EOD Data'!G:G, MATCH($A396, 'EOD Data'!B:B,0)), "No TKR Match")</f>
        <v>No TKR Match</v>
      </c>
      <c r="L396" s="71" t="str">
        <f aca="false">IFERROR(ROUND($J396*$K396,0),"Error")</f>
        <v>Error</v>
      </c>
      <c r="M396" s="71" t="str">
        <f aca="false">IFERROR(IF(AND($J396&lt;10000,$L396&lt;200000),"Yes","No"),"Error")</f>
        <v>No</v>
      </c>
      <c r="P396" s="42" t="str">
        <f aca="false">IF($N396="SOLE",$J396,"")</f>
        <v/>
      </c>
      <c r="Q396" s="42" t="str">
        <f aca="false">IFERROR(IF($N396="Sole",0,IF(AND($N396="OTR",$R396=0),$J396-$P396,IF(AND($N396="OTR", $R396&gt;0), $J396-$P396-$Q396, ""))),"")</f>
        <v/>
      </c>
      <c r="R396" s="42" t="str">
        <f aca="false">IF($P396=$J396, "0","")</f>
        <v/>
      </c>
      <c r="S396" s="42" t="str">
        <f aca="false">IF(OR(ISBLANK($B396),ISBLANK($C396), ISBLANK($E396), ISBLANK($F396), AND(ISBLANK($G396),ISBLANK($H396)), ISBLANK($I396), ISBLANK($L396), AND(ISBLANK($N396), ISBLANK($O396)), AND(ISBLANK($P396), ISBLANK($Q396), ISBLANK($R396))), "No", "Yes")</f>
        <v>No</v>
      </c>
      <c r="T396" s="42" t="str">
        <f aca="false">SUBSTITUTE($U396," ","")</f>
        <v>55616P104</v>
      </c>
      <c r="U396" s="42" t="s">
        <v>530</v>
      </c>
      <c r="V396" s="39" t="n">
        <v>107018</v>
      </c>
    </row>
    <row r="397" customFormat="false" ht="15" hidden="false" customHeight="false" outlineLevel="0" collapsed="false">
      <c r="B397" s="70" t="s">
        <v>532</v>
      </c>
      <c r="C397" s="71" t="str">
        <f aca="false">IFERROR(INDEX('13F Data'!A:A,MATCH($B397,'13F Data'!A:A,0)),"No CUSIP Match")</f>
        <v>No CUSIP Match</v>
      </c>
      <c r="D397" s="71" t="str">
        <f aca="false">IFERROR(IF($B397=$C397,"Yes","No"),"No CUSIP Match")</f>
        <v>No</v>
      </c>
      <c r="E397" s="71"/>
      <c r="F397" s="71" t="str">
        <f aca="false">IFERROR(INDEX('13F Data'!C:C, MATCH($B397,'13F Data'!A:A,0)),"No CUSIP Match")</f>
        <v>No CUSIP Match</v>
      </c>
      <c r="G397" s="72" t="str">
        <f aca="false">IFERROR(INDEX('13F Data'!D:D,MATCH($B397,'13F Data'!A:A,0)),"No CUSIP Match")</f>
        <v>No CUSIP Match</v>
      </c>
      <c r="J397" s="73" t="n">
        <f aca="false">$V397</f>
        <v>6804</v>
      </c>
      <c r="K397" s="71" t="str">
        <f aca="false">IFERROR(INDEX('EOD Data'!G:G, MATCH($A397, 'EOD Data'!B:B,0)), "No TKR Match")</f>
        <v>No TKR Match</v>
      </c>
      <c r="L397" s="71" t="str">
        <f aca="false">IFERROR(ROUND($J397*$K397,0),"Error")</f>
        <v>Error</v>
      </c>
      <c r="M397" s="71" t="str">
        <f aca="false">IFERROR(IF(AND($J397&lt;10000,$L397&lt;200000),"Yes","No"),"Error")</f>
        <v>No</v>
      </c>
      <c r="P397" s="42" t="str">
        <f aca="false">IF($N397="SOLE",$J397,"")</f>
        <v/>
      </c>
      <c r="Q397" s="42" t="str">
        <f aca="false">IFERROR(IF($N397="Sole",0,IF(AND($N397="OTR",$R397=0),$J397-$P397,IF(AND($N397="OTR", $R397&gt;0), $J397-$P397-$Q397, ""))),"")</f>
        <v/>
      </c>
      <c r="R397" s="42" t="str">
        <f aca="false">IF($P397=$J397, "0","")</f>
        <v/>
      </c>
      <c r="S397" s="42" t="str">
        <f aca="false">IF(OR(ISBLANK($B397),ISBLANK($C397), ISBLANK($E397), ISBLANK($F397), AND(ISBLANK($G397),ISBLANK($H397)), ISBLANK($I397), ISBLANK($L397), AND(ISBLANK($N397), ISBLANK($O397)), AND(ISBLANK($P397), ISBLANK($Q397), ISBLANK($R397))), "No", "Yes")</f>
        <v>No</v>
      </c>
      <c r="T397" s="42" t="str">
        <f aca="false">SUBSTITUTE($U397," ","")</f>
        <v>562750109</v>
      </c>
      <c r="U397" s="42" t="s">
        <v>532</v>
      </c>
      <c r="V397" s="39" t="n">
        <v>6804</v>
      </c>
    </row>
    <row r="398" customFormat="false" ht="15" hidden="false" customHeight="false" outlineLevel="0" collapsed="false">
      <c r="B398" s="70" t="s">
        <v>534</v>
      </c>
      <c r="C398" s="71" t="str">
        <f aca="false">IFERROR(INDEX('13F Data'!A:A,MATCH($B398,'13F Data'!A:A,0)),"No CUSIP Match")</f>
        <v>No CUSIP Match</v>
      </c>
      <c r="D398" s="71" t="str">
        <f aca="false">IFERROR(IF($B398=$C398,"Yes","No"),"No CUSIP Match")</f>
        <v>No</v>
      </c>
      <c r="E398" s="71"/>
      <c r="F398" s="71" t="str">
        <f aca="false">IFERROR(INDEX('13F Data'!C:C, MATCH($B398,'13F Data'!A:A,0)),"No CUSIP Match")</f>
        <v>No CUSIP Match</v>
      </c>
      <c r="G398" s="72" t="str">
        <f aca="false">IFERROR(INDEX('13F Data'!D:D,MATCH($B398,'13F Data'!A:A,0)),"No CUSIP Match")</f>
        <v>No CUSIP Match</v>
      </c>
      <c r="J398" s="73" t="n">
        <f aca="false">$V398</f>
        <v>20100</v>
      </c>
      <c r="K398" s="71" t="str">
        <f aca="false">IFERROR(INDEX('EOD Data'!G:G, MATCH($A398, 'EOD Data'!B:B,0)), "No TKR Match")</f>
        <v>No TKR Match</v>
      </c>
      <c r="L398" s="71" t="str">
        <f aca="false">IFERROR(ROUND($J398*$K398,0),"Error")</f>
        <v>Error</v>
      </c>
      <c r="M398" s="71" t="str">
        <f aca="false">IFERROR(IF(AND($J398&lt;10000,$L398&lt;200000),"Yes","No"),"Error")</f>
        <v>No</v>
      </c>
      <c r="P398" s="42" t="str">
        <f aca="false">IF($N398="SOLE",$J398,"")</f>
        <v/>
      </c>
      <c r="Q398" s="42" t="str">
        <f aca="false">IFERROR(IF($N398="Sole",0,IF(AND($N398="OTR",$R398=0),$J398-$P398,IF(AND($N398="OTR", $R398&gt;0), $J398-$P398-$Q398, ""))),"")</f>
        <v/>
      </c>
      <c r="R398" s="42" t="str">
        <f aca="false">IF($P398=$J398, "0","")</f>
        <v/>
      </c>
      <c r="S398" s="42" t="str">
        <f aca="false">IF(OR(ISBLANK($B398),ISBLANK($C398), ISBLANK($E398), ISBLANK($F398), AND(ISBLANK($G398),ISBLANK($H398)), ISBLANK($I398), ISBLANK($L398), AND(ISBLANK($N398), ISBLANK($O398)), AND(ISBLANK($P398), ISBLANK($Q398), ISBLANK($R398))), "No", "Yes")</f>
        <v>No</v>
      </c>
      <c r="T398" s="42" t="str">
        <f aca="false">SUBSTITUTE($U398," ","")</f>
        <v>56585A102</v>
      </c>
      <c r="U398" s="42" t="s">
        <v>534</v>
      </c>
      <c r="V398" s="39" t="n">
        <v>20100</v>
      </c>
    </row>
    <row r="399" customFormat="false" ht="15" hidden="false" customHeight="false" outlineLevel="0" collapsed="false">
      <c r="B399" s="70" t="s">
        <v>534</v>
      </c>
      <c r="C399" s="71" t="str">
        <f aca="false">IFERROR(INDEX('13F Data'!A:A,MATCH($B399,'13F Data'!A:A,0)),"No CUSIP Match")</f>
        <v>No CUSIP Match</v>
      </c>
      <c r="D399" s="71" t="str">
        <f aca="false">IFERROR(IF($B399=$C399,"Yes","No"),"No CUSIP Match")</f>
        <v>No</v>
      </c>
      <c r="E399" s="71"/>
      <c r="F399" s="71" t="str">
        <f aca="false">IFERROR(INDEX('13F Data'!C:C, MATCH($B399,'13F Data'!A:A,0)),"No CUSIP Match")</f>
        <v>No CUSIP Match</v>
      </c>
      <c r="G399" s="72" t="str">
        <f aca="false">IFERROR(INDEX('13F Data'!D:D,MATCH($B399,'13F Data'!A:A,0)),"No CUSIP Match")</f>
        <v>No CUSIP Match</v>
      </c>
      <c r="J399" s="73" t="n">
        <f aca="false">$V399</f>
        <v>20100</v>
      </c>
      <c r="K399" s="71" t="str">
        <f aca="false">IFERROR(INDEX('EOD Data'!G:G, MATCH($A399, 'EOD Data'!B:B,0)), "No TKR Match")</f>
        <v>No TKR Match</v>
      </c>
      <c r="L399" s="71" t="str">
        <f aca="false">IFERROR(ROUND($J399*$K399,0),"Error")</f>
        <v>Error</v>
      </c>
      <c r="M399" s="71" t="str">
        <f aca="false">IFERROR(IF(AND($J399&lt;10000,$L399&lt;200000),"Yes","No"),"Error")</f>
        <v>No</v>
      </c>
      <c r="P399" s="42" t="str">
        <f aca="false">IF($N399="SOLE",$J399,"")</f>
        <v/>
      </c>
      <c r="Q399" s="42" t="str">
        <f aca="false">IFERROR(IF($N399="Sole",0,IF(AND($N399="OTR",$R399=0),$J399-$P399,IF(AND($N399="OTR", $R399&gt;0), $J399-$P399-$Q399, ""))),"")</f>
        <v/>
      </c>
      <c r="R399" s="42" t="str">
        <f aca="false">IF($P399=$J399, "0","")</f>
        <v/>
      </c>
      <c r="S399" s="42" t="str">
        <f aca="false">IF(OR(ISBLANK($B399),ISBLANK($C399), ISBLANK($E399), ISBLANK($F399), AND(ISBLANK($G399),ISBLANK($H399)), ISBLANK($I399), ISBLANK($L399), AND(ISBLANK($N399), ISBLANK($O399)), AND(ISBLANK($P399), ISBLANK($Q399), ISBLANK($R399))), "No", "Yes")</f>
        <v>No</v>
      </c>
      <c r="T399" s="42" t="str">
        <f aca="false">SUBSTITUTE($U399," ","")</f>
        <v>56585A102</v>
      </c>
      <c r="U399" s="42" t="s">
        <v>534</v>
      </c>
      <c r="V399" s="39" t="n">
        <v>20100</v>
      </c>
    </row>
    <row r="400" customFormat="false" ht="15" hidden="false" customHeight="false" outlineLevel="0" collapsed="false">
      <c r="B400" s="70" t="s">
        <v>536</v>
      </c>
      <c r="C400" s="71" t="str">
        <f aca="false">IFERROR(INDEX('13F Data'!A:A,MATCH($B400,'13F Data'!A:A,0)),"No CUSIP Match")</f>
        <v>No CUSIP Match</v>
      </c>
      <c r="D400" s="71" t="str">
        <f aca="false">IFERROR(IF($B400=$C400,"Yes","No"),"No CUSIP Match")</f>
        <v>No</v>
      </c>
      <c r="E400" s="71"/>
      <c r="F400" s="71" t="str">
        <f aca="false">IFERROR(INDEX('13F Data'!C:C, MATCH($B400,'13F Data'!A:A,0)),"No CUSIP Match")</f>
        <v>No CUSIP Match</v>
      </c>
      <c r="G400" s="72" t="str">
        <f aca="false">IFERROR(INDEX('13F Data'!D:D,MATCH($B400,'13F Data'!A:A,0)),"No CUSIP Match")</f>
        <v>No CUSIP Match</v>
      </c>
      <c r="J400" s="73" t="n">
        <f aca="false">$V400</f>
        <v>13100</v>
      </c>
      <c r="K400" s="71" t="str">
        <f aca="false">IFERROR(INDEX('EOD Data'!G:G, MATCH($A400, 'EOD Data'!B:B,0)), "No TKR Match")</f>
        <v>No TKR Match</v>
      </c>
      <c r="L400" s="71" t="str">
        <f aca="false">IFERROR(ROUND($J400*$K400,0),"Error")</f>
        <v>Error</v>
      </c>
      <c r="M400" s="71" t="str">
        <f aca="false">IFERROR(IF(AND($J400&lt;10000,$L400&lt;200000),"Yes","No"),"Error")</f>
        <v>No</v>
      </c>
      <c r="P400" s="42" t="str">
        <f aca="false">IF($N400="SOLE",$J400,"")</f>
        <v/>
      </c>
      <c r="Q400" s="42" t="str">
        <f aca="false">IFERROR(IF($N400="Sole",0,IF(AND($N400="OTR",$R400=0),$J400-$P400,IF(AND($N400="OTR", $R400&gt;0), $J400-$P400-$Q400, ""))),"")</f>
        <v/>
      </c>
      <c r="R400" s="42" t="str">
        <f aca="false">IF($P400=$J400, "0","")</f>
        <v/>
      </c>
      <c r="S400" s="42" t="str">
        <f aca="false">IF(OR(ISBLANK($B400),ISBLANK($C400), ISBLANK($E400), ISBLANK($F400), AND(ISBLANK($G400),ISBLANK($H400)), ISBLANK($I400), ISBLANK($L400), AND(ISBLANK($N400), ISBLANK($O400)), AND(ISBLANK($P400), ISBLANK($Q400), ISBLANK($R400))), "No", "Yes")</f>
        <v>No</v>
      </c>
      <c r="T400" s="42" t="str">
        <f aca="false">SUBSTITUTE($U400," ","")</f>
        <v>571903202</v>
      </c>
      <c r="U400" s="42" t="s">
        <v>536</v>
      </c>
      <c r="V400" s="39" t="n">
        <v>13100</v>
      </c>
    </row>
    <row r="401" customFormat="false" ht="15" hidden="false" customHeight="false" outlineLevel="0" collapsed="false">
      <c r="B401" s="70" t="s">
        <v>536</v>
      </c>
      <c r="C401" s="71" t="str">
        <f aca="false">IFERROR(INDEX('13F Data'!A:A,MATCH($B401,'13F Data'!A:A,0)),"No CUSIP Match")</f>
        <v>No CUSIP Match</v>
      </c>
      <c r="D401" s="71" t="str">
        <f aca="false">IFERROR(IF($B401=$C401,"Yes","No"),"No CUSIP Match")</f>
        <v>No</v>
      </c>
      <c r="E401" s="71"/>
      <c r="F401" s="71" t="str">
        <f aca="false">IFERROR(INDEX('13F Data'!C:C, MATCH($B401,'13F Data'!A:A,0)),"No CUSIP Match")</f>
        <v>No CUSIP Match</v>
      </c>
      <c r="G401" s="72" t="str">
        <f aca="false">IFERROR(INDEX('13F Data'!D:D,MATCH($B401,'13F Data'!A:A,0)),"No CUSIP Match")</f>
        <v>No CUSIP Match</v>
      </c>
      <c r="J401" s="73" t="n">
        <f aca="false">$V401</f>
        <v>13100</v>
      </c>
      <c r="K401" s="71" t="str">
        <f aca="false">IFERROR(INDEX('EOD Data'!G:G, MATCH($A401, 'EOD Data'!B:B,0)), "No TKR Match")</f>
        <v>No TKR Match</v>
      </c>
      <c r="L401" s="71" t="str">
        <f aca="false">IFERROR(ROUND($J401*$K401,0),"Error")</f>
        <v>Error</v>
      </c>
      <c r="M401" s="71" t="str">
        <f aca="false">IFERROR(IF(AND($J401&lt;10000,$L401&lt;200000),"Yes","No"),"Error")</f>
        <v>No</v>
      </c>
      <c r="P401" s="42" t="str">
        <f aca="false">IF($N401="SOLE",$J401,"")</f>
        <v/>
      </c>
      <c r="Q401" s="42" t="str">
        <f aca="false">IFERROR(IF($N401="Sole",0,IF(AND($N401="OTR",$R401=0),$J401-$P401,IF(AND($N401="OTR", $R401&gt;0), $J401-$P401-$Q401, ""))),"")</f>
        <v/>
      </c>
      <c r="R401" s="42" t="str">
        <f aca="false">IF($P401=$J401, "0","")</f>
        <v/>
      </c>
      <c r="S401" s="42" t="str">
        <f aca="false">IF(OR(ISBLANK($B401),ISBLANK($C401), ISBLANK($E401), ISBLANK($F401), AND(ISBLANK($G401),ISBLANK($H401)), ISBLANK($I401), ISBLANK($L401), AND(ISBLANK($N401), ISBLANK($O401)), AND(ISBLANK($P401), ISBLANK($Q401), ISBLANK($R401))), "No", "Yes")</f>
        <v>No</v>
      </c>
      <c r="T401" s="42" t="str">
        <f aca="false">SUBSTITUTE($U401," ","")</f>
        <v>571903202</v>
      </c>
      <c r="U401" s="42" t="s">
        <v>536</v>
      </c>
      <c r="V401" s="39" t="n">
        <v>13100</v>
      </c>
    </row>
    <row r="402" customFormat="false" ht="15" hidden="false" customHeight="false" outlineLevel="0" collapsed="false">
      <c r="B402" s="70" t="s">
        <v>538</v>
      </c>
      <c r="C402" s="71" t="str">
        <f aca="false">IFERROR(INDEX('13F Data'!A:A,MATCH($B402,'13F Data'!A:A,0)),"No CUSIP Match")</f>
        <v>No CUSIP Match</v>
      </c>
      <c r="D402" s="71" t="str">
        <f aca="false">IFERROR(IF($B402=$C402,"Yes","No"),"No CUSIP Match")</f>
        <v>No</v>
      </c>
      <c r="E402" s="71"/>
      <c r="F402" s="71" t="str">
        <f aca="false">IFERROR(INDEX('13F Data'!C:C, MATCH($B402,'13F Data'!A:A,0)),"No CUSIP Match")</f>
        <v>No CUSIP Match</v>
      </c>
      <c r="G402" s="72" t="str">
        <f aca="false">IFERROR(INDEX('13F Data'!D:D,MATCH($B402,'13F Data'!A:A,0)),"No CUSIP Match")</f>
        <v>No CUSIP Match</v>
      </c>
      <c r="J402" s="73" t="n">
        <f aca="false">$V402</f>
        <v>400</v>
      </c>
      <c r="K402" s="71" t="str">
        <f aca="false">IFERROR(INDEX('EOD Data'!G:G, MATCH($A402, 'EOD Data'!B:B,0)), "No TKR Match")</f>
        <v>No TKR Match</v>
      </c>
      <c r="L402" s="71" t="str">
        <f aca="false">IFERROR(ROUND($J402*$K402,0),"Error")</f>
        <v>Error</v>
      </c>
      <c r="M402" s="71" t="str">
        <f aca="false">IFERROR(IF(AND($J402&lt;10000,$L402&lt;200000),"Yes","No"),"Error")</f>
        <v>No</v>
      </c>
      <c r="P402" s="42" t="str">
        <f aca="false">IF($N402="SOLE",$J402,"")</f>
        <v/>
      </c>
      <c r="Q402" s="42" t="str">
        <f aca="false">IFERROR(IF($N402="Sole",0,IF(AND($N402="OTR",$R402=0),$J402-$P402,IF(AND($N402="OTR", $R402&gt;0), $J402-$P402-$Q402, ""))),"")</f>
        <v/>
      </c>
      <c r="R402" s="42" t="str">
        <f aca="false">IF($P402=$J402, "0","")</f>
        <v/>
      </c>
      <c r="S402" s="42" t="str">
        <f aca="false">IF(OR(ISBLANK($B402),ISBLANK($C402), ISBLANK($E402), ISBLANK($F402), AND(ISBLANK($G402),ISBLANK($H402)), ISBLANK($I402), ISBLANK($L402), AND(ISBLANK($N402), ISBLANK($O402)), AND(ISBLANK($P402), ISBLANK($Q402), ISBLANK($R402))), "No", "Yes")</f>
        <v>No</v>
      </c>
      <c r="T402" s="42" t="str">
        <f aca="false">SUBSTITUTE($U402," ","")</f>
        <v>571748102</v>
      </c>
      <c r="U402" s="42" t="s">
        <v>538</v>
      </c>
      <c r="V402" s="39" t="n">
        <v>400</v>
      </c>
    </row>
    <row r="403" customFormat="false" ht="15" hidden="false" customHeight="false" outlineLevel="0" collapsed="false">
      <c r="B403" s="70" t="s">
        <v>538</v>
      </c>
      <c r="C403" s="71" t="str">
        <f aca="false">IFERROR(INDEX('13F Data'!A:A,MATCH($B403,'13F Data'!A:A,0)),"No CUSIP Match")</f>
        <v>No CUSIP Match</v>
      </c>
      <c r="D403" s="71" t="str">
        <f aca="false">IFERROR(IF($B403=$C403,"Yes","No"),"No CUSIP Match")</f>
        <v>No</v>
      </c>
      <c r="E403" s="71"/>
      <c r="F403" s="71" t="str">
        <f aca="false">IFERROR(INDEX('13F Data'!C:C, MATCH($B403,'13F Data'!A:A,0)),"No CUSIP Match")</f>
        <v>No CUSIP Match</v>
      </c>
      <c r="G403" s="72" t="str">
        <f aca="false">IFERROR(INDEX('13F Data'!D:D,MATCH($B403,'13F Data'!A:A,0)),"No CUSIP Match")</f>
        <v>No CUSIP Match</v>
      </c>
      <c r="J403" s="73" t="n">
        <f aca="false">$V403</f>
        <v>400</v>
      </c>
      <c r="K403" s="71" t="str">
        <f aca="false">IFERROR(INDEX('EOD Data'!G:G, MATCH($A403, 'EOD Data'!B:B,0)), "No TKR Match")</f>
        <v>No TKR Match</v>
      </c>
      <c r="L403" s="71" t="str">
        <f aca="false">IFERROR(ROUND($J403*$K403,0),"Error")</f>
        <v>Error</v>
      </c>
      <c r="M403" s="71" t="str">
        <f aca="false">IFERROR(IF(AND($J403&lt;10000,$L403&lt;200000),"Yes","No"),"Error")</f>
        <v>No</v>
      </c>
      <c r="P403" s="42" t="str">
        <f aca="false">IF($N403="SOLE",$J403,"")</f>
        <v/>
      </c>
      <c r="Q403" s="42" t="str">
        <f aca="false">IFERROR(IF($N403="Sole",0,IF(AND($N403="OTR",$R403=0),$J403-$P403,IF(AND($N403="OTR", $R403&gt;0), $J403-$P403-$Q403, ""))),"")</f>
        <v/>
      </c>
      <c r="R403" s="42" t="str">
        <f aca="false">IF($P403=$J403, "0","")</f>
        <v/>
      </c>
      <c r="S403" s="42" t="str">
        <f aca="false">IF(OR(ISBLANK($B403),ISBLANK($C403), ISBLANK($E403), ISBLANK($F403), AND(ISBLANK($G403),ISBLANK($H403)), ISBLANK($I403), ISBLANK($L403), AND(ISBLANK($N403), ISBLANK($O403)), AND(ISBLANK($P403), ISBLANK($Q403), ISBLANK($R403))), "No", "Yes")</f>
        <v>No</v>
      </c>
      <c r="T403" s="42" t="str">
        <f aca="false">SUBSTITUTE($U403," ","")</f>
        <v>571748102</v>
      </c>
      <c r="U403" s="42" t="s">
        <v>538</v>
      </c>
      <c r="V403" s="39" t="n">
        <v>400</v>
      </c>
    </row>
    <row r="404" customFormat="false" ht="15" hidden="false" customHeight="false" outlineLevel="0" collapsed="false">
      <c r="B404" s="70" t="s">
        <v>540</v>
      </c>
      <c r="C404" s="71" t="str">
        <f aca="false">IFERROR(INDEX('13F Data'!A:A,MATCH($B404,'13F Data'!A:A,0)),"No CUSIP Match")</f>
        <v>No CUSIP Match</v>
      </c>
      <c r="D404" s="71" t="str">
        <f aca="false">IFERROR(IF($B404=$C404,"Yes","No"),"No CUSIP Match")</f>
        <v>No</v>
      </c>
      <c r="E404" s="71"/>
      <c r="F404" s="71" t="str">
        <f aca="false">IFERROR(INDEX('13F Data'!C:C, MATCH($B404,'13F Data'!A:A,0)),"No CUSIP Match")</f>
        <v>No CUSIP Match</v>
      </c>
      <c r="G404" s="72" t="str">
        <f aca="false">IFERROR(INDEX('13F Data'!D:D,MATCH($B404,'13F Data'!A:A,0)),"No CUSIP Match")</f>
        <v>No CUSIP Match</v>
      </c>
      <c r="J404" s="73" t="n">
        <f aca="false">$V404</f>
        <v>27480</v>
      </c>
      <c r="K404" s="71" t="str">
        <f aca="false">IFERROR(INDEX('EOD Data'!G:G, MATCH($A404, 'EOD Data'!B:B,0)), "No TKR Match")</f>
        <v>No TKR Match</v>
      </c>
      <c r="L404" s="71" t="str">
        <f aca="false">IFERROR(ROUND($J404*$K404,0),"Error")</f>
        <v>Error</v>
      </c>
      <c r="M404" s="71" t="str">
        <f aca="false">IFERROR(IF(AND($J404&lt;10000,$L404&lt;200000),"Yes","No"),"Error")</f>
        <v>No</v>
      </c>
      <c r="P404" s="42" t="str">
        <f aca="false">IF($N404="SOLE",$J404,"")</f>
        <v/>
      </c>
      <c r="Q404" s="42" t="str">
        <f aca="false">IFERROR(IF($N404="Sole",0,IF(AND($N404="OTR",$R404=0),$J404-$P404,IF(AND($N404="OTR", $R404&gt;0), $J404-$P404-$Q404, ""))),"")</f>
        <v/>
      </c>
      <c r="R404" s="42" t="str">
        <f aca="false">IF($P404=$J404, "0","")</f>
        <v/>
      </c>
      <c r="S404" s="42" t="str">
        <f aca="false">IF(OR(ISBLANK($B404),ISBLANK($C404), ISBLANK($E404), ISBLANK($F404), AND(ISBLANK($G404),ISBLANK($H404)), ISBLANK($I404), ISBLANK($L404), AND(ISBLANK($N404), ISBLANK($O404)), AND(ISBLANK($P404), ISBLANK($Q404), ISBLANK($R404))), "No", "Yes")</f>
        <v>No</v>
      </c>
      <c r="T404" s="42" t="str">
        <f aca="false">SUBSTITUTE($U404," ","")</f>
        <v>574795100</v>
      </c>
      <c r="U404" s="42" t="s">
        <v>540</v>
      </c>
      <c r="V404" s="39" t="n">
        <v>27480</v>
      </c>
    </row>
    <row r="405" customFormat="false" ht="15" hidden="false" customHeight="false" outlineLevel="0" collapsed="false">
      <c r="B405" s="70" t="s">
        <v>542</v>
      </c>
      <c r="C405" s="71" t="str">
        <f aca="false">IFERROR(INDEX('13F Data'!A:A,MATCH($B405,'13F Data'!A:A,0)),"No CUSIP Match")</f>
        <v>No CUSIP Match</v>
      </c>
      <c r="D405" s="71" t="str">
        <f aca="false">IFERROR(IF($B405=$C405,"Yes","No"),"No CUSIP Match")</f>
        <v>No</v>
      </c>
      <c r="E405" s="71"/>
      <c r="F405" s="71" t="str">
        <f aca="false">IFERROR(INDEX('13F Data'!C:C, MATCH($B405,'13F Data'!A:A,0)),"No CUSIP Match")</f>
        <v>No CUSIP Match</v>
      </c>
      <c r="G405" s="72" t="str">
        <f aca="false">IFERROR(INDEX('13F Data'!D:D,MATCH($B405,'13F Data'!A:A,0)),"No CUSIP Match")</f>
        <v>No CUSIP Match</v>
      </c>
      <c r="J405" s="73" t="n">
        <f aca="false">$V405</f>
        <v>5100</v>
      </c>
      <c r="K405" s="71" t="str">
        <f aca="false">IFERROR(INDEX('EOD Data'!G:G, MATCH($A405, 'EOD Data'!B:B,0)), "No TKR Match")</f>
        <v>No TKR Match</v>
      </c>
      <c r="L405" s="71" t="str">
        <f aca="false">IFERROR(ROUND($J405*$K405,0),"Error")</f>
        <v>Error</v>
      </c>
      <c r="M405" s="71" t="str">
        <f aca="false">IFERROR(IF(AND($J405&lt;10000,$L405&lt;200000),"Yes","No"),"Error")</f>
        <v>No</v>
      </c>
      <c r="P405" s="42" t="str">
        <f aca="false">IF($N405="SOLE",$J405,"")</f>
        <v/>
      </c>
      <c r="Q405" s="42" t="str">
        <f aca="false">IFERROR(IF($N405="Sole",0,IF(AND($N405="OTR",$R405=0),$J405-$P405,IF(AND($N405="OTR", $R405&gt;0), $J405-$P405-$Q405, ""))),"")</f>
        <v/>
      </c>
      <c r="R405" s="42" t="str">
        <f aca="false">IF($P405=$J405, "0","")</f>
        <v/>
      </c>
      <c r="S405" s="42" t="str">
        <f aca="false">IF(OR(ISBLANK($B405),ISBLANK($C405), ISBLANK($E405), ISBLANK($F405), AND(ISBLANK($G405),ISBLANK($H405)), ISBLANK($I405), ISBLANK($L405), AND(ISBLANK($N405), ISBLANK($O405)), AND(ISBLANK($P405), ISBLANK($Q405), ISBLANK($R405))), "No", "Yes")</f>
        <v>No</v>
      </c>
      <c r="T405" s="42" t="str">
        <f aca="false">SUBSTITUTE($U405," ","")</f>
        <v>57636Q104</v>
      </c>
      <c r="U405" s="42" t="s">
        <v>542</v>
      </c>
      <c r="V405" s="39" t="n">
        <v>5100</v>
      </c>
    </row>
    <row r="406" customFormat="false" ht="15" hidden="false" customHeight="false" outlineLevel="0" collapsed="false">
      <c r="B406" s="70" t="s">
        <v>542</v>
      </c>
      <c r="C406" s="71" t="str">
        <f aca="false">IFERROR(INDEX('13F Data'!A:A,MATCH($B406,'13F Data'!A:A,0)),"No CUSIP Match")</f>
        <v>No CUSIP Match</v>
      </c>
      <c r="D406" s="71" t="str">
        <f aca="false">IFERROR(IF($B406=$C406,"Yes","No"),"No CUSIP Match")</f>
        <v>No</v>
      </c>
      <c r="E406" s="71"/>
      <c r="F406" s="71" t="str">
        <f aca="false">IFERROR(INDEX('13F Data'!C:C, MATCH($B406,'13F Data'!A:A,0)),"No CUSIP Match")</f>
        <v>No CUSIP Match</v>
      </c>
      <c r="G406" s="72" t="str">
        <f aca="false">IFERROR(INDEX('13F Data'!D:D,MATCH($B406,'13F Data'!A:A,0)),"No CUSIP Match")</f>
        <v>No CUSIP Match</v>
      </c>
      <c r="J406" s="73" t="n">
        <f aca="false">$V406</f>
        <v>5100</v>
      </c>
      <c r="K406" s="71" t="str">
        <f aca="false">IFERROR(INDEX('EOD Data'!G:G, MATCH($A406, 'EOD Data'!B:B,0)), "No TKR Match")</f>
        <v>No TKR Match</v>
      </c>
      <c r="L406" s="71" t="str">
        <f aca="false">IFERROR(ROUND($J406*$K406,0),"Error")</f>
        <v>Error</v>
      </c>
      <c r="M406" s="71" t="str">
        <f aca="false">IFERROR(IF(AND($J406&lt;10000,$L406&lt;200000),"Yes","No"),"Error")</f>
        <v>No</v>
      </c>
      <c r="P406" s="42" t="str">
        <f aca="false">IF($N406="SOLE",$J406,"")</f>
        <v/>
      </c>
      <c r="Q406" s="42" t="str">
        <f aca="false">IFERROR(IF($N406="Sole",0,IF(AND($N406="OTR",$R406=0),$J406-$P406,IF(AND($N406="OTR", $R406&gt;0), $J406-$P406-$Q406, ""))),"")</f>
        <v/>
      </c>
      <c r="R406" s="42" t="str">
        <f aca="false">IF($P406=$J406, "0","")</f>
        <v/>
      </c>
      <c r="S406" s="42" t="str">
        <f aca="false">IF(OR(ISBLANK($B406),ISBLANK($C406), ISBLANK($E406), ISBLANK($F406), AND(ISBLANK($G406),ISBLANK($H406)), ISBLANK($I406), ISBLANK($L406), AND(ISBLANK($N406), ISBLANK($O406)), AND(ISBLANK($P406), ISBLANK($Q406), ISBLANK($R406))), "No", "Yes")</f>
        <v>No</v>
      </c>
      <c r="T406" s="42" t="str">
        <f aca="false">SUBSTITUTE($U406," ","")</f>
        <v>57636Q104</v>
      </c>
      <c r="U406" s="42" t="s">
        <v>542</v>
      </c>
      <c r="V406" s="39" t="n">
        <v>5100</v>
      </c>
    </row>
    <row r="407" customFormat="false" ht="15" hidden="false" customHeight="false" outlineLevel="0" collapsed="false">
      <c r="B407" s="70" t="s">
        <v>544</v>
      </c>
      <c r="C407" s="71" t="str">
        <f aca="false">IFERROR(INDEX('13F Data'!A:A,MATCH($B407,'13F Data'!A:A,0)),"No CUSIP Match")</f>
        <v>No CUSIP Match</v>
      </c>
      <c r="D407" s="71" t="str">
        <f aca="false">IFERROR(IF($B407=$C407,"Yes","No"),"No CUSIP Match")</f>
        <v>No</v>
      </c>
      <c r="E407" s="71"/>
      <c r="F407" s="71" t="str">
        <f aca="false">IFERROR(INDEX('13F Data'!C:C, MATCH($B407,'13F Data'!A:A,0)),"No CUSIP Match")</f>
        <v>No CUSIP Match</v>
      </c>
      <c r="G407" s="72" t="str">
        <f aca="false">IFERROR(INDEX('13F Data'!D:D,MATCH($B407,'13F Data'!A:A,0)),"No CUSIP Match")</f>
        <v>No CUSIP Match</v>
      </c>
      <c r="J407" s="73" t="n">
        <f aca="false">$V407</f>
        <v>8615</v>
      </c>
      <c r="K407" s="71" t="str">
        <f aca="false">IFERROR(INDEX('EOD Data'!G:G, MATCH($A407, 'EOD Data'!B:B,0)), "No TKR Match")</f>
        <v>No TKR Match</v>
      </c>
      <c r="L407" s="71" t="str">
        <f aca="false">IFERROR(ROUND($J407*$K407,0),"Error")</f>
        <v>Error</v>
      </c>
      <c r="M407" s="71" t="str">
        <f aca="false">IFERROR(IF(AND($J407&lt;10000,$L407&lt;200000),"Yes","No"),"Error")</f>
        <v>No</v>
      </c>
      <c r="P407" s="42" t="str">
        <f aca="false">IF($N407="SOLE",$J407,"")</f>
        <v/>
      </c>
      <c r="Q407" s="42" t="str">
        <f aca="false">IFERROR(IF($N407="Sole",0,IF(AND($N407="OTR",$R407=0),$J407-$P407,IF(AND($N407="OTR", $R407&gt;0), $J407-$P407-$Q407, ""))),"")</f>
        <v/>
      </c>
      <c r="R407" s="42" t="str">
        <f aca="false">IF($P407=$J407, "0","")</f>
        <v/>
      </c>
      <c r="S407" s="42" t="str">
        <f aca="false">IF(OR(ISBLANK($B407),ISBLANK($C407), ISBLANK($E407), ISBLANK($F407), AND(ISBLANK($G407),ISBLANK($H407)), ISBLANK($I407), ISBLANK($L407), AND(ISBLANK($N407), ISBLANK($O407)), AND(ISBLANK($P407), ISBLANK($Q407), ISBLANK($R407))), "No", "Yes")</f>
        <v>No</v>
      </c>
      <c r="T407" s="42" t="str">
        <f aca="false">SUBSTITUTE($U407," ","")</f>
        <v>57667L107</v>
      </c>
      <c r="U407" s="42" t="s">
        <v>544</v>
      </c>
      <c r="V407" s="39" t="n">
        <v>8615</v>
      </c>
    </row>
    <row r="408" customFormat="false" ht="15" hidden="false" customHeight="false" outlineLevel="0" collapsed="false">
      <c r="B408" s="70" t="s">
        <v>544</v>
      </c>
      <c r="C408" s="71" t="str">
        <f aca="false">IFERROR(INDEX('13F Data'!A:A,MATCH($B408,'13F Data'!A:A,0)),"No CUSIP Match")</f>
        <v>No CUSIP Match</v>
      </c>
      <c r="D408" s="71" t="str">
        <f aca="false">IFERROR(IF($B408=$C408,"Yes","No"),"No CUSIP Match")</f>
        <v>No</v>
      </c>
      <c r="E408" s="71"/>
      <c r="F408" s="71" t="str">
        <f aca="false">IFERROR(INDEX('13F Data'!C:C, MATCH($B408,'13F Data'!A:A,0)),"No CUSIP Match")</f>
        <v>No CUSIP Match</v>
      </c>
      <c r="G408" s="72" t="str">
        <f aca="false">IFERROR(INDEX('13F Data'!D:D,MATCH($B408,'13F Data'!A:A,0)),"No CUSIP Match")</f>
        <v>No CUSIP Match</v>
      </c>
      <c r="J408" s="73" t="n">
        <f aca="false">$V408</f>
        <v>143700</v>
      </c>
      <c r="K408" s="71" t="str">
        <f aca="false">IFERROR(INDEX('EOD Data'!G:G, MATCH($A408, 'EOD Data'!B:B,0)), "No TKR Match")</f>
        <v>No TKR Match</v>
      </c>
      <c r="L408" s="71" t="str">
        <f aca="false">IFERROR(ROUND($J408*$K408,0),"Error")</f>
        <v>Error</v>
      </c>
      <c r="M408" s="71" t="str">
        <f aca="false">IFERROR(IF(AND($J408&lt;10000,$L408&lt;200000),"Yes","No"),"Error")</f>
        <v>No</v>
      </c>
      <c r="P408" s="42" t="str">
        <f aca="false">IF($N408="SOLE",$J408,"")</f>
        <v/>
      </c>
      <c r="Q408" s="42" t="str">
        <f aca="false">IFERROR(IF($N408="Sole",0,IF(AND($N408="OTR",$R408=0),$J408-$P408,IF(AND($N408="OTR", $R408&gt;0), $J408-$P408-$Q408, ""))),"")</f>
        <v/>
      </c>
      <c r="R408" s="42" t="str">
        <f aca="false">IF($P408=$J408, "0","")</f>
        <v/>
      </c>
      <c r="S408" s="42" t="str">
        <f aca="false">IF(OR(ISBLANK($B408),ISBLANK($C408), ISBLANK($E408), ISBLANK($F408), AND(ISBLANK($G408),ISBLANK($H408)), ISBLANK($I408), ISBLANK($L408), AND(ISBLANK($N408), ISBLANK($O408)), AND(ISBLANK($P408), ISBLANK($Q408), ISBLANK($R408))), "No", "Yes")</f>
        <v>No</v>
      </c>
      <c r="T408" s="42" t="str">
        <f aca="false">SUBSTITUTE($U408," ","")</f>
        <v>57667L107</v>
      </c>
      <c r="U408" s="42" t="s">
        <v>544</v>
      </c>
      <c r="V408" s="39" t="n">
        <v>143700</v>
      </c>
    </row>
    <row r="409" customFormat="false" ht="15" hidden="false" customHeight="false" outlineLevel="0" collapsed="false">
      <c r="B409" s="70" t="s">
        <v>544</v>
      </c>
      <c r="C409" s="71" t="str">
        <f aca="false">IFERROR(INDEX('13F Data'!A:A,MATCH($B409,'13F Data'!A:A,0)),"No CUSIP Match")</f>
        <v>No CUSIP Match</v>
      </c>
      <c r="D409" s="71" t="str">
        <f aca="false">IFERROR(IF($B409=$C409,"Yes","No"),"No CUSIP Match")</f>
        <v>No</v>
      </c>
      <c r="E409" s="71"/>
      <c r="F409" s="71" t="str">
        <f aca="false">IFERROR(INDEX('13F Data'!C:C, MATCH($B409,'13F Data'!A:A,0)),"No CUSIP Match")</f>
        <v>No CUSIP Match</v>
      </c>
      <c r="G409" s="72" t="str">
        <f aca="false">IFERROR(INDEX('13F Data'!D:D,MATCH($B409,'13F Data'!A:A,0)),"No CUSIP Match")</f>
        <v>No CUSIP Match</v>
      </c>
      <c r="J409" s="73" t="n">
        <f aca="false">$V409</f>
        <v>33800</v>
      </c>
      <c r="K409" s="71" t="str">
        <f aca="false">IFERROR(INDEX('EOD Data'!G:G, MATCH($A409, 'EOD Data'!B:B,0)), "No TKR Match")</f>
        <v>No TKR Match</v>
      </c>
      <c r="L409" s="71" t="str">
        <f aca="false">IFERROR(ROUND($J409*$K409,0),"Error")</f>
        <v>Error</v>
      </c>
      <c r="M409" s="71" t="str">
        <f aca="false">IFERROR(IF(AND($J409&lt;10000,$L409&lt;200000),"Yes","No"),"Error")</f>
        <v>No</v>
      </c>
      <c r="P409" s="42" t="str">
        <f aca="false">IF($N409="SOLE",$J409,"")</f>
        <v/>
      </c>
      <c r="Q409" s="42" t="str">
        <f aca="false">IFERROR(IF($N409="Sole",0,IF(AND($N409="OTR",$R409=0),$J409-$P409,IF(AND($N409="OTR", $R409&gt;0), $J409-$P409-$Q409, ""))),"")</f>
        <v/>
      </c>
      <c r="R409" s="42" t="str">
        <f aca="false">IF($P409=$J409, "0","")</f>
        <v/>
      </c>
      <c r="S409" s="42" t="str">
        <f aca="false">IF(OR(ISBLANK($B409),ISBLANK($C409), ISBLANK($E409), ISBLANK($F409), AND(ISBLANK($G409),ISBLANK($H409)), ISBLANK($I409), ISBLANK($L409), AND(ISBLANK($N409), ISBLANK($O409)), AND(ISBLANK($P409), ISBLANK($Q409), ISBLANK($R409))), "No", "Yes")</f>
        <v>No</v>
      </c>
      <c r="T409" s="42" t="str">
        <f aca="false">SUBSTITUTE($U409," ","")</f>
        <v>57667L107</v>
      </c>
      <c r="U409" s="42" t="s">
        <v>544</v>
      </c>
      <c r="V409" s="39" t="n">
        <v>33800</v>
      </c>
    </row>
    <row r="410" customFormat="false" ht="15" hidden="false" customHeight="false" outlineLevel="0" collapsed="false">
      <c r="B410" s="70" t="s">
        <v>546</v>
      </c>
      <c r="C410" s="71" t="str">
        <f aca="false">IFERROR(INDEX('13F Data'!A:A,MATCH($B410,'13F Data'!A:A,0)),"No CUSIP Match")</f>
        <v>No CUSIP Match</v>
      </c>
      <c r="D410" s="71" t="str">
        <f aca="false">IFERROR(IF($B410=$C410,"Yes","No"),"No CUSIP Match")</f>
        <v>No</v>
      </c>
      <c r="E410" s="71"/>
      <c r="F410" s="71" t="str">
        <f aca="false">IFERROR(INDEX('13F Data'!C:C, MATCH($B410,'13F Data'!A:A,0)),"No CUSIP Match")</f>
        <v>No CUSIP Match</v>
      </c>
      <c r="G410" s="72" t="str">
        <f aca="false">IFERROR(INDEX('13F Data'!D:D,MATCH($B410,'13F Data'!A:A,0)),"No CUSIP Match")</f>
        <v>No CUSIP Match</v>
      </c>
      <c r="J410" s="73" t="n">
        <f aca="false">$V410</f>
        <v>16800</v>
      </c>
      <c r="K410" s="71" t="str">
        <f aca="false">IFERROR(INDEX('EOD Data'!G:G, MATCH($A410, 'EOD Data'!B:B,0)), "No TKR Match")</f>
        <v>No TKR Match</v>
      </c>
      <c r="L410" s="71" t="str">
        <f aca="false">IFERROR(ROUND($J410*$K410,0),"Error")</f>
        <v>Error</v>
      </c>
      <c r="M410" s="71" t="str">
        <f aca="false">IFERROR(IF(AND($J410&lt;10000,$L410&lt;200000),"Yes","No"),"Error")</f>
        <v>No</v>
      </c>
      <c r="P410" s="42" t="str">
        <f aca="false">IF($N410="SOLE",$J410,"")</f>
        <v/>
      </c>
      <c r="Q410" s="42" t="str">
        <f aca="false">IFERROR(IF($N410="Sole",0,IF(AND($N410="OTR",$R410=0),$J410-$P410,IF(AND($N410="OTR", $R410&gt;0), $J410-$P410-$Q410, ""))),"")</f>
        <v/>
      </c>
      <c r="R410" s="42" t="str">
        <f aca="false">IF($P410=$J410, "0","")</f>
        <v/>
      </c>
      <c r="S410" s="42" t="str">
        <f aca="false">IF(OR(ISBLANK($B410),ISBLANK($C410), ISBLANK($E410), ISBLANK($F410), AND(ISBLANK($G410),ISBLANK($H410)), ISBLANK($I410), ISBLANK($L410), AND(ISBLANK($N410), ISBLANK($O410)), AND(ISBLANK($P410), ISBLANK($Q410), ISBLANK($R410))), "No", "Yes")</f>
        <v>No</v>
      </c>
      <c r="T410" s="42" t="str">
        <f aca="false">SUBSTITUTE($U410," ","")</f>
        <v>580135101</v>
      </c>
      <c r="U410" s="42" t="s">
        <v>546</v>
      </c>
      <c r="V410" s="39" t="n">
        <v>16800</v>
      </c>
    </row>
    <row r="411" customFormat="false" ht="15" hidden="false" customHeight="false" outlineLevel="0" collapsed="false">
      <c r="B411" s="70" t="s">
        <v>546</v>
      </c>
      <c r="C411" s="71" t="str">
        <f aca="false">IFERROR(INDEX('13F Data'!A:A,MATCH($B411,'13F Data'!A:A,0)),"No CUSIP Match")</f>
        <v>No CUSIP Match</v>
      </c>
      <c r="D411" s="71" t="str">
        <f aca="false">IFERROR(IF($B411=$C411,"Yes","No"),"No CUSIP Match")</f>
        <v>No</v>
      </c>
      <c r="E411" s="71"/>
      <c r="F411" s="71" t="str">
        <f aca="false">IFERROR(INDEX('13F Data'!C:C, MATCH($B411,'13F Data'!A:A,0)),"No CUSIP Match")</f>
        <v>No CUSIP Match</v>
      </c>
      <c r="G411" s="72" t="str">
        <f aca="false">IFERROR(INDEX('13F Data'!D:D,MATCH($B411,'13F Data'!A:A,0)),"No CUSIP Match")</f>
        <v>No CUSIP Match</v>
      </c>
      <c r="J411" s="73" t="n">
        <f aca="false">$V411</f>
        <v>16800</v>
      </c>
      <c r="K411" s="71" t="str">
        <f aca="false">IFERROR(INDEX('EOD Data'!G:G, MATCH($A411, 'EOD Data'!B:B,0)), "No TKR Match")</f>
        <v>No TKR Match</v>
      </c>
      <c r="L411" s="71" t="str">
        <f aca="false">IFERROR(ROUND($J411*$K411,0),"Error")</f>
        <v>Error</v>
      </c>
      <c r="M411" s="71" t="str">
        <f aca="false">IFERROR(IF(AND($J411&lt;10000,$L411&lt;200000),"Yes","No"),"Error")</f>
        <v>No</v>
      </c>
      <c r="P411" s="42" t="str">
        <f aca="false">IF($N411="SOLE",$J411,"")</f>
        <v/>
      </c>
      <c r="Q411" s="42" t="str">
        <f aca="false">IFERROR(IF($N411="Sole",0,IF(AND($N411="OTR",$R411=0),$J411-$P411,IF(AND($N411="OTR", $R411&gt;0), $J411-$P411-$Q411, ""))),"")</f>
        <v/>
      </c>
      <c r="R411" s="42" t="str">
        <f aca="false">IF($P411=$J411, "0","")</f>
        <v/>
      </c>
      <c r="S411" s="42" t="str">
        <f aca="false">IF(OR(ISBLANK($B411),ISBLANK($C411), ISBLANK($E411), ISBLANK($F411), AND(ISBLANK($G411),ISBLANK($H411)), ISBLANK($I411), ISBLANK($L411), AND(ISBLANK($N411), ISBLANK($O411)), AND(ISBLANK($P411), ISBLANK($Q411), ISBLANK($R411))), "No", "Yes")</f>
        <v>No</v>
      </c>
      <c r="T411" s="42" t="str">
        <f aca="false">SUBSTITUTE($U411," ","")</f>
        <v>580135101</v>
      </c>
      <c r="U411" s="42" t="s">
        <v>546</v>
      </c>
      <c r="V411" s="39" t="n">
        <v>16800</v>
      </c>
    </row>
    <row r="412" customFormat="false" ht="15" hidden="false" customHeight="false" outlineLevel="0" collapsed="false">
      <c r="B412" s="70" t="s">
        <v>548</v>
      </c>
      <c r="C412" s="71" t="str">
        <f aca="false">IFERROR(INDEX('13F Data'!A:A,MATCH($B412,'13F Data'!A:A,0)),"No CUSIP Match")</f>
        <v>No CUSIP Match</v>
      </c>
      <c r="D412" s="71" t="str">
        <f aca="false">IFERROR(IF($B412=$C412,"Yes","No"),"No CUSIP Match")</f>
        <v>No</v>
      </c>
      <c r="E412" s="71"/>
      <c r="F412" s="71" t="str">
        <f aca="false">IFERROR(INDEX('13F Data'!C:C, MATCH($B412,'13F Data'!A:A,0)),"No CUSIP Match")</f>
        <v>No CUSIP Match</v>
      </c>
      <c r="G412" s="72" t="str">
        <f aca="false">IFERROR(INDEX('13F Data'!D:D,MATCH($B412,'13F Data'!A:A,0)),"No CUSIP Match")</f>
        <v>No CUSIP Match</v>
      </c>
      <c r="J412" s="73" t="n">
        <f aca="false">$V412</f>
        <v>5100</v>
      </c>
      <c r="K412" s="71" t="str">
        <f aca="false">IFERROR(INDEX('EOD Data'!G:G, MATCH($A412, 'EOD Data'!B:B,0)), "No TKR Match")</f>
        <v>No TKR Match</v>
      </c>
      <c r="L412" s="71" t="str">
        <f aca="false">IFERROR(ROUND($J412*$K412,0),"Error")</f>
        <v>Error</v>
      </c>
      <c r="M412" s="71" t="str">
        <f aca="false">IFERROR(IF(AND($J412&lt;10000,$L412&lt;200000),"Yes","No"),"Error")</f>
        <v>No</v>
      </c>
      <c r="P412" s="42" t="str">
        <f aca="false">IF($N412="SOLE",$J412,"")</f>
        <v/>
      </c>
      <c r="Q412" s="42" t="str">
        <f aca="false">IFERROR(IF($N412="Sole",0,IF(AND($N412="OTR",$R412=0),$J412-$P412,IF(AND($N412="OTR", $R412&gt;0), $J412-$P412-$Q412, ""))),"")</f>
        <v/>
      </c>
      <c r="R412" s="42" t="str">
        <f aca="false">IF($P412=$J412, "0","")</f>
        <v/>
      </c>
      <c r="S412" s="42" t="str">
        <f aca="false">IF(OR(ISBLANK($B412),ISBLANK($C412), ISBLANK($E412), ISBLANK($F412), AND(ISBLANK($G412),ISBLANK($H412)), ISBLANK($I412), ISBLANK($L412), AND(ISBLANK($N412), ISBLANK($O412)), AND(ISBLANK($P412), ISBLANK($Q412), ISBLANK($R412))), "No", "Yes")</f>
        <v>No</v>
      </c>
      <c r="T412" s="42" t="str">
        <f aca="false">SUBSTITUTE($U412," ","")</f>
        <v>58155Q103</v>
      </c>
      <c r="U412" s="42" t="s">
        <v>548</v>
      </c>
      <c r="V412" s="39" t="n">
        <v>5100</v>
      </c>
    </row>
    <row r="413" customFormat="false" ht="15" hidden="false" customHeight="false" outlineLevel="0" collapsed="false">
      <c r="B413" s="70" t="s">
        <v>548</v>
      </c>
      <c r="C413" s="71" t="str">
        <f aca="false">IFERROR(INDEX('13F Data'!A:A,MATCH($B413,'13F Data'!A:A,0)),"No CUSIP Match")</f>
        <v>No CUSIP Match</v>
      </c>
      <c r="D413" s="71" t="str">
        <f aca="false">IFERROR(IF($B413=$C413,"Yes","No"),"No CUSIP Match")</f>
        <v>No</v>
      </c>
      <c r="E413" s="71"/>
      <c r="F413" s="71" t="str">
        <f aca="false">IFERROR(INDEX('13F Data'!C:C, MATCH($B413,'13F Data'!A:A,0)),"No CUSIP Match")</f>
        <v>No CUSIP Match</v>
      </c>
      <c r="G413" s="72" t="str">
        <f aca="false">IFERROR(INDEX('13F Data'!D:D,MATCH($B413,'13F Data'!A:A,0)),"No CUSIP Match")</f>
        <v>No CUSIP Match</v>
      </c>
      <c r="J413" s="73" t="n">
        <f aca="false">$V413</f>
        <v>5100</v>
      </c>
      <c r="K413" s="71" t="str">
        <f aca="false">IFERROR(INDEX('EOD Data'!G:G, MATCH($A413, 'EOD Data'!B:B,0)), "No TKR Match")</f>
        <v>No TKR Match</v>
      </c>
      <c r="L413" s="71" t="str">
        <f aca="false">IFERROR(ROUND($J413*$K413,0),"Error")</f>
        <v>Error</v>
      </c>
      <c r="M413" s="71" t="str">
        <f aca="false">IFERROR(IF(AND($J413&lt;10000,$L413&lt;200000),"Yes","No"),"Error")</f>
        <v>No</v>
      </c>
      <c r="P413" s="42" t="str">
        <f aca="false">IF($N413="SOLE",$J413,"")</f>
        <v/>
      </c>
      <c r="Q413" s="42" t="str">
        <f aca="false">IFERROR(IF($N413="Sole",0,IF(AND($N413="OTR",$R413=0),$J413-$P413,IF(AND($N413="OTR", $R413&gt;0), $J413-$P413-$Q413, ""))),"")</f>
        <v/>
      </c>
      <c r="R413" s="42" t="str">
        <f aca="false">IF($P413=$J413, "0","")</f>
        <v/>
      </c>
      <c r="S413" s="42" t="str">
        <f aca="false">IF(OR(ISBLANK($B413),ISBLANK($C413), ISBLANK($E413), ISBLANK($F413), AND(ISBLANK($G413),ISBLANK($H413)), ISBLANK($I413), ISBLANK($L413), AND(ISBLANK($N413), ISBLANK($O413)), AND(ISBLANK($P413), ISBLANK($Q413), ISBLANK($R413))), "No", "Yes")</f>
        <v>No</v>
      </c>
      <c r="T413" s="42" t="str">
        <f aca="false">SUBSTITUTE($U413," ","")</f>
        <v>58155Q103</v>
      </c>
      <c r="U413" s="42" t="s">
        <v>548</v>
      </c>
      <c r="V413" s="39" t="n">
        <v>5100</v>
      </c>
    </row>
    <row r="414" customFormat="false" ht="15" hidden="false" customHeight="false" outlineLevel="0" collapsed="false">
      <c r="B414" s="70" t="s">
        <v>550</v>
      </c>
      <c r="C414" s="71" t="str">
        <f aca="false">IFERROR(INDEX('13F Data'!A:A,MATCH($B414,'13F Data'!A:A,0)),"No CUSIP Match")</f>
        <v>No CUSIP Match</v>
      </c>
      <c r="D414" s="71" t="str">
        <f aca="false">IFERROR(IF($B414=$C414,"Yes","No"),"No CUSIP Match")</f>
        <v>No</v>
      </c>
      <c r="E414" s="71"/>
      <c r="F414" s="71" t="str">
        <f aca="false">IFERROR(INDEX('13F Data'!C:C, MATCH($B414,'13F Data'!A:A,0)),"No CUSIP Match")</f>
        <v>No CUSIP Match</v>
      </c>
      <c r="G414" s="72" t="str">
        <f aca="false">IFERROR(INDEX('13F Data'!D:D,MATCH($B414,'13F Data'!A:A,0)),"No CUSIP Match")</f>
        <v>No CUSIP Match</v>
      </c>
      <c r="J414" s="73" t="n">
        <f aca="false">$V414</f>
        <v>1300</v>
      </c>
      <c r="K414" s="71" t="str">
        <f aca="false">IFERROR(INDEX('EOD Data'!G:G, MATCH($A414, 'EOD Data'!B:B,0)), "No TKR Match")</f>
        <v>No TKR Match</v>
      </c>
      <c r="L414" s="71" t="str">
        <f aca="false">IFERROR(ROUND($J414*$K414,0),"Error")</f>
        <v>Error</v>
      </c>
      <c r="M414" s="71" t="str">
        <f aca="false">IFERROR(IF(AND($J414&lt;10000,$L414&lt;200000),"Yes","No"),"Error")</f>
        <v>No</v>
      </c>
      <c r="P414" s="42" t="str">
        <f aca="false">IF($N414="SOLE",$J414,"")</f>
        <v/>
      </c>
      <c r="Q414" s="42" t="str">
        <f aca="false">IFERROR(IF($N414="Sole",0,IF(AND($N414="OTR",$R414=0),$J414-$P414,IF(AND($N414="OTR", $R414&gt;0), $J414-$P414-$Q414, ""))),"")</f>
        <v/>
      </c>
      <c r="R414" s="42" t="str">
        <f aca="false">IF($P414=$J414, "0","")</f>
        <v/>
      </c>
      <c r="S414" s="42" t="str">
        <f aca="false">IF(OR(ISBLANK($B414),ISBLANK($C414), ISBLANK($E414), ISBLANK($F414), AND(ISBLANK($G414),ISBLANK($H414)), ISBLANK($I414), ISBLANK($L414), AND(ISBLANK($N414), ISBLANK($O414)), AND(ISBLANK($P414), ISBLANK($Q414), ISBLANK($R414))), "No", "Yes")</f>
        <v>No</v>
      </c>
      <c r="T414" s="42" t="str">
        <f aca="false">SUBSTITUTE($U414," ","")</f>
        <v>00BTN1Y11</v>
      </c>
      <c r="U414" s="42" t="s">
        <v>550</v>
      </c>
      <c r="V414" s="39" t="n">
        <v>1300</v>
      </c>
    </row>
    <row r="415" customFormat="false" ht="15" hidden="false" customHeight="false" outlineLevel="0" collapsed="false">
      <c r="B415" s="70" t="s">
        <v>550</v>
      </c>
      <c r="C415" s="71" t="str">
        <f aca="false">IFERROR(INDEX('13F Data'!A:A,MATCH($B415,'13F Data'!A:A,0)),"No CUSIP Match")</f>
        <v>No CUSIP Match</v>
      </c>
      <c r="D415" s="71" t="str">
        <f aca="false">IFERROR(IF($B415=$C415,"Yes","No"),"No CUSIP Match")</f>
        <v>No</v>
      </c>
      <c r="E415" s="71"/>
      <c r="F415" s="71" t="str">
        <f aca="false">IFERROR(INDEX('13F Data'!C:C, MATCH($B415,'13F Data'!A:A,0)),"No CUSIP Match")</f>
        <v>No CUSIP Match</v>
      </c>
      <c r="G415" s="72" t="str">
        <f aca="false">IFERROR(INDEX('13F Data'!D:D,MATCH($B415,'13F Data'!A:A,0)),"No CUSIP Match")</f>
        <v>No CUSIP Match</v>
      </c>
      <c r="J415" s="73" t="n">
        <f aca="false">$V415</f>
        <v>1300</v>
      </c>
      <c r="K415" s="71" t="str">
        <f aca="false">IFERROR(INDEX('EOD Data'!G:G, MATCH($A415, 'EOD Data'!B:B,0)), "No TKR Match")</f>
        <v>No TKR Match</v>
      </c>
      <c r="L415" s="71" t="str">
        <f aca="false">IFERROR(ROUND($J415*$K415,0),"Error")</f>
        <v>Error</v>
      </c>
      <c r="M415" s="71" t="str">
        <f aca="false">IFERROR(IF(AND($J415&lt;10000,$L415&lt;200000),"Yes","No"),"Error")</f>
        <v>No</v>
      </c>
      <c r="P415" s="42" t="str">
        <f aca="false">IF($N415="SOLE",$J415,"")</f>
        <v/>
      </c>
      <c r="Q415" s="42" t="str">
        <f aca="false">IFERROR(IF($N415="Sole",0,IF(AND($N415="OTR",$R415=0),$J415-$P415,IF(AND($N415="OTR", $R415&gt;0), $J415-$P415-$Q415, ""))),"")</f>
        <v/>
      </c>
      <c r="R415" s="42" t="str">
        <f aca="false">IF($P415=$J415, "0","")</f>
        <v/>
      </c>
      <c r="S415" s="42" t="str">
        <f aca="false">IF(OR(ISBLANK($B415),ISBLANK($C415), ISBLANK($E415), ISBLANK($F415), AND(ISBLANK($G415),ISBLANK($H415)), ISBLANK($I415), ISBLANK($L415), AND(ISBLANK($N415), ISBLANK($O415)), AND(ISBLANK($P415), ISBLANK($Q415), ISBLANK($R415))), "No", "Yes")</f>
        <v>No</v>
      </c>
      <c r="T415" s="42" t="str">
        <f aca="false">SUBSTITUTE($U415," ","")</f>
        <v>00BTN1Y11</v>
      </c>
      <c r="U415" s="42" t="s">
        <v>550</v>
      </c>
      <c r="V415" s="39" t="n">
        <v>1300</v>
      </c>
    </row>
    <row r="416" customFormat="false" ht="15" hidden="false" customHeight="false" outlineLevel="0" collapsed="false">
      <c r="B416" s="70" t="s">
        <v>552</v>
      </c>
      <c r="C416" s="71" t="str">
        <f aca="false">IFERROR(INDEX('13F Data'!A:A,MATCH($B416,'13F Data'!A:A,0)),"No CUSIP Match")</f>
        <v>No CUSIP Match</v>
      </c>
      <c r="D416" s="71" t="str">
        <f aca="false">IFERROR(IF($B416=$C416,"Yes","No"),"No CUSIP Match")</f>
        <v>No</v>
      </c>
      <c r="E416" s="71"/>
      <c r="F416" s="71" t="str">
        <f aca="false">IFERROR(INDEX('13F Data'!C:C, MATCH($B416,'13F Data'!A:A,0)),"No CUSIP Match")</f>
        <v>No CUSIP Match</v>
      </c>
      <c r="G416" s="72" t="str">
        <f aca="false">IFERROR(INDEX('13F Data'!D:D,MATCH($B416,'13F Data'!A:A,0)),"No CUSIP Match")</f>
        <v>No CUSIP Match</v>
      </c>
      <c r="J416" s="73" t="n">
        <f aca="false">$V416</f>
        <v>100</v>
      </c>
      <c r="K416" s="71" t="str">
        <f aca="false">IFERROR(INDEX('EOD Data'!G:G, MATCH($A416, 'EOD Data'!B:B,0)), "No TKR Match")</f>
        <v>No TKR Match</v>
      </c>
      <c r="L416" s="71" t="str">
        <f aca="false">IFERROR(ROUND($J416*$K416,0),"Error")</f>
        <v>Error</v>
      </c>
      <c r="M416" s="71" t="str">
        <f aca="false">IFERROR(IF(AND($J416&lt;10000,$L416&lt;200000),"Yes","No"),"Error")</f>
        <v>No</v>
      </c>
      <c r="P416" s="42" t="str">
        <f aca="false">IF($N416="SOLE",$J416,"")</f>
        <v/>
      </c>
      <c r="Q416" s="42" t="str">
        <f aca="false">IFERROR(IF($N416="Sole",0,IF(AND($N416="OTR",$R416=0),$J416-$P416,IF(AND($N416="OTR", $R416&gt;0), $J416-$P416-$Q416, ""))),"")</f>
        <v/>
      </c>
      <c r="R416" s="42" t="str">
        <f aca="false">IF($P416=$J416, "0","")</f>
        <v/>
      </c>
      <c r="S416" s="42" t="str">
        <f aca="false">IF(OR(ISBLANK($B416),ISBLANK($C416), ISBLANK($E416), ISBLANK($F416), AND(ISBLANK($G416),ISBLANK($H416)), ISBLANK($I416), ISBLANK($L416), AND(ISBLANK($N416), ISBLANK($O416)), AND(ISBLANK($P416), ISBLANK($Q416), ISBLANK($R416))), "No", "Yes")</f>
        <v>No</v>
      </c>
      <c r="T416" s="42" t="str">
        <f aca="false">SUBSTITUTE($U416," ","")</f>
        <v>58733R102</v>
      </c>
      <c r="U416" s="42" t="s">
        <v>552</v>
      </c>
      <c r="V416" s="39" t="n">
        <v>100</v>
      </c>
    </row>
    <row r="417" customFormat="false" ht="15" hidden="false" customHeight="false" outlineLevel="0" collapsed="false">
      <c r="B417" s="70" t="s">
        <v>552</v>
      </c>
      <c r="C417" s="71" t="str">
        <f aca="false">IFERROR(INDEX('13F Data'!A:A,MATCH($B417,'13F Data'!A:A,0)),"No CUSIP Match")</f>
        <v>No CUSIP Match</v>
      </c>
      <c r="D417" s="71" t="str">
        <f aca="false">IFERROR(IF($B417=$C417,"Yes","No"),"No CUSIP Match")</f>
        <v>No</v>
      </c>
      <c r="E417" s="71"/>
      <c r="F417" s="71" t="str">
        <f aca="false">IFERROR(INDEX('13F Data'!C:C, MATCH($B417,'13F Data'!A:A,0)),"No CUSIP Match")</f>
        <v>No CUSIP Match</v>
      </c>
      <c r="G417" s="72" t="str">
        <f aca="false">IFERROR(INDEX('13F Data'!D:D,MATCH($B417,'13F Data'!A:A,0)),"No CUSIP Match")</f>
        <v>No CUSIP Match</v>
      </c>
      <c r="J417" s="73" t="n">
        <f aca="false">$V417</f>
        <v>100</v>
      </c>
      <c r="K417" s="71" t="str">
        <f aca="false">IFERROR(INDEX('EOD Data'!G:G, MATCH($A417, 'EOD Data'!B:B,0)), "No TKR Match")</f>
        <v>No TKR Match</v>
      </c>
      <c r="L417" s="71" t="str">
        <f aca="false">IFERROR(ROUND($J417*$K417,0),"Error")</f>
        <v>Error</v>
      </c>
      <c r="M417" s="71" t="str">
        <f aca="false">IFERROR(IF(AND($J417&lt;10000,$L417&lt;200000),"Yes","No"),"Error")</f>
        <v>No</v>
      </c>
      <c r="P417" s="42" t="str">
        <f aca="false">IF($N417="SOLE",$J417,"")</f>
        <v/>
      </c>
      <c r="Q417" s="42" t="str">
        <f aca="false">IFERROR(IF($N417="Sole",0,IF(AND($N417="OTR",$R417=0),$J417-$P417,IF(AND($N417="OTR", $R417&gt;0), $J417-$P417-$Q417, ""))),"")</f>
        <v/>
      </c>
      <c r="R417" s="42" t="str">
        <f aca="false">IF($P417=$J417, "0","")</f>
        <v/>
      </c>
      <c r="S417" s="42" t="str">
        <f aca="false">IF(OR(ISBLANK($B417),ISBLANK($C417), ISBLANK($E417), ISBLANK($F417), AND(ISBLANK($G417),ISBLANK($H417)), ISBLANK($I417), ISBLANK($L417), AND(ISBLANK($N417), ISBLANK($O417)), AND(ISBLANK($P417), ISBLANK($Q417), ISBLANK($R417))), "No", "Yes")</f>
        <v>No</v>
      </c>
      <c r="T417" s="42" t="str">
        <f aca="false">SUBSTITUTE($U417," ","")</f>
        <v>58733R102</v>
      </c>
      <c r="U417" s="42" t="s">
        <v>552</v>
      </c>
      <c r="V417" s="39" t="n">
        <v>100</v>
      </c>
    </row>
    <row r="418" customFormat="false" ht="15" hidden="false" customHeight="false" outlineLevel="0" collapsed="false">
      <c r="B418" s="70" t="s">
        <v>554</v>
      </c>
      <c r="C418" s="71" t="str">
        <f aca="false">IFERROR(INDEX('13F Data'!A:A,MATCH($B418,'13F Data'!A:A,0)),"No CUSIP Match")</f>
        <v>No CUSIP Match</v>
      </c>
      <c r="D418" s="71" t="str">
        <f aca="false">IFERROR(IF($B418=$C418,"Yes","No"),"No CUSIP Match")</f>
        <v>No</v>
      </c>
      <c r="E418" s="71"/>
      <c r="F418" s="71" t="str">
        <f aca="false">IFERROR(INDEX('13F Data'!C:C, MATCH($B418,'13F Data'!A:A,0)),"No CUSIP Match")</f>
        <v>No CUSIP Match</v>
      </c>
      <c r="G418" s="72" t="str">
        <f aca="false">IFERROR(INDEX('13F Data'!D:D,MATCH($B418,'13F Data'!A:A,0)),"No CUSIP Match")</f>
        <v>No CUSIP Match</v>
      </c>
      <c r="J418" s="73" t="n">
        <f aca="false">$V418</f>
        <v>317735</v>
      </c>
      <c r="K418" s="71" t="str">
        <f aca="false">IFERROR(INDEX('EOD Data'!G:G, MATCH($A418, 'EOD Data'!B:B,0)), "No TKR Match")</f>
        <v>No TKR Match</v>
      </c>
      <c r="L418" s="71" t="str">
        <f aca="false">IFERROR(ROUND($J418*$K418,0),"Error")</f>
        <v>Error</v>
      </c>
      <c r="M418" s="71" t="str">
        <f aca="false">IFERROR(IF(AND($J418&lt;10000,$L418&lt;200000),"Yes","No"),"Error")</f>
        <v>No</v>
      </c>
      <c r="P418" s="42" t="str">
        <f aca="false">IF($N418="SOLE",$J418,"")</f>
        <v/>
      </c>
      <c r="Q418" s="42" t="str">
        <f aca="false">IFERROR(IF($N418="Sole",0,IF(AND($N418="OTR",$R418=0),$J418-$P418,IF(AND($N418="OTR", $R418&gt;0), $J418-$P418-$Q418, ""))),"")</f>
        <v/>
      </c>
      <c r="R418" s="42" t="str">
        <f aca="false">IF($P418=$J418, "0","")</f>
        <v/>
      </c>
      <c r="S418" s="42" t="str">
        <f aca="false">IF(OR(ISBLANK($B418),ISBLANK($C418), ISBLANK($E418), ISBLANK($F418), AND(ISBLANK($G418),ISBLANK($H418)), ISBLANK($I418), ISBLANK($L418), AND(ISBLANK($N418), ISBLANK($O418)), AND(ISBLANK($P418), ISBLANK($Q418), ISBLANK($R418))), "No", "Yes")</f>
        <v>No</v>
      </c>
      <c r="T418" s="42" t="str">
        <f aca="false">SUBSTITUTE($U418," ","")</f>
        <v>588056101</v>
      </c>
      <c r="U418" s="42" t="s">
        <v>554</v>
      </c>
      <c r="V418" s="39" t="n">
        <v>317735</v>
      </c>
    </row>
    <row r="419" customFormat="false" ht="15" hidden="false" customHeight="false" outlineLevel="0" collapsed="false">
      <c r="B419" s="70" t="s">
        <v>556</v>
      </c>
      <c r="C419" s="71" t="str">
        <f aca="false">IFERROR(INDEX('13F Data'!A:A,MATCH($B419,'13F Data'!A:A,0)),"No CUSIP Match")</f>
        <v>No CUSIP Match</v>
      </c>
      <c r="D419" s="71" t="str">
        <f aca="false">IFERROR(IF($B419=$C419,"Yes","No"),"No CUSIP Match")</f>
        <v>No</v>
      </c>
      <c r="E419" s="71"/>
      <c r="F419" s="71" t="str">
        <f aca="false">IFERROR(INDEX('13F Data'!C:C, MATCH($B419,'13F Data'!A:A,0)),"No CUSIP Match")</f>
        <v>No CUSIP Match</v>
      </c>
      <c r="G419" s="72" t="str">
        <f aca="false">IFERROR(INDEX('13F Data'!D:D,MATCH($B419,'13F Data'!A:A,0)),"No CUSIP Match")</f>
        <v>No CUSIP Match</v>
      </c>
      <c r="J419" s="73" t="n">
        <f aca="false">$V419</f>
        <v>2700</v>
      </c>
      <c r="K419" s="71" t="str">
        <f aca="false">IFERROR(INDEX('EOD Data'!G:G, MATCH($A419, 'EOD Data'!B:B,0)), "No TKR Match")</f>
        <v>No TKR Match</v>
      </c>
      <c r="L419" s="71" t="str">
        <f aca="false">IFERROR(ROUND($J419*$K419,0),"Error")</f>
        <v>Error</v>
      </c>
      <c r="M419" s="71" t="str">
        <f aca="false">IFERROR(IF(AND($J419&lt;10000,$L419&lt;200000),"Yes","No"),"Error")</f>
        <v>No</v>
      </c>
      <c r="P419" s="42" t="str">
        <f aca="false">IF($N419="SOLE",$J419,"")</f>
        <v/>
      </c>
      <c r="Q419" s="42" t="str">
        <f aca="false">IFERROR(IF($N419="Sole",0,IF(AND($N419="OTR",$R419=0),$J419-$P419,IF(AND($N419="OTR", $R419&gt;0), $J419-$P419-$Q419, ""))),"")</f>
        <v/>
      </c>
      <c r="R419" s="42" t="str">
        <f aca="false">IF($P419=$J419, "0","")</f>
        <v/>
      </c>
      <c r="S419" s="42" t="str">
        <f aca="false">IF(OR(ISBLANK($B419),ISBLANK($C419), ISBLANK($E419), ISBLANK($F419), AND(ISBLANK($G419),ISBLANK($H419)), ISBLANK($I419), ISBLANK($L419), AND(ISBLANK($N419), ISBLANK($O419)), AND(ISBLANK($P419), ISBLANK($Q419), ISBLANK($R419))), "No", "Yes")</f>
        <v>No</v>
      </c>
      <c r="T419" s="42" t="str">
        <f aca="false">SUBSTITUTE($U419," ","")</f>
        <v>58933Y105</v>
      </c>
      <c r="U419" s="42" t="s">
        <v>556</v>
      </c>
      <c r="V419" s="39" t="n">
        <v>2700</v>
      </c>
    </row>
    <row r="420" customFormat="false" ht="15" hidden="false" customHeight="false" outlineLevel="0" collapsed="false">
      <c r="B420" s="70" t="s">
        <v>556</v>
      </c>
      <c r="C420" s="71" t="str">
        <f aca="false">IFERROR(INDEX('13F Data'!A:A,MATCH($B420,'13F Data'!A:A,0)),"No CUSIP Match")</f>
        <v>No CUSIP Match</v>
      </c>
      <c r="D420" s="71" t="str">
        <f aca="false">IFERROR(IF($B420=$C420,"Yes","No"),"No CUSIP Match")</f>
        <v>No</v>
      </c>
      <c r="E420" s="71"/>
      <c r="F420" s="71" t="str">
        <f aca="false">IFERROR(INDEX('13F Data'!C:C, MATCH($B420,'13F Data'!A:A,0)),"No CUSIP Match")</f>
        <v>No CUSIP Match</v>
      </c>
      <c r="G420" s="72" t="str">
        <f aca="false">IFERROR(INDEX('13F Data'!D:D,MATCH($B420,'13F Data'!A:A,0)),"No CUSIP Match")</f>
        <v>No CUSIP Match</v>
      </c>
      <c r="J420" s="73" t="n">
        <f aca="false">$V420</f>
        <v>2700</v>
      </c>
      <c r="K420" s="71" t="str">
        <f aca="false">IFERROR(INDEX('EOD Data'!G:G, MATCH($A420, 'EOD Data'!B:B,0)), "No TKR Match")</f>
        <v>No TKR Match</v>
      </c>
      <c r="L420" s="71" t="str">
        <f aca="false">IFERROR(ROUND($J420*$K420,0),"Error")</f>
        <v>Error</v>
      </c>
      <c r="M420" s="71" t="str">
        <f aca="false">IFERROR(IF(AND($J420&lt;10000,$L420&lt;200000),"Yes","No"),"Error")</f>
        <v>No</v>
      </c>
      <c r="P420" s="42" t="str">
        <f aca="false">IF($N420="SOLE",$J420,"")</f>
        <v/>
      </c>
      <c r="Q420" s="42" t="str">
        <f aca="false">IFERROR(IF($N420="Sole",0,IF(AND($N420="OTR",$R420=0),$J420-$P420,IF(AND($N420="OTR", $R420&gt;0), $J420-$P420-$Q420, ""))),"")</f>
        <v/>
      </c>
      <c r="R420" s="42" t="str">
        <f aca="false">IF($P420=$J420, "0","")</f>
        <v/>
      </c>
      <c r="S420" s="42" t="str">
        <f aca="false">IF(OR(ISBLANK($B420),ISBLANK($C420), ISBLANK($E420), ISBLANK($F420), AND(ISBLANK($G420),ISBLANK($H420)), ISBLANK($I420), ISBLANK($L420), AND(ISBLANK($N420), ISBLANK($O420)), AND(ISBLANK($P420), ISBLANK($Q420), ISBLANK($R420))), "No", "Yes")</f>
        <v>No</v>
      </c>
      <c r="T420" s="42" t="str">
        <f aca="false">SUBSTITUTE($U420," ","")</f>
        <v>58933Y105</v>
      </c>
      <c r="U420" s="42" t="s">
        <v>556</v>
      </c>
      <c r="V420" s="39" t="n">
        <v>2700</v>
      </c>
    </row>
    <row r="421" customFormat="false" ht="15" hidden="false" customHeight="false" outlineLevel="0" collapsed="false">
      <c r="B421" s="70" t="s">
        <v>558</v>
      </c>
      <c r="C421" s="71" t="str">
        <f aca="false">IFERROR(INDEX('13F Data'!A:A,MATCH($B421,'13F Data'!A:A,0)),"No CUSIP Match")</f>
        <v>No CUSIP Match</v>
      </c>
      <c r="D421" s="71" t="str">
        <f aca="false">IFERROR(IF($B421=$C421,"Yes","No"),"No CUSIP Match")</f>
        <v>No</v>
      </c>
      <c r="E421" s="71"/>
      <c r="F421" s="71" t="str">
        <f aca="false">IFERROR(INDEX('13F Data'!C:C, MATCH($B421,'13F Data'!A:A,0)),"No CUSIP Match")</f>
        <v>No CUSIP Match</v>
      </c>
      <c r="G421" s="72" t="str">
        <f aca="false">IFERROR(INDEX('13F Data'!D:D,MATCH($B421,'13F Data'!A:A,0)),"No CUSIP Match")</f>
        <v>No CUSIP Match</v>
      </c>
      <c r="J421" s="73" t="n">
        <f aca="false">$V421</f>
        <v>35000000</v>
      </c>
      <c r="K421" s="71" t="str">
        <f aca="false">IFERROR(INDEX('EOD Data'!G:G, MATCH($A421, 'EOD Data'!B:B,0)), "No TKR Match")</f>
        <v>No TKR Match</v>
      </c>
      <c r="L421" s="71" t="str">
        <f aca="false">IFERROR(ROUND($J421*$K421,0),"Error")</f>
        <v>Error</v>
      </c>
      <c r="M421" s="71" t="str">
        <f aca="false">IFERROR(IF(AND($J421&lt;10000,$L421&lt;200000),"Yes","No"),"Error")</f>
        <v>No</v>
      </c>
      <c r="P421" s="42" t="str">
        <f aca="false">IF($N421="SOLE",$J421,"")</f>
        <v/>
      </c>
      <c r="Q421" s="42" t="str">
        <f aca="false">IFERROR(IF($N421="Sole",0,IF(AND($N421="OTR",$R421=0),$J421-$P421,IF(AND($N421="OTR", $R421&gt;0), $J421-$P421-$Q421, ""))),"")</f>
        <v/>
      </c>
      <c r="R421" s="42" t="str">
        <f aca="false">IF($P421=$J421, "0","")</f>
        <v/>
      </c>
      <c r="S421" s="42" t="str">
        <f aca="false">IF(OR(ISBLANK($B421),ISBLANK($C421), ISBLANK($E421), ISBLANK($F421), AND(ISBLANK($G421),ISBLANK($H421)), ISBLANK($I421), ISBLANK($L421), AND(ISBLANK($N421), ISBLANK($O421)), AND(ISBLANK($P421), ISBLANK($Q421), ISBLANK($R421))), "No", "Yes")</f>
        <v>No</v>
      </c>
      <c r="T421" s="42" t="str">
        <f aca="false">SUBSTITUTE($U421," ","")</f>
        <v>589889AA2</v>
      </c>
      <c r="U421" s="42" t="s">
        <v>558</v>
      </c>
      <c r="V421" s="39" t="n">
        <v>35000000</v>
      </c>
    </row>
    <row r="422" customFormat="false" ht="15" hidden="false" customHeight="false" outlineLevel="0" collapsed="false">
      <c r="B422" s="70" t="s">
        <v>560</v>
      </c>
      <c r="C422" s="71" t="str">
        <f aca="false">IFERROR(INDEX('13F Data'!A:A,MATCH($B422,'13F Data'!A:A,0)),"No CUSIP Match")</f>
        <v>No CUSIP Match</v>
      </c>
      <c r="D422" s="71" t="str">
        <f aca="false">IFERROR(IF($B422=$C422,"Yes","No"),"No CUSIP Match")</f>
        <v>No</v>
      </c>
      <c r="E422" s="71"/>
      <c r="F422" s="71" t="str">
        <f aca="false">IFERROR(INDEX('13F Data'!C:C, MATCH($B422,'13F Data'!A:A,0)),"No CUSIP Match")</f>
        <v>No CUSIP Match</v>
      </c>
      <c r="G422" s="72" t="str">
        <f aca="false">IFERROR(INDEX('13F Data'!D:D,MATCH($B422,'13F Data'!A:A,0)),"No CUSIP Match")</f>
        <v>No CUSIP Match</v>
      </c>
      <c r="J422" s="73" t="n">
        <f aca="false">$V422</f>
        <v>295038</v>
      </c>
      <c r="K422" s="71" t="str">
        <f aca="false">IFERROR(INDEX('EOD Data'!G:G, MATCH($A422, 'EOD Data'!B:B,0)), "No TKR Match")</f>
        <v>No TKR Match</v>
      </c>
      <c r="L422" s="71" t="str">
        <f aca="false">IFERROR(ROUND($J422*$K422,0),"Error")</f>
        <v>Error</v>
      </c>
      <c r="M422" s="71" t="str">
        <f aca="false">IFERROR(IF(AND($J422&lt;10000,$L422&lt;200000),"Yes","No"),"Error")</f>
        <v>No</v>
      </c>
      <c r="P422" s="42" t="str">
        <f aca="false">IF($N422="SOLE",$J422,"")</f>
        <v/>
      </c>
      <c r="Q422" s="42" t="str">
        <f aca="false">IFERROR(IF($N422="Sole",0,IF(AND($N422="OTR",$R422=0),$J422-$P422,IF(AND($N422="OTR", $R422&gt;0), $J422-$P422-$Q422, ""))),"")</f>
        <v/>
      </c>
      <c r="R422" s="42" t="str">
        <f aca="false">IF($P422=$J422, "0","")</f>
        <v/>
      </c>
      <c r="S422" s="42" t="str">
        <f aca="false">IF(OR(ISBLANK($B422),ISBLANK($C422), ISBLANK($E422), ISBLANK($F422), AND(ISBLANK($G422),ISBLANK($H422)), ISBLANK($I422), ISBLANK($L422), AND(ISBLANK($N422), ISBLANK($O422)), AND(ISBLANK($P422), ISBLANK($Q422), ISBLANK($R422))), "No", "Yes")</f>
        <v>No</v>
      </c>
      <c r="T422" s="42" t="str">
        <f aca="false">SUBSTITUTE($U422," ","")</f>
        <v>59045L106</v>
      </c>
      <c r="U422" s="42" t="s">
        <v>560</v>
      </c>
      <c r="V422" s="39" t="n">
        <v>295038</v>
      </c>
    </row>
    <row r="423" customFormat="false" ht="15" hidden="false" customHeight="false" outlineLevel="0" collapsed="false">
      <c r="B423" s="70" t="s">
        <v>562</v>
      </c>
      <c r="C423" s="71" t="str">
        <f aca="false">IFERROR(INDEX('13F Data'!A:A,MATCH($B423,'13F Data'!A:A,0)),"No CUSIP Match")</f>
        <v>No CUSIP Match</v>
      </c>
      <c r="D423" s="71" t="str">
        <f aca="false">IFERROR(IF($B423=$C423,"Yes","No"),"No CUSIP Match")</f>
        <v>No</v>
      </c>
      <c r="E423" s="71"/>
      <c r="F423" s="71" t="str">
        <f aca="false">IFERROR(INDEX('13F Data'!C:C, MATCH($B423,'13F Data'!A:A,0)),"No CUSIP Match")</f>
        <v>No CUSIP Match</v>
      </c>
      <c r="G423" s="72" t="str">
        <f aca="false">IFERROR(INDEX('13F Data'!D:D,MATCH($B423,'13F Data'!A:A,0)),"No CUSIP Match")</f>
        <v>No CUSIP Match</v>
      </c>
      <c r="J423" s="73" t="n">
        <f aca="false">$V423</f>
        <v>15000000</v>
      </c>
      <c r="K423" s="71" t="str">
        <f aca="false">IFERROR(INDEX('EOD Data'!G:G, MATCH($A423, 'EOD Data'!B:B,0)), "No TKR Match")</f>
        <v>No TKR Match</v>
      </c>
      <c r="L423" s="71" t="str">
        <f aca="false">IFERROR(ROUND($J423*$K423,0),"Error")</f>
        <v>Error</v>
      </c>
      <c r="M423" s="71" t="str">
        <f aca="false">IFERROR(IF(AND($J423&lt;10000,$L423&lt;200000),"Yes","No"),"Error")</f>
        <v>No</v>
      </c>
      <c r="P423" s="42" t="str">
        <f aca="false">IF($N423="SOLE",$J423,"")</f>
        <v/>
      </c>
      <c r="Q423" s="42" t="str">
        <f aca="false">IFERROR(IF($N423="Sole",0,IF(AND($N423="OTR",$R423=0),$J423-$P423,IF(AND($N423="OTR", $R423&gt;0), $J423-$P423-$Q423, ""))),"")</f>
        <v/>
      </c>
      <c r="R423" s="42" t="str">
        <f aca="false">IF($P423=$J423, "0","")</f>
        <v/>
      </c>
      <c r="S423" s="42" t="str">
        <f aca="false">IF(OR(ISBLANK($B423),ISBLANK($C423), ISBLANK($E423), ISBLANK($F423), AND(ISBLANK($G423),ISBLANK($H423)), ISBLANK($I423), ISBLANK($L423), AND(ISBLANK($N423), ISBLANK($O423)), AND(ISBLANK($P423), ISBLANK($Q423), ISBLANK($R423))), "No", "Yes")</f>
        <v>No</v>
      </c>
      <c r="T423" s="42" t="str">
        <f aca="false">SUBSTITUTE($U423," ","")</f>
        <v>59064RAA7</v>
      </c>
      <c r="U423" s="42" t="s">
        <v>562</v>
      </c>
      <c r="V423" s="39" t="n">
        <v>15000000</v>
      </c>
    </row>
    <row r="424" customFormat="false" ht="15" hidden="false" customHeight="false" outlineLevel="0" collapsed="false">
      <c r="B424" s="70" t="s">
        <v>564</v>
      </c>
      <c r="C424" s="71" t="str">
        <f aca="false">IFERROR(INDEX('13F Data'!A:A,MATCH($B424,'13F Data'!A:A,0)),"No CUSIP Match")</f>
        <v>No CUSIP Match</v>
      </c>
      <c r="D424" s="71" t="str">
        <f aca="false">IFERROR(IF($B424=$C424,"Yes","No"),"No CUSIP Match")</f>
        <v>No</v>
      </c>
      <c r="E424" s="71"/>
      <c r="F424" s="71" t="str">
        <f aca="false">IFERROR(INDEX('13F Data'!C:C, MATCH($B424,'13F Data'!A:A,0)),"No CUSIP Match")</f>
        <v>No CUSIP Match</v>
      </c>
      <c r="G424" s="72" t="str">
        <f aca="false">IFERROR(INDEX('13F Data'!D:D,MATCH($B424,'13F Data'!A:A,0)),"No CUSIP Match")</f>
        <v>No CUSIP Match</v>
      </c>
      <c r="J424" s="73" t="n">
        <f aca="false">$V424</f>
        <v>8800</v>
      </c>
      <c r="K424" s="71" t="str">
        <f aca="false">IFERROR(INDEX('EOD Data'!G:G, MATCH($A424, 'EOD Data'!B:B,0)), "No TKR Match")</f>
        <v>No TKR Match</v>
      </c>
      <c r="L424" s="71" t="str">
        <f aca="false">IFERROR(ROUND($J424*$K424,0),"Error")</f>
        <v>Error</v>
      </c>
      <c r="M424" s="71" t="str">
        <f aca="false">IFERROR(IF(AND($J424&lt;10000,$L424&lt;200000),"Yes","No"),"Error")</f>
        <v>No</v>
      </c>
      <c r="P424" s="42" t="str">
        <f aca="false">IF($N424="SOLE",$J424,"")</f>
        <v/>
      </c>
      <c r="Q424" s="42" t="str">
        <f aca="false">IFERROR(IF($N424="Sole",0,IF(AND($N424="OTR",$R424=0),$J424-$P424,IF(AND($N424="OTR", $R424&gt;0), $J424-$P424-$Q424, ""))),"")</f>
        <v/>
      </c>
      <c r="R424" s="42" t="str">
        <f aca="false">IF($P424=$J424, "0","")</f>
        <v/>
      </c>
      <c r="S424" s="42" t="str">
        <f aca="false">IF(OR(ISBLANK($B424),ISBLANK($C424), ISBLANK($E424), ISBLANK($F424), AND(ISBLANK($G424),ISBLANK($H424)), ISBLANK($I424), ISBLANK($L424), AND(ISBLANK($N424), ISBLANK($O424)), AND(ISBLANK($P424), ISBLANK($Q424), ISBLANK($R424))), "No", "Yes")</f>
        <v>No</v>
      </c>
      <c r="T424" s="42" t="str">
        <f aca="false">SUBSTITUTE($U424," ","")</f>
        <v>30303M102</v>
      </c>
      <c r="U424" s="42" t="s">
        <v>564</v>
      </c>
      <c r="V424" s="39" t="n">
        <v>8800</v>
      </c>
    </row>
    <row r="425" customFormat="false" ht="15" hidden="false" customHeight="false" outlineLevel="0" collapsed="false">
      <c r="B425" s="70" t="s">
        <v>564</v>
      </c>
      <c r="C425" s="71" t="str">
        <f aca="false">IFERROR(INDEX('13F Data'!A:A,MATCH($B425,'13F Data'!A:A,0)),"No CUSIP Match")</f>
        <v>No CUSIP Match</v>
      </c>
      <c r="D425" s="71" t="str">
        <f aca="false">IFERROR(IF($B425=$C425,"Yes","No"),"No CUSIP Match")</f>
        <v>No</v>
      </c>
      <c r="E425" s="71"/>
      <c r="F425" s="71" t="str">
        <f aca="false">IFERROR(INDEX('13F Data'!C:C, MATCH($B425,'13F Data'!A:A,0)),"No CUSIP Match")</f>
        <v>No CUSIP Match</v>
      </c>
      <c r="G425" s="72" t="str">
        <f aca="false">IFERROR(INDEX('13F Data'!D:D,MATCH($B425,'13F Data'!A:A,0)),"No CUSIP Match")</f>
        <v>No CUSIP Match</v>
      </c>
      <c r="J425" s="73" t="n">
        <f aca="false">$V425</f>
        <v>8800</v>
      </c>
      <c r="K425" s="71" t="str">
        <f aca="false">IFERROR(INDEX('EOD Data'!G:G, MATCH($A425, 'EOD Data'!B:B,0)), "No TKR Match")</f>
        <v>No TKR Match</v>
      </c>
      <c r="L425" s="71" t="str">
        <f aca="false">IFERROR(ROUND($J425*$K425,0),"Error")</f>
        <v>Error</v>
      </c>
      <c r="M425" s="71" t="str">
        <f aca="false">IFERROR(IF(AND($J425&lt;10000,$L425&lt;200000),"Yes","No"),"Error")</f>
        <v>No</v>
      </c>
      <c r="P425" s="42" t="str">
        <f aca="false">IF($N425="SOLE",$J425,"")</f>
        <v/>
      </c>
      <c r="Q425" s="42" t="str">
        <f aca="false">IFERROR(IF($N425="Sole",0,IF(AND($N425="OTR",$R425=0),$J425-$P425,IF(AND($N425="OTR", $R425&gt;0), $J425-$P425-$Q425, ""))),"")</f>
        <v/>
      </c>
      <c r="R425" s="42" t="str">
        <f aca="false">IF($P425=$J425, "0","")</f>
        <v/>
      </c>
      <c r="S425" s="42" t="str">
        <f aca="false">IF(OR(ISBLANK($B425),ISBLANK($C425), ISBLANK($E425), ISBLANK($F425), AND(ISBLANK($G425),ISBLANK($H425)), ISBLANK($I425), ISBLANK($L425), AND(ISBLANK($N425), ISBLANK($O425)), AND(ISBLANK($P425), ISBLANK($Q425), ISBLANK($R425))), "No", "Yes")</f>
        <v>No</v>
      </c>
      <c r="T425" s="42" t="str">
        <f aca="false">SUBSTITUTE($U425," ","")</f>
        <v>30303M102</v>
      </c>
      <c r="U425" s="42" t="s">
        <v>564</v>
      </c>
      <c r="V425" s="39" t="n">
        <v>8800</v>
      </c>
    </row>
    <row r="426" customFormat="false" ht="15" hidden="false" customHeight="false" outlineLevel="0" collapsed="false">
      <c r="B426" s="70" t="s">
        <v>566</v>
      </c>
      <c r="C426" s="71" t="str">
        <f aca="false">IFERROR(INDEX('13F Data'!A:A,MATCH($B426,'13F Data'!A:A,0)),"No CUSIP Match")</f>
        <v>No CUSIP Match</v>
      </c>
      <c r="D426" s="71" t="str">
        <f aca="false">IFERROR(IF($B426=$C426,"Yes","No"),"No CUSIP Match")</f>
        <v>No</v>
      </c>
      <c r="E426" s="71"/>
      <c r="F426" s="71" t="str">
        <f aca="false">IFERROR(INDEX('13F Data'!C:C, MATCH($B426,'13F Data'!A:A,0)),"No CUSIP Match")</f>
        <v>No CUSIP Match</v>
      </c>
      <c r="G426" s="72" t="str">
        <f aca="false">IFERROR(INDEX('13F Data'!D:D,MATCH($B426,'13F Data'!A:A,0)),"No CUSIP Match")</f>
        <v>No CUSIP Match</v>
      </c>
      <c r="J426" s="73" t="n">
        <f aca="false">$V426</f>
        <v>9920</v>
      </c>
      <c r="K426" s="71" t="str">
        <f aca="false">IFERROR(INDEX('EOD Data'!G:G, MATCH($A426, 'EOD Data'!B:B,0)), "No TKR Match")</f>
        <v>No TKR Match</v>
      </c>
      <c r="L426" s="71" t="str">
        <f aca="false">IFERROR(ROUND($J426*$K426,0),"Error")</f>
        <v>Error</v>
      </c>
      <c r="M426" s="71" t="str">
        <f aca="false">IFERROR(IF(AND($J426&lt;10000,$L426&lt;200000),"Yes","No"),"Error")</f>
        <v>No</v>
      </c>
      <c r="P426" s="42" t="str">
        <f aca="false">IF($N426="SOLE",$J426,"")</f>
        <v/>
      </c>
      <c r="Q426" s="42" t="str">
        <f aca="false">IFERROR(IF($N426="Sole",0,IF(AND($N426="OTR",$R426=0),$J426-$P426,IF(AND($N426="OTR", $R426&gt;0), $J426-$P426-$Q426, ""))),"")</f>
        <v/>
      </c>
      <c r="R426" s="42" t="str">
        <f aca="false">IF($P426=$J426, "0","")</f>
        <v/>
      </c>
      <c r="S426" s="42" t="str">
        <f aca="false">IF(OR(ISBLANK($B426),ISBLANK($C426), ISBLANK($E426), ISBLANK($F426), AND(ISBLANK($G426),ISBLANK($H426)), ISBLANK($I426), ISBLANK($L426), AND(ISBLANK($N426), ISBLANK($O426)), AND(ISBLANK($P426), ISBLANK($Q426), ISBLANK($R426))), "No", "Yes")</f>
        <v>No</v>
      </c>
      <c r="T426" s="42" t="str">
        <f aca="false">SUBSTITUTE($U426," ","")</f>
        <v>59156R108</v>
      </c>
      <c r="U426" s="42" t="s">
        <v>566</v>
      </c>
      <c r="V426" s="39" t="n">
        <v>9920</v>
      </c>
    </row>
    <row r="427" customFormat="false" ht="15" hidden="false" customHeight="false" outlineLevel="0" collapsed="false">
      <c r="B427" s="70" t="s">
        <v>566</v>
      </c>
      <c r="C427" s="71" t="str">
        <f aca="false">IFERROR(INDEX('13F Data'!A:A,MATCH($B427,'13F Data'!A:A,0)),"No CUSIP Match")</f>
        <v>No CUSIP Match</v>
      </c>
      <c r="D427" s="71" t="str">
        <f aca="false">IFERROR(IF($B427=$C427,"Yes","No"),"No CUSIP Match")</f>
        <v>No</v>
      </c>
      <c r="E427" s="71"/>
      <c r="F427" s="71" t="str">
        <f aca="false">IFERROR(INDEX('13F Data'!C:C, MATCH($B427,'13F Data'!A:A,0)),"No CUSIP Match")</f>
        <v>No CUSIP Match</v>
      </c>
      <c r="G427" s="72" t="str">
        <f aca="false">IFERROR(INDEX('13F Data'!D:D,MATCH($B427,'13F Data'!A:A,0)),"No CUSIP Match")</f>
        <v>No CUSIP Match</v>
      </c>
      <c r="J427" s="73" t="n">
        <f aca="false">$V427</f>
        <v>53500</v>
      </c>
      <c r="K427" s="71" t="str">
        <f aca="false">IFERROR(INDEX('EOD Data'!G:G, MATCH($A427, 'EOD Data'!B:B,0)), "No TKR Match")</f>
        <v>No TKR Match</v>
      </c>
      <c r="L427" s="71" t="str">
        <f aca="false">IFERROR(ROUND($J427*$K427,0),"Error")</f>
        <v>Error</v>
      </c>
      <c r="M427" s="71" t="str">
        <f aca="false">IFERROR(IF(AND($J427&lt;10000,$L427&lt;200000),"Yes","No"),"Error")</f>
        <v>No</v>
      </c>
      <c r="P427" s="42" t="str">
        <f aca="false">IF($N427="SOLE",$J427,"")</f>
        <v/>
      </c>
      <c r="Q427" s="42" t="str">
        <f aca="false">IFERROR(IF($N427="Sole",0,IF(AND($N427="OTR",$R427=0),$J427-$P427,IF(AND($N427="OTR", $R427&gt;0), $J427-$P427-$Q427, ""))),"")</f>
        <v/>
      </c>
      <c r="R427" s="42" t="str">
        <f aca="false">IF($P427=$J427, "0","")</f>
        <v/>
      </c>
      <c r="S427" s="42" t="str">
        <f aca="false">IF(OR(ISBLANK($B427),ISBLANK($C427), ISBLANK($E427), ISBLANK($F427), AND(ISBLANK($G427),ISBLANK($H427)), ISBLANK($I427), ISBLANK($L427), AND(ISBLANK($N427), ISBLANK($O427)), AND(ISBLANK($P427), ISBLANK($Q427), ISBLANK($R427))), "No", "Yes")</f>
        <v>No</v>
      </c>
      <c r="T427" s="42" t="str">
        <f aca="false">SUBSTITUTE($U427," ","")</f>
        <v>59156R108</v>
      </c>
      <c r="U427" s="42" t="s">
        <v>566</v>
      </c>
      <c r="V427" s="39" t="n">
        <v>53500</v>
      </c>
    </row>
    <row r="428" customFormat="false" ht="15" hidden="false" customHeight="false" outlineLevel="0" collapsed="false">
      <c r="B428" s="70" t="s">
        <v>566</v>
      </c>
      <c r="C428" s="71" t="str">
        <f aca="false">IFERROR(INDEX('13F Data'!A:A,MATCH($B428,'13F Data'!A:A,0)),"No CUSIP Match")</f>
        <v>No CUSIP Match</v>
      </c>
      <c r="D428" s="71" t="str">
        <f aca="false">IFERROR(IF($B428=$C428,"Yes","No"),"No CUSIP Match")</f>
        <v>No</v>
      </c>
      <c r="E428" s="71"/>
      <c r="F428" s="71" t="str">
        <f aca="false">IFERROR(INDEX('13F Data'!C:C, MATCH($B428,'13F Data'!A:A,0)),"No CUSIP Match")</f>
        <v>No CUSIP Match</v>
      </c>
      <c r="G428" s="72" t="str">
        <f aca="false">IFERROR(INDEX('13F Data'!D:D,MATCH($B428,'13F Data'!A:A,0)),"No CUSIP Match")</f>
        <v>No CUSIP Match</v>
      </c>
      <c r="J428" s="73" t="n">
        <f aca="false">$V428</f>
        <v>72700</v>
      </c>
      <c r="K428" s="71" t="str">
        <f aca="false">IFERROR(INDEX('EOD Data'!G:G, MATCH($A428, 'EOD Data'!B:B,0)), "No TKR Match")</f>
        <v>No TKR Match</v>
      </c>
      <c r="L428" s="71" t="str">
        <f aca="false">IFERROR(ROUND($J428*$K428,0),"Error")</f>
        <v>Error</v>
      </c>
      <c r="M428" s="71" t="str">
        <f aca="false">IFERROR(IF(AND($J428&lt;10000,$L428&lt;200000),"Yes","No"),"Error")</f>
        <v>No</v>
      </c>
      <c r="P428" s="42" t="str">
        <f aca="false">IF($N428="SOLE",$J428,"")</f>
        <v/>
      </c>
      <c r="Q428" s="42" t="str">
        <f aca="false">IFERROR(IF($N428="Sole",0,IF(AND($N428="OTR",$R428=0),$J428-$P428,IF(AND($N428="OTR", $R428&gt;0), $J428-$P428-$Q428, ""))),"")</f>
        <v/>
      </c>
      <c r="R428" s="42" t="str">
        <f aca="false">IF($P428=$J428, "0","")</f>
        <v/>
      </c>
      <c r="S428" s="42" t="str">
        <f aca="false">IF(OR(ISBLANK($B428),ISBLANK($C428), ISBLANK($E428), ISBLANK($F428), AND(ISBLANK($G428),ISBLANK($H428)), ISBLANK($I428), ISBLANK($L428), AND(ISBLANK($N428), ISBLANK($O428)), AND(ISBLANK($P428), ISBLANK($Q428), ISBLANK($R428))), "No", "Yes")</f>
        <v>No</v>
      </c>
      <c r="T428" s="42" t="str">
        <f aca="false">SUBSTITUTE($U428," ","")</f>
        <v>59156R108</v>
      </c>
      <c r="U428" s="42" t="s">
        <v>566</v>
      </c>
      <c r="V428" s="39" t="n">
        <v>72700</v>
      </c>
    </row>
    <row r="429" customFormat="false" ht="15" hidden="false" customHeight="false" outlineLevel="0" collapsed="false">
      <c r="B429" s="70" t="s">
        <v>568</v>
      </c>
      <c r="C429" s="71" t="str">
        <f aca="false">IFERROR(INDEX('13F Data'!A:A,MATCH($B429,'13F Data'!A:A,0)),"No CUSIP Match")</f>
        <v>No CUSIP Match</v>
      </c>
      <c r="D429" s="71" t="str">
        <f aca="false">IFERROR(IF($B429=$C429,"Yes","No"),"No CUSIP Match")</f>
        <v>No</v>
      </c>
      <c r="E429" s="71"/>
      <c r="F429" s="71" t="str">
        <f aca="false">IFERROR(INDEX('13F Data'!C:C, MATCH($B429,'13F Data'!A:A,0)),"No CUSIP Match")</f>
        <v>No CUSIP Match</v>
      </c>
      <c r="G429" s="72" t="str">
        <f aca="false">IFERROR(INDEX('13F Data'!D:D,MATCH($B429,'13F Data'!A:A,0)),"No CUSIP Match")</f>
        <v>No CUSIP Match</v>
      </c>
      <c r="J429" s="73" t="n">
        <f aca="false">$V429</f>
        <v>1428</v>
      </c>
      <c r="K429" s="71" t="str">
        <f aca="false">IFERROR(INDEX('EOD Data'!G:G, MATCH($A429, 'EOD Data'!B:B,0)), "No TKR Match")</f>
        <v>No TKR Match</v>
      </c>
      <c r="L429" s="71" t="str">
        <f aca="false">IFERROR(ROUND($J429*$K429,0),"Error")</f>
        <v>Error</v>
      </c>
      <c r="M429" s="71" t="str">
        <f aca="false">IFERROR(IF(AND($J429&lt;10000,$L429&lt;200000),"Yes","No"),"Error")</f>
        <v>No</v>
      </c>
      <c r="P429" s="42" t="str">
        <f aca="false">IF($N429="SOLE",$J429,"")</f>
        <v/>
      </c>
      <c r="Q429" s="42" t="str">
        <f aca="false">IFERROR(IF($N429="Sole",0,IF(AND($N429="OTR",$R429=0),$J429-$P429,IF(AND($N429="OTR", $R429&gt;0), $J429-$P429-$Q429, ""))),"")</f>
        <v/>
      </c>
      <c r="R429" s="42" t="str">
        <f aca="false">IF($P429=$J429, "0","")</f>
        <v/>
      </c>
      <c r="S429" s="42" t="str">
        <f aca="false">IF(OR(ISBLANK($B429),ISBLANK($C429), ISBLANK($E429), ISBLANK($F429), AND(ISBLANK($G429),ISBLANK($H429)), ISBLANK($I429), ISBLANK($L429), AND(ISBLANK($N429), ISBLANK($O429)), AND(ISBLANK($P429), ISBLANK($Q429), ISBLANK($R429))), "No", "Yes")</f>
        <v>No</v>
      </c>
      <c r="T429" s="42" t="str">
        <f aca="false">SUBSTITUTE($U429," ","")</f>
        <v>552953101</v>
      </c>
      <c r="U429" s="42" t="s">
        <v>568</v>
      </c>
      <c r="V429" s="39" t="n">
        <v>1428</v>
      </c>
    </row>
    <row r="430" customFormat="false" ht="15" hidden="false" customHeight="false" outlineLevel="0" collapsed="false">
      <c r="B430" s="70" t="s">
        <v>568</v>
      </c>
      <c r="C430" s="71" t="str">
        <f aca="false">IFERROR(INDEX('13F Data'!A:A,MATCH($B430,'13F Data'!A:A,0)),"No CUSIP Match")</f>
        <v>No CUSIP Match</v>
      </c>
      <c r="D430" s="71" t="str">
        <f aca="false">IFERROR(IF($B430=$C430,"Yes","No"),"No CUSIP Match")</f>
        <v>No</v>
      </c>
      <c r="E430" s="71"/>
      <c r="F430" s="71" t="str">
        <f aca="false">IFERROR(INDEX('13F Data'!C:C, MATCH($B430,'13F Data'!A:A,0)),"No CUSIP Match")</f>
        <v>No CUSIP Match</v>
      </c>
      <c r="G430" s="72" t="str">
        <f aca="false">IFERROR(INDEX('13F Data'!D:D,MATCH($B430,'13F Data'!A:A,0)),"No CUSIP Match")</f>
        <v>No CUSIP Match</v>
      </c>
      <c r="J430" s="73" t="n">
        <f aca="false">$V430</f>
        <v>9100</v>
      </c>
      <c r="K430" s="71" t="str">
        <f aca="false">IFERROR(INDEX('EOD Data'!G:G, MATCH($A430, 'EOD Data'!B:B,0)), "No TKR Match")</f>
        <v>No TKR Match</v>
      </c>
      <c r="L430" s="71" t="str">
        <f aca="false">IFERROR(ROUND($J430*$K430,0),"Error")</f>
        <v>Error</v>
      </c>
      <c r="M430" s="71" t="str">
        <f aca="false">IFERROR(IF(AND($J430&lt;10000,$L430&lt;200000),"Yes","No"),"Error")</f>
        <v>No</v>
      </c>
      <c r="P430" s="42" t="str">
        <f aca="false">IF($N430="SOLE",$J430,"")</f>
        <v/>
      </c>
      <c r="Q430" s="42" t="str">
        <f aca="false">IFERROR(IF($N430="Sole",0,IF(AND($N430="OTR",$R430=0),$J430-$P430,IF(AND($N430="OTR", $R430&gt;0), $J430-$P430-$Q430, ""))),"")</f>
        <v/>
      </c>
      <c r="R430" s="42" t="str">
        <f aca="false">IF($P430=$J430, "0","")</f>
        <v/>
      </c>
      <c r="S430" s="42" t="str">
        <f aca="false">IF(OR(ISBLANK($B430),ISBLANK($C430), ISBLANK($E430), ISBLANK($F430), AND(ISBLANK($G430),ISBLANK($H430)), ISBLANK($I430), ISBLANK($L430), AND(ISBLANK($N430), ISBLANK($O430)), AND(ISBLANK($P430), ISBLANK($Q430), ISBLANK($R430))), "No", "Yes")</f>
        <v>No</v>
      </c>
      <c r="T430" s="42" t="str">
        <f aca="false">SUBSTITUTE($U430," ","")</f>
        <v>552953101</v>
      </c>
      <c r="U430" s="42" t="s">
        <v>568</v>
      </c>
      <c r="V430" s="39" t="n">
        <v>9100</v>
      </c>
    </row>
    <row r="431" customFormat="false" ht="15" hidden="false" customHeight="false" outlineLevel="0" collapsed="false">
      <c r="B431" s="70" t="s">
        <v>568</v>
      </c>
      <c r="C431" s="71" t="str">
        <f aca="false">IFERROR(INDEX('13F Data'!A:A,MATCH($B431,'13F Data'!A:A,0)),"No CUSIP Match")</f>
        <v>No CUSIP Match</v>
      </c>
      <c r="D431" s="71" t="str">
        <f aca="false">IFERROR(IF($B431=$C431,"Yes","No"),"No CUSIP Match")</f>
        <v>No</v>
      </c>
      <c r="E431" s="71"/>
      <c r="F431" s="71" t="str">
        <f aca="false">IFERROR(INDEX('13F Data'!C:C, MATCH($B431,'13F Data'!A:A,0)),"No CUSIP Match")</f>
        <v>No CUSIP Match</v>
      </c>
      <c r="G431" s="72" t="str">
        <f aca="false">IFERROR(INDEX('13F Data'!D:D,MATCH($B431,'13F Data'!A:A,0)),"No CUSIP Match")</f>
        <v>No CUSIP Match</v>
      </c>
      <c r="J431" s="73" t="n">
        <f aca="false">$V431</f>
        <v>9100</v>
      </c>
      <c r="K431" s="71" t="str">
        <f aca="false">IFERROR(INDEX('EOD Data'!G:G, MATCH($A431, 'EOD Data'!B:B,0)), "No TKR Match")</f>
        <v>No TKR Match</v>
      </c>
      <c r="L431" s="71" t="str">
        <f aca="false">IFERROR(ROUND($J431*$K431,0),"Error")</f>
        <v>Error</v>
      </c>
      <c r="M431" s="71" t="str">
        <f aca="false">IFERROR(IF(AND($J431&lt;10000,$L431&lt;200000),"Yes","No"),"Error")</f>
        <v>No</v>
      </c>
      <c r="P431" s="42" t="str">
        <f aca="false">IF($N431="SOLE",$J431,"")</f>
        <v/>
      </c>
      <c r="Q431" s="42" t="str">
        <f aca="false">IFERROR(IF($N431="Sole",0,IF(AND($N431="OTR",$R431=0),$J431-$P431,IF(AND($N431="OTR", $R431&gt;0), $J431-$P431-$Q431, ""))),"")</f>
        <v/>
      </c>
      <c r="R431" s="42" t="str">
        <f aca="false">IF($P431=$J431, "0","")</f>
        <v/>
      </c>
      <c r="S431" s="42" t="str">
        <f aca="false">IF(OR(ISBLANK($B431),ISBLANK($C431), ISBLANK($E431), ISBLANK($F431), AND(ISBLANK($G431),ISBLANK($H431)), ISBLANK($I431), ISBLANK($L431), AND(ISBLANK($N431), ISBLANK($O431)), AND(ISBLANK($P431), ISBLANK($Q431), ISBLANK($R431))), "No", "Yes")</f>
        <v>No</v>
      </c>
      <c r="T431" s="42" t="str">
        <f aca="false">SUBSTITUTE($U431," ","")</f>
        <v>552953101</v>
      </c>
      <c r="U431" s="42" t="s">
        <v>568</v>
      </c>
      <c r="V431" s="39" t="n">
        <v>9100</v>
      </c>
    </row>
    <row r="432" customFormat="false" ht="15" hidden="false" customHeight="false" outlineLevel="0" collapsed="false">
      <c r="B432" s="70" t="s">
        <v>570</v>
      </c>
      <c r="C432" s="71" t="str">
        <f aca="false">IFERROR(INDEX('13F Data'!A:A,MATCH($B432,'13F Data'!A:A,0)),"No CUSIP Match")</f>
        <v>No CUSIP Match</v>
      </c>
      <c r="D432" s="71" t="str">
        <f aca="false">IFERROR(IF($B432=$C432,"Yes","No"),"No CUSIP Match")</f>
        <v>No</v>
      </c>
      <c r="E432" s="71"/>
      <c r="F432" s="71" t="str">
        <f aca="false">IFERROR(INDEX('13F Data'!C:C, MATCH($B432,'13F Data'!A:A,0)),"No CUSIP Match")</f>
        <v>No CUSIP Match</v>
      </c>
      <c r="G432" s="72" t="str">
        <f aca="false">IFERROR(INDEX('13F Data'!D:D,MATCH($B432,'13F Data'!A:A,0)),"No CUSIP Match")</f>
        <v>No CUSIP Match</v>
      </c>
      <c r="J432" s="73" t="n">
        <f aca="false">$V432</f>
        <v>19800</v>
      </c>
      <c r="K432" s="71" t="str">
        <f aca="false">IFERROR(INDEX('EOD Data'!G:G, MATCH($A432, 'EOD Data'!B:B,0)), "No TKR Match")</f>
        <v>No TKR Match</v>
      </c>
      <c r="L432" s="71" t="str">
        <f aca="false">IFERROR(ROUND($J432*$K432,0),"Error")</f>
        <v>Error</v>
      </c>
      <c r="M432" s="71" t="str">
        <f aca="false">IFERROR(IF(AND($J432&lt;10000,$L432&lt;200000),"Yes","No"),"Error")</f>
        <v>No</v>
      </c>
      <c r="P432" s="42" t="str">
        <f aca="false">IF($N432="SOLE",$J432,"")</f>
        <v/>
      </c>
      <c r="Q432" s="42" t="str">
        <f aca="false">IFERROR(IF($N432="Sole",0,IF(AND($N432="OTR",$R432=0),$J432-$P432,IF(AND($N432="OTR", $R432&gt;0), $J432-$P432-$Q432, ""))),"")</f>
        <v/>
      </c>
      <c r="R432" s="42" t="str">
        <f aca="false">IF($P432=$J432, "0","")</f>
        <v/>
      </c>
      <c r="S432" s="42" t="str">
        <f aca="false">IF(OR(ISBLANK($B432),ISBLANK($C432), ISBLANK($E432), ISBLANK($F432), AND(ISBLANK($G432),ISBLANK($H432)), ISBLANK($I432), ISBLANK($L432), AND(ISBLANK($N432), ISBLANK($O432)), AND(ISBLANK($P432), ISBLANK($Q432), ISBLANK($R432))), "No", "Yes")</f>
        <v>No</v>
      </c>
      <c r="T432" s="42" t="str">
        <f aca="false">SUBSTITUTE($U432," ","")</f>
        <v>595017104</v>
      </c>
      <c r="U432" s="42" t="s">
        <v>570</v>
      </c>
      <c r="V432" s="39" t="n">
        <v>19800</v>
      </c>
    </row>
    <row r="433" customFormat="false" ht="15" hidden="false" customHeight="false" outlineLevel="0" collapsed="false">
      <c r="B433" s="70" t="s">
        <v>572</v>
      </c>
      <c r="C433" s="71" t="str">
        <f aca="false">IFERROR(INDEX('13F Data'!A:A,MATCH($B433,'13F Data'!A:A,0)),"No CUSIP Match")</f>
        <v>No CUSIP Match</v>
      </c>
      <c r="D433" s="71" t="str">
        <f aca="false">IFERROR(IF($B433=$C433,"Yes","No"),"No CUSIP Match")</f>
        <v>No</v>
      </c>
      <c r="E433" s="71"/>
      <c r="F433" s="71" t="str">
        <f aca="false">IFERROR(INDEX('13F Data'!C:C, MATCH($B433,'13F Data'!A:A,0)),"No CUSIP Match")</f>
        <v>No CUSIP Match</v>
      </c>
      <c r="G433" s="72" t="str">
        <f aca="false">IFERROR(INDEX('13F Data'!D:D,MATCH($B433,'13F Data'!A:A,0)),"No CUSIP Match")</f>
        <v>No CUSIP Match</v>
      </c>
      <c r="J433" s="73" t="n">
        <f aca="false">$V433</f>
        <v>25300</v>
      </c>
      <c r="K433" s="71" t="str">
        <f aca="false">IFERROR(INDEX('EOD Data'!G:G, MATCH($A433, 'EOD Data'!B:B,0)), "No TKR Match")</f>
        <v>No TKR Match</v>
      </c>
      <c r="L433" s="71" t="str">
        <f aca="false">IFERROR(ROUND($J433*$K433,0),"Error")</f>
        <v>Error</v>
      </c>
      <c r="M433" s="71" t="str">
        <f aca="false">IFERROR(IF(AND($J433&lt;10000,$L433&lt;200000),"Yes","No"),"Error")</f>
        <v>No</v>
      </c>
      <c r="P433" s="42" t="str">
        <f aca="false">IF($N433="SOLE",$J433,"")</f>
        <v/>
      </c>
      <c r="Q433" s="42" t="str">
        <f aca="false">IFERROR(IF($N433="Sole",0,IF(AND($N433="OTR",$R433=0),$J433-$P433,IF(AND($N433="OTR", $R433&gt;0), $J433-$P433-$Q433, ""))),"")</f>
        <v/>
      </c>
      <c r="R433" s="42" t="str">
        <f aca="false">IF($P433=$J433, "0","")</f>
        <v/>
      </c>
      <c r="S433" s="42" t="str">
        <f aca="false">IF(OR(ISBLANK($B433),ISBLANK($C433), ISBLANK($E433), ISBLANK($F433), AND(ISBLANK($G433),ISBLANK($H433)), ISBLANK($I433), ISBLANK($L433), AND(ISBLANK($N433), ISBLANK($O433)), AND(ISBLANK($P433), ISBLANK($Q433), ISBLANK($R433))), "No", "Yes")</f>
        <v>No</v>
      </c>
      <c r="T433" s="42" t="str">
        <f aca="false">SUBSTITUTE($U433," ","")</f>
        <v>595112103</v>
      </c>
      <c r="U433" s="42" t="s">
        <v>572</v>
      </c>
      <c r="V433" s="39" t="n">
        <v>25300</v>
      </c>
    </row>
    <row r="434" customFormat="false" ht="15" hidden="false" customHeight="false" outlineLevel="0" collapsed="false">
      <c r="B434" s="70" t="s">
        <v>572</v>
      </c>
      <c r="C434" s="71" t="str">
        <f aca="false">IFERROR(INDEX('13F Data'!A:A,MATCH($B434,'13F Data'!A:A,0)),"No CUSIP Match")</f>
        <v>No CUSIP Match</v>
      </c>
      <c r="D434" s="71" t="str">
        <f aca="false">IFERROR(IF($B434=$C434,"Yes","No"),"No CUSIP Match")</f>
        <v>No</v>
      </c>
      <c r="E434" s="71"/>
      <c r="F434" s="71" t="str">
        <f aca="false">IFERROR(INDEX('13F Data'!C:C, MATCH($B434,'13F Data'!A:A,0)),"No CUSIP Match")</f>
        <v>No CUSIP Match</v>
      </c>
      <c r="G434" s="72" t="str">
        <f aca="false">IFERROR(INDEX('13F Data'!D:D,MATCH($B434,'13F Data'!A:A,0)),"No CUSIP Match")</f>
        <v>No CUSIP Match</v>
      </c>
      <c r="J434" s="73" t="n">
        <f aca="false">$V434</f>
        <v>25300</v>
      </c>
      <c r="K434" s="71" t="str">
        <f aca="false">IFERROR(INDEX('EOD Data'!G:G, MATCH($A434, 'EOD Data'!B:B,0)), "No TKR Match")</f>
        <v>No TKR Match</v>
      </c>
      <c r="L434" s="71" t="str">
        <f aca="false">IFERROR(ROUND($J434*$K434,0),"Error")</f>
        <v>Error</v>
      </c>
      <c r="M434" s="71" t="str">
        <f aca="false">IFERROR(IF(AND($J434&lt;10000,$L434&lt;200000),"Yes","No"),"Error")</f>
        <v>No</v>
      </c>
      <c r="P434" s="42" t="str">
        <f aca="false">IF($N434="SOLE",$J434,"")</f>
        <v/>
      </c>
      <c r="Q434" s="42" t="str">
        <f aca="false">IFERROR(IF($N434="Sole",0,IF(AND($N434="OTR",$R434=0),$J434-$P434,IF(AND($N434="OTR", $R434&gt;0), $J434-$P434-$Q434, ""))),"")</f>
        <v/>
      </c>
      <c r="R434" s="42" t="str">
        <f aca="false">IF($P434=$J434, "0","")</f>
        <v/>
      </c>
      <c r="S434" s="42" t="str">
        <f aca="false">IF(OR(ISBLANK($B434),ISBLANK($C434), ISBLANK($E434), ISBLANK($F434), AND(ISBLANK($G434),ISBLANK($H434)), ISBLANK($I434), ISBLANK($L434), AND(ISBLANK($N434), ISBLANK($O434)), AND(ISBLANK($P434), ISBLANK($Q434), ISBLANK($R434))), "No", "Yes")</f>
        <v>No</v>
      </c>
      <c r="T434" s="42" t="str">
        <f aca="false">SUBSTITUTE($U434," ","")</f>
        <v>595112103</v>
      </c>
      <c r="U434" s="42" t="s">
        <v>572</v>
      </c>
      <c r="V434" s="39" t="n">
        <v>25300</v>
      </c>
    </row>
    <row r="435" customFormat="false" ht="15" hidden="false" customHeight="false" outlineLevel="0" collapsed="false">
      <c r="B435" s="70" t="s">
        <v>574</v>
      </c>
      <c r="C435" s="71" t="str">
        <f aca="false">IFERROR(INDEX('13F Data'!A:A,MATCH($B435,'13F Data'!A:A,0)),"No CUSIP Match")</f>
        <v>No CUSIP Match</v>
      </c>
      <c r="D435" s="71" t="str">
        <f aca="false">IFERROR(IF($B435=$C435,"Yes","No"),"No CUSIP Match")</f>
        <v>No</v>
      </c>
      <c r="E435" s="71"/>
      <c r="F435" s="71" t="str">
        <f aca="false">IFERROR(INDEX('13F Data'!C:C, MATCH($B435,'13F Data'!A:A,0)),"No CUSIP Match")</f>
        <v>No CUSIP Match</v>
      </c>
      <c r="G435" s="72" t="str">
        <f aca="false">IFERROR(INDEX('13F Data'!D:D,MATCH($B435,'13F Data'!A:A,0)),"No CUSIP Match")</f>
        <v>No CUSIP Match</v>
      </c>
      <c r="J435" s="73" t="n">
        <f aca="false">$V435</f>
        <v>74600</v>
      </c>
      <c r="K435" s="71" t="str">
        <f aca="false">IFERROR(INDEX('EOD Data'!G:G, MATCH($A435, 'EOD Data'!B:B,0)), "No TKR Match")</f>
        <v>No TKR Match</v>
      </c>
      <c r="L435" s="71" t="str">
        <f aca="false">IFERROR(ROUND($J435*$K435,0),"Error")</f>
        <v>Error</v>
      </c>
      <c r="M435" s="71" t="str">
        <f aca="false">IFERROR(IF(AND($J435&lt;10000,$L435&lt;200000),"Yes","No"),"Error")</f>
        <v>No</v>
      </c>
      <c r="P435" s="42" t="str">
        <f aca="false">IF($N435="SOLE",$J435,"")</f>
        <v/>
      </c>
      <c r="Q435" s="42" t="str">
        <f aca="false">IFERROR(IF($N435="Sole",0,IF(AND($N435="OTR",$R435=0),$J435-$P435,IF(AND($N435="OTR", $R435&gt;0), $J435-$P435-$Q435, ""))),"")</f>
        <v/>
      </c>
      <c r="R435" s="42" t="str">
        <f aca="false">IF($P435=$J435, "0","")</f>
        <v/>
      </c>
      <c r="S435" s="42" t="str">
        <f aca="false">IF(OR(ISBLANK($B435),ISBLANK($C435), ISBLANK($E435), ISBLANK($F435), AND(ISBLANK($G435),ISBLANK($H435)), ISBLANK($I435), ISBLANK($L435), AND(ISBLANK($N435), ISBLANK($O435)), AND(ISBLANK($P435), ISBLANK($Q435), ISBLANK($R435))), "No", "Yes")</f>
        <v>No</v>
      </c>
      <c r="T435" s="42" t="str">
        <f aca="false">SUBSTITUTE($U435," ","")</f>
        <v>594918104</v>
      </c>
      <c r="U435" s="42" t="s">
        <v>574</v>
      </c>
      <c r="V435" s="39" t="n">
        <v>74600</v>
      </c>
    </row>
    <row r="436" customFormat="false" ht="15" hidden="false" customHeight="false" outlineLevel="0" collapsed="false">
      <c r="B436" s="70" t="s">
        <v>574</v>
      </c>
      <c r="C436" s="71" t="str">
        <f aca="false">IFERROR(INDEX('13F Data'!A:A,MATCH($B436,'13F Data'!A:A,0)),"No CUSIP Match")</f>
        <v>No CUSIP Match</v>
      </c>
      <c r="D436" s="71" t="str">
        <f aca="false">IFERROR(IF($B436=$C436,"Yes","No"),"No CUSIP Match")</f>
        <v>No</v>
      </c>
      <c r="E436" s="71"/>
      <c r="F436" s="71" t="str">
        <f aca="false">IFERROR(INDEX('13F Data'!C:C, MATCH($B436,'13F Data'!A:A,0)),"No CUSIP Match")</f>
        <v>No CUSIP Match</v>
      </c>
      <c r="G436" s="72" t="str">
        <f aca="false">IFERROR(INDEX('13F Data'!D:D,MATCH($B436,'13F Data'!A:A,0)),"No CUSIP Match")</f>
        <v>No CUSIP Match</v>
      </c>
      <c r="J436" s="73" t="n">
        <f aca="false">$V436</f>
        <v>74600</v>
      </c>
      <c r="K436" s="71" t="str">
        <f aca="false">IFERROR(INDEX('EOD Data'!G:G, MATCH($A436, 'EOD Data'!B:B,0)), "No TKR Match")</f>
        <v>No TKR Match</v>
      </c>
      <c r="L436" s="71" t="str">
        <f aca="false">IFERROR(ROUND($J436*$K436,0),"Error")</f>
        <v>Error</v>
      </c>
      <c r="M436" s="71" t="str">
        <f aca="false">IFERROR(IF(AND($J436&lt;10000,$L436&lt;200000),"Yes","No"),"Error")</f>
        <v>No</v>
      </c>
      <c r="P436" s="42" t="str">
        <f aca="false">IF($N436="SOLE",$J436,"")</f>
        <v/>
      </c>
      <c r="Q436" s="42" t="str">
        <f aca="false">IFERROR(IF($N436="Sole",0,IF(AND($N436="OTR",$R436=0),$J436-$P436,IF(AND($N436="OTR", $R436&gt;0), $J436-$P436-$Q436, ""))),"")</f>
        <v/>
      </c>
      <c r="R436" s="42" t="str">
        <f aca="false">IF($P436=$J436, "0","")</f>
        <v/>
      </c>
      <c r="S436" s="42" t="str">
        <f aca="false">IF(OR(ISBLANK($B436),ISBLANK($C436), ISBLANK($E436), ISBLANK($F436), AND(ISBLANK($G436),ISBLANK($H436)), ISBLANK($I436), ISBLANK($L436), AND(ISBLANK($N436), ISBLANK($O436)), AND(ISBLANK($P436), ISBLANK($Q436), ISBLANK($R436))), "No", "Yes")</f>
        <v>No</v>
      </c>
      <c r="T436" s="42" t="str">
        <f aca="false">SUBSTITUTE($U436," ","")</f>
        <v>594918104</v>
      </c>
      <c r="U436" s="42" t="s">
        <v>574</v>
      </c>
      <c r="V436" s="39" t="n">
        <v>74600</v>
      </c>
    </row>
    <row r="437" customFormat="false" ht="15" hidden="false" customHeight="false" outlineLevel="0" collapsed="false">
      <c r="B437" s="70" t="s">
        <v>576</v>
      </c>
      <c r="C437" s="71" t="str">
        <f aca="false">IFERROR(INDEX('13F Data'!A:A,MATCH($B437,'13F Data'!A:A,0)),"No CUSIP Match")</f>
        <v>No CUSIP Match</v>
      </c>
      <c r="D437" s="71" t="str">
        <f aca="false">IFERROR(IF($B437=$C437,"Yes","No"),"No CUSIP Match")</f>
        <v>No</v>
      </c>
      <c r="E437" s="71"/>
      <c r="F437" s="71" t="str">
        <f aca="false">IFERROR(INDEX('13F Data'!C:C, MATCH($B437,'13F Data'!A:A,0)),"No CUSIP Match")</f>
        <v>No CUSIP Match</v>
      </c>
      <c r="G437" s="72" t="str">
        <f aca="false">IFERROR(INDEX('13F Data'!D:D,MATCH($B437,'13F Data'!A:A,0)),"No CUSIP Match")</f>
        <v>No CUSIP Match</v>
      </c>
      <c r="J437" s="73" t="n">
        <f aca="false">$V437</f>
        <v>44888000</v>
      </c>
      <c r="K437" s="71" t="str">
        <f aca="false">IFERROR(INDEX('EOD Data'!G:G, MATCH($A437, 'EOD Data'!B:B,0)), "No TKR Match")</f>
        <v>No TKR Match</v>
      </c>
      <c r="L437" s="71" t="str">
        <f aca="false">IFERROR(ROUND($J437*$K437,0),"Error")</f>
        <v>Error</v>
      </c>
      <c r="M437" s="71" t="str">
        <f aca="false">IFERROR(IF(AND($J437&lt;10000,$L437&lt;200000),"Yes","No"),"Error")</f>
        <v>No</v>
      </c>
      <c r="P437" s="42" t="str">
        <f aca="false">IF($N437="SOLE",$J437,"")</f>
        <v/>
      </c>
      <c r="Q437" s="42" t="str">
        <f aca="false">IFERROR(IF($N437="Sole",0,IF(AND($N437="OTR",$R437=0),$J437-$P437,IF(AND($N437="OTR", $R437&gt;0), $J437-$P437-$Q437, ""))),"")</f>
        <v/>
      </c>
      <c r="R437" s="42" t="str">
        <f aca="false">IF($P437=$J437, "0","")</f>
        <v/>
      </c>
      <c r="S437" s="42" t="str">
        <f aca="false">IF(OR(ISBLANK($B437),ISBLANK($C437), ISBLANK($E437), ISBLANK($F437), AND(ISBLANK($G437),ISBLANK($H437)), ISBLANK($I437), ISBLANK($L437), AND(ISBLANK($N437), ISBLANK($O437)), AND(ISBLANK($P437), ISBLANK($Q437), ISBLANK($R437))), "No", "Yes")</f>
        <v>No</v>
      </c>
      <c r="T437" s="42" t="str">
        <f aca="false">SUBSTITUTE($U437," ","")</f>
        <v>604749AA9</v>
      </c>
      <c r="U437" s="42" t="s">
        <v>576</v>
      </c>
      <c r="V437" s="39" t="n">
        <v>44888000</v>
      </c>
    </row>
    <row r="438" customFormat="false" ht="15" hidden="false" customHeight="false" outlineLevel="0" collapsed="false">
      <c r="B438" s="70" t="s">
        <v>578</v>
      </c>
      <c r="C438" s="71" t="str">
        <f aca="false">IFERROR(INDEX('13F Data'!A:A,MATCH($B438,'13F Data'!A:A,0)),"No CUSIP Match")</f>
        <v>No CUSIP Match</v>
      </c>
      <c r="D438" s="71" t="str">
        <f aca="false">IFERROR(IF($B438=$C438,"Yes","No"),"No CUSIP Match")</f>
        <v>No</v>
      </c>
      <c r="E438" s="71"/>
      <c r="F438" s="71" t="str">
        <f aca="false">IFERROR(INDEX('13F Data'!C:C, MATCH($B438,'13F Data'!A:A,0)),"No CUSIP Match")</f>
        <v>No CUSIP Match</v>
      </c>
      <c r="G438" s="72" t="str">
        <f aca="false">IFERROR(INDEX('13F Data'!D:D,MATCH($B438,'13F Data'!A:A,0)),"No CUSIP Match")</f>
        <v>No CUSIP Match</v>
      </c>
      <c r="J438" s="73" t="n">
        <f aca="false">$V438</f>
        <v>6000000</v>
      </c>
      <c r="K438" s="71" t="str">
        <f aca="false">IFERROR(INDEX('EOD Data'!G:G, MATCH($A438, 'EOD Data'!B:B,0)), "No TKR Match")</f>
        <v>No TKR Match</v>
      </c>
      <c r="L438" s="71" t="str">
        <f aca="false">IFERROR(ROUND($J438*$K438,0),"Error")</f>
        <v>Error</v>
      </c>
      <c r="M438" s="71" t="str">
        <f aca="false">IFERROR(IF(AND($J438&lt;10000,$L438&lt;200000),"Yes","No"),"Error")</f>
        <v>No</v>
      </c>
      <c r="P438" s="42" t="str">
        <f aca="false">IF($N438="SOLE",$J438,"")</f>
        <v/>
      </c>
      <c r="Q438" s="42" t="str">
        <f aca="false">IFERROR(IF($N438="Sole",0,IF(AND($N438="OTR",$R438=0),$J438-$P438,IF(AND($N438="OTR", $R438&gt;0), $J438-$P438-$Q438, ""))),"")</f>
        <v/>
      </c>
      <c r="R438" s="42" t="str">
        <f aca="false">IF($P438=$J438, "0","")</f>
        <v/>
      </c>
      <c r="S438" s="42" t="str">
        <f aca="false">IF(OR(ISBLANK($B438),ISBLANK($C438), ISBLANK($E438), ISBLANK($F438), AND(ISBLANK($G438),ISBLANK($H438)), ISBLANK($I438), ISBLANK($L438), AND(ISBLANK($N438), ISBLANK($O438)), AND(ISBLANK($P438), ISBLANK($Q438), ISBLANK($R438))), "No", "Yes")</f>
        <v>No</v>
      </c>
      <c r="T438" s="42" t="str">
        <f aca="false">SUBSTITUTE($U438," ","")</f>
        <v>606710AA9</v>
      </c>
      <c r="U438" s="42" t="s">
        <v>578</v>
      </c>
      <c r="V438" s="39" t="n">
        <v>6000000</v>
      </c>
    </row>
    <row r="439" customFormat="false" ht="15" hidden="false" customHeight="false" outlineLevel="0" collapsed="false">
      <c r="B439" s="70" t="s">
        <v>580</v>
      </c>
      <c r="C439" s="71" t="str">
        <f aca="false">IFERROR(INDEX('13F Data'!A:A,MATCH($B439,'13F Data'!A:A,0)),"No CUSIP Match")</f>
        <v>No CUSIP Match</v>
      </c>
      <c r="D439" s="71" t="str">
        <f aca="false">IFERROR(IF($B439=$C439,"Yes","No"),"No CUSIP Match")</f>
        <v>No</v>
      </c>
      <c r="E439" s="71"/>
      <c r="F439" s="71" t="str">
        <f aca="false">IFERROR(INDEX('13F Data'!C:C, MATCH($B439,'13F Data'!A:A,0)),"No CUSIP Match")</f>
        <v>No CUSIP Match</v>
      </c>
      <c r="G439" s="72" t="str">
        <f aca="false">IFERROR(INDEX('13F Data'!D:D,MATCH($B439,'13F Data'!A:A,0)),"No CUSIP Match")</f>
        <v>No CUSIP Match</v>
      </c>
      <c r="J439" s="73" t="n">
        <f aca="false">$V439</f>
        <v>23200000</v>
      </c>
      <c r="K439" s="71" t="str">
        <f aca="false">IFERROR(INDEX('EOD Data'!G:G, MATCH($A439, 'EOD Data'!B:B,0)), "No TKR Match")</f>
        <v>No TKR Match</v>
      </c>
      <c r="L439" s="71" t="str">
        <f aca="false">IFERROR(ROUND($J439*$K439,0),"Error")</f>
        <v>Error</v>
      </c>
      <c r="M439" s="71" t="str">
        <f aca="false">IFERROR(IF(AND($J439&lt;10000,$L439&lt;200000),"Yes","No"),"Error")</f>
        <v>No</v>
      </c>
      <c r="P439" s="42" t="str">
        <f aca="false">IF($N439="SOLE",$J439,"")</f>
        <v/>
      </c>
      <c r="Q439" s="42" t="str">
        <f aca="false">IFERROR(IF($N439="Sole",0,IF(AND($N439="OTR",$R439=0),$J439-$P439,IF(AND($N439="OTR", $R439&gt;0), $J439-$P439-$Q439, ""))),"")</f>
        <v/>
      </c>
      <c r="R439" s="42" t="str">
        <f aca="false">IF($P439=$J439, "0","")</f>
        <v/>
      </c>
      <c r="S439" s="42" t="str">
        <f aca="false">IF(OR(ISBLANK($B439),ISBLANK($C439), ISBLANK($E439), ISBLANK($F439), AND(ISBLANK($G439),ISBLANK($H439)), ISBLANK($I439), ISBLANK($L439), AND(ISBLANK($N439), ISBLANK($O439)), AND(ISBLANK($P439), ISBLANK($Q439), ISBLANK($R439))), "No", "Yes")</f>
        <v>No</v>
      </c>
      <c r="T439" s="42" t="str">
        <f aca="false">SUBSTITUTE($U439," ","")</f>
        <v>607525AC6</v>
      </c>
      <c r="U439" s="42" t="s">
        <v>580</v>
      </c>
      <c r="V439" s="39" t="n">
        <v>23200000</v>
      </c>
    </row>
    <row r="440" customFormat="false" ht="15" hidden="false" customHeight="false" outlineLevel="0" collapsed="false">
      <c r="B440" s="70" t="s">
        <v>582</v>
      </c>
      <c r="C440" s="71" t="str">
        <f aca="false">IFERROR(INDEX('13F Data'!A:A,MATCH($B440,'13F Data'!A:A,0)),"No CUSIP Match")</f>
        <v>No CUSIP Match</v>
      </c>
      <c r="D440" s="71" t="str">
        <f aca="false">IFERROR(IF($B440=$C440,"Yes","No"),"No CUSIP Match")</f>
        <v>No</v>
      </c>
      <c r="E440" s="71"/>
      <c r="F440" s="71" t="str">
        <f aca="false">IFERROR(INDEX('13F Data'!C:C, MATCH($B440,'13F Data'!A:A,0)),"No CUSIP Match")</f>
        <v>No CUSIP Match</v>
      </c>
      <c r="G440" s="72" t="str">
        <f aca="false">IFERROR(INDEX('13F Data'!D:D,MATCH($B440,'13F Data'!A:A,0)),"No CUSIP Match")</f>
        <v>No CUSIP Match</v>
      </c>
      <c r="J440" s="73" t="n">
        <f aca="false">$V440</f>
        <v>24435</v>
      </c>
      <c r="K440" s="71" t="str">
        <f aca="false">IFERROR(INDEX('EOD Data'!G:G, MATCH($A440, 'EOD Data'!B:B,0)), "No TKR Match")</f>
        <v>No TKR Match</v>
      </c>
      <c r="L440" s="71" t="str">
        <f aca="false">IFERROR(ROUND($J440*$K440,0),"Error")</f>
        <v>Error</v>
      </c>
      <c r="M440" s="71" t="str">
        <f aca="false">IFERROR(IF(AND($J440&lt;10000,$L440&lt;200000),"Yes","No"),"Error")</f>
        <v>No</v>
      </c>
      <c r="P440" s="42" t="str">
        <f aca="false">IF($N440="SOLE",$J440,"")</f>
        <v/>
      </c>
      <c r="Q440" s="42" t="str">
        <f aca="false">IFERROR(IF($N440="Sole",0,IF(AND($N440="OTR",$R440=0),$J440-$P440,IF(AND($N440="OTR", $R440&gt;0), $J440-$P440-$Q440, ""))),"")</f>
        <v/>
      </c>
      <c r="R440" s="42" t="str">
        <f aca="false">IF($P440=$J440, "0","")</f>
        <v/>
      </c>
      <c r="S440" s="42" t="str">
        <f aca="false">IF(OR(ISBLANK($B440),ISBLANK($C440), ISBLANK($E440), ISBLANK($F440), AND(ISBLANK($G440),ISBLANK($H440)), ISBLANK($I440), ISBLANK($L440), AND(ISBLANK($N440), ISBLANK($O440)), AND(ISBLANK($P440), ISBLANK($Q440), ISBLANK($R440))), "No", "Yes")</f>
        <v>No</v>
      </c>
      <c r="T440" s="42" t="str">
        <f aca="false">SUBSTITUTE($U440," ","")</f>
        <v>60783X104</v>
      </c>
      <c r="U440" s="42" t="s">
        <v>582</v>
      </c>
      <c r="V440" s="39" t="n">
        <v>24435</v>
      </c>
    </row>
    <row r="441" customFormat="false" ht="15" hidden="false" customHeight="false" outlineLevel="0" collapsed="false">
      <c r="B441" s="70" t="s">
        <v>584</v>
      </c>
      <c r="C441" s="71" t="str">
        <f aca="false">IFERROR(INDEX('13F Data'!A:A,MATCH($B441,'13F Data'!A:A,0)),"No CUSIP Match")</f>
        <v>No CUSIP Match</v>
      </c>
      <c r="D441" s="71" t="str">
        <f aca="false">IFERROR(IF($B441=$C441,"Yes","No"),"No CUSIP Match")</f>
        <v>No</v>
      </c>
      <c r="E441" s="71"/>
      <c r="F441" s="71" t="str">
        <f aca="false">IFERROR(INDEX('13F Data'!C:C, MATCH($B441,'13F Data'!A:A,0)),"No CUSIP Match")</f>
        <v>No CUSIP Match</v>
      </c>
      <c r="G441" s="72" t="str">
        <f aca="false">IFERROR(INDEX('13F Data'!D:D,MATCH($B441,'13F Data'!A:A,0)),"No CUSIP Match")</f>
        <v>No CUSIP Match</v>
      </c>
      <c r="J441" s="73" t="n">
        <f aca="false">$V441</f>
        <v>702</v>
      </c>
      <c r="K441" s="71" t="str">
        <f aca="false">IFERROR(INDEX('EOD Data'!G:G, MATCH($A441, 'EOD Data'!B:B,0)), "No TKR Match")</f>
        <v>No TKR Match</v>
      </c>
      <c r="L441" s="71" t="str">
        <f aca="false">IFERROR(ROUND($J441*$K441,0),"Error")</f>
        <v>Error</v>
      </c>
      <c r="M441" s="71" t="str">
        <f aca="false">IFERROR(IF(AND($J441&lt;10000,$L441&lt;200000),"Yes","No"),"Error")</f>
        <v>No</v>
      </c>
      <c r="P441" s="42" t="str">
        <f aca="false">IF($N441="SOLE",$J441,"")</f>
        <v/>
      </c>
      <c r="Q441" s="42" t="str">
        <f aca="false">IFERROR(IF($N441="Sole",0,IF(AND($N441="OTR",$R441=0),$J441-$P441,IF(AND($N441="OTR", $R441&gt;0), $J441-$P441-$Q441, ""))),"")</f>
        <v/>
      </c>
      <c r="R441" s="42" t="str">
        <f aca="false">IF($P441=$J441, "0","")</f>
        <v/>
      </c>
      <c r="S441" s="42" t="str">
        <f aca="false">IF(OR(ISBLANK($B441),ISBLANK($C441), ISBLANK($E441), ISBLANK($F441), AND(ISBLANK($G441),ISBLANK($H441)), ISBLANK($I441), ISBLANK($L441), AND(ISBLANK($N441), ISBLANK($O441)), AND(ISBLANK($P441), ISBLANK($Q441), ISBLANK($R441))), "No", "Yes")</f>
        <v>No</v>
      </c>
      <c r="T441" s="42" t="str">
        <f aca="false">SUBSTITUTE($U441," ","")</f>
        <v>609207105</v>
      </c>
      <c r="U441" s="42" t="s">
        <v>584</v>
      </c>
      <c r="V441" s="39" t="n">
        <v>702</v>
      </c>
    </row>
    <row r="442" customFormat="false" ht="15" hidden="false" customHeight="false" outlineLevel="0" collapsed="false">
      <c r="B442" s="70" t="s">
        <v>584</v>
      </c>
      <c r="C442" s="71" t="str">
        <f aca="false">IFERROR(INDEX('13F Data'!A:A,MATCH($B442,'13F Data'!A:A,0)),"No CUSIP Match")</f>
        <v>No CUSIP Match</v>
      </c>
      <c r="D442" s="71" t="str">
        <f aca="false">IFERROR(IF($B442=$C442,"Yes","No"),"No CUSIP Match")</f>
        <v>No</v>
      </c>
      <c r="E442" s="71"/>
      <c r="F442" s="71" t="str">
        <f aca="false">IFERROR(INDEX('13F Data'!C:C, MATCH($B442,'13F Data'!A:A,0)),"No CUSIP Match")</f>
        <v>No CUSIP Match</v>
      </c>
      <c r="G442" s="72" t="str">
        <f aca="false">IFERROR(INDEX('13F Data'!D:D,MATCH($B442,'13F Data'!A:A,0)),"No CUSIP Match")</f>
        <v>No CUSIP Match</v>
      </c>
      <c r="J442" s="73" t="n">
        <f aca="false">$V442</f>
        <v>5000</v>
      </c>
      <c r="K442" s="71" t="str">
        <f aca="false">IFERROR(INDEX('EOD Data'!G:G, MATCH($A442, 'EOD Data'!B:B,0)), "No TKR Match")</f>
        <v>No TKR Match</v>
      </c>
      <c r="L442" s="71" t="str">
        <f aca="false">IFERROR(ROUND($J442*$K442,0),"Error")</f>
        <v>Error</v>
      </c>
      <c r="M442" s="71" t="str">
        <f aca="false">IFERROR(IF(AND($J442&lt;10000,$L442&lt;200000),"Yes","No"),"Error")</f>
        <v>No</v>
      </c>
      <c r="P442" s="42" t="str">
        <f aca="false">IF($N442="SOLE",$J442,"")</f>
        <v/>
      </c>
      <c r="Q442" s="42" t="str">
        <f aca="false">IFERROR(IF($N442="Sole",0,IF(AND($N442="OTR",$R442=0),$J442-$P442,IF(AND($N442="OTR", $R442&gt;0), $J442-$P442-$Q442, ""))),"")</f>
        <v/>
      </c>
      <c r="R442" s="42" t="str">
        <f aca="false">IF($P442=$J442, "0","")</f>
        <v/>
      </c>
      <c r="S442" s="42" t="str">
        <f aca="false">IF(OR(ISBLANK($B442),ISBLANK($C442), ISBLANK($E442), ISBLANK($F442), AND(ISBLANK($G442),ISBLANK($H442)), ISBLANK($I442), ISBLANK($L442), AND(ISBLANK($N442), ISBLANK($O442)), AND(ISBLANK($P442), ISBLANK($Q442), ISBLANK($R442))), "No", "Yes")</f>
        <v>No</v>
      </c>
      <c r="T442" s="42" t="str">
        <f aca="false">SUBSTITUTE($U442," ","")</f>
        <v>609207105</v>
      </c>
      <c r="U442" s="42" t="s">
        <v>584</v>
      </c>
      <c r="V442" s="39" t="n">
        <v>5000</v>
      </c>
    </row>
    <row r="443" customFormat="false" ht="15" hidden="false" customHeight="false" outlineLevel="0" collapsed="false">
      <c r="B443" s="70" t="s">
        <v>584</v>
      </c>
      <c r="C443" s="71" t="str">
        <f aca="false">IFERROR(INDEX('13F Data'!A:A,MATCH($B443,'13F Data'!A:A,0)),"No CUSIP Match")</f>
        <v>No CUSIP Match</v>
      </c>
      <c r="D443" s="71" t="str">
        <f aca="false">IFERROR(IF($B443=$C443,"Yes","No"),"No CUSIP Match")</f>
        <v>No</v>
      </c>
      <c r="E443" s="71"/>
      <c r="F443" s="71" t="str">
        <f aca="false">IFERROR(INDEX('13F Data'!C:C, MATCH($B443,'13F Data'!A:A,0)),"No CUSIP Match")</f>
        <v>No CUSIP Match</v>
      </c>
      <c r="G443" s="72" t="str">
        <f aca="false">IFERROR(INDEX('13F Data'!D:D,MATCH($B443,'13F Data'!A:A,0)),"No CUSIP Match")</f>
        <v>No CUSIP Match</v>
      </c>
      <c r="J443" s="73" t="n">
        <f aca="false">$V443</f>
        <v>5000</v>
      </c>
      <c r="K443" s="71" t="str">
        <f aca="false">IFERROR(INDEX('EOD Data'!G:G, MATCH($A443, 'EOD Data'!B:B,0)), "No TKR Match")</f>
        <v>No TKR Match</v>
      </c>
      <c r="L443" s="71" t="str">
        <f aca="false">IFERROR(ROUND($J443*$K443,0),"Error")</f>
        <v>Error</v>
      </c>
      <c r="M443" s="71" t="str">
        <f aca="false">IFERROR(IF(AND($J443&lt;10000,$L443&lt;200000),"Yes","No"),"Error")</f>
        <v>No</v>
      </c>
      <c r="P443" s="42" t="str">
        <f aca="false">IF($N443="SOLE",$J443,"")</f>
        <v/>
      </c>
      <c r="Q443" s="42" t="str">
        <f aca="false">IFERROR(IF($N443="Sole",0,IF(AND($N443="OTR",$R443=0),$J443-$P443,IF(AND($N443="OTR", $R443&gt;0), $J443-$P443-$Q443, ""))),"")</f>
        <v/>
      </c>
      <c r="R443" s="42" t="str">
        <f aca="false">IF($P443=$J443, "0","")</f>
        <v/>
      </c>
      <c r="S443" s="42" t="str">
        <f aca="false">IF(OR(ISBLANK($B443),ISBLANK($C443), ISBLANK($E443), ISBLANK($F443), AND(ISBLANK($G443),ISBLANK($H443)), ISBLANK($I443), ISBLANK($L443), AND(ISBLANK($N443), ISBLANK($O443)), AND(ISBLANK($P443), ISBLANK($Q443), ISBLANK($R443))), "No", "Yes")</f>
        <v>No</v>
      </c>
      <c r="T443" s="42" t="str">
        <f aca="false">SUBSTITUTE($U443," ","")</f>
        <v>609207105</v>
      </c>
      <c r="U443" s="42" t="s">
        <v>584</v>
      </c>
      <c r="V443" s="39" t="n">
        <v>5000</v>
      </c>
    </row>
    <row r="444" customFormat="false" ht="15" hidden="false" customHeight="false" outlineLevel="0" collapsed="false">
      <c r="B444" s="70" t="s">
        <v>586</v>
      </c>
      <c r="C444" s="71" t="str">
        <f aca="false">IFERROR(INDEX('13F Data'!A:A,MATCH($B444,'13F Data'!A:A,0)),"No CUSIP Match")</f>
        <v>No CUSIP Match</v>
      </c>
      <c r="D444" s="71" t="str">
        <f aca="false">IFERROR(IF($B444=$C444,"Yes","No"),"No CUSIP Match")</f>
        <v>No</v>
      </c>
      <c r="E444" s="71"/>
      <c r="F444" s="71" t="str">
        <f aca="false">IFERROR(INDEX('13F Data'!C:C, MATCH($B444,'13F Data'!A:A,0)),"No CUSIP Match")</f>
        <v>No CUSIP Match</v>
      </c>
      <c r="G444" s="72" t="str">
        <f aca="false">IFERROR(INDEX('13F Data'!D:D,MATCH($B444,'13F Data'!A:A,0)),"No CUSIP Match")</f>
        <v>No CUSIP Match</v>
      </c>
      <c r="J444" s="73" t="n">
        <f aca="false">$V444</f>
        <v>115</v>
      </c>
      <c r="K444" s="71" t="str">
        <f aca="false">IFERROR(INDEX('EOD Data'!G:G, MATCH($A444, 'EOD Data'!B:B,0)), "No TKR Match")</f>
        <v>No TKR Match</v>
      </c>
      <c r="L444" s="71" t="str">
        <f aca="false">IFERROR(ROUND($J444*$K444,0),"Error")</f>
        <v>Error</v>
      </c>
      <c r="M444" s="71" t="str">
        <f aca="false">IFERROR(IF(AND($J444&lt;10000,$L444&lt;200000),"Yes","No"),"Error")</f>
        <v>No</v>
      </c>
      <c r="P444" s="42" t="str">
        <f aca="false">IF($N444="SOLE",$J444,"")</f>
        <v/>
      </c>
      <c r="Q444" s="42" t="str">
        <f aca="false">IFERROR(IF($N444="Sole",0,IF(AND($N444="OTR",$R444=0),$J444-$P444,IF(AND($N444="OTR", $R444&gt;0), $J444-$P444-$Q444, ""))),"")</f>
        <v/>
      </c>
      <c r="R444" s="42" t="str">
        <f aca="false">IF($P444=$J444, "0","")</f>
        <v/>
      </c>
      <c r="S444" s="42" t="str">
        <f aca="false">IF(OR(ISBLANK($B444),ISBLANK($C444), ISBLANK($E444), ISBLANK($F444), AND(ISBLANK($G444),ISBLANK($H444)), ISBLANK($I444), ISBLANK($L444), AND(ISBLANK($N444), ISBLANK($O444)), AND(ISBLANK($P444), ISBLANK($Q444), ISBLANK($R444))), "No", "Yes")</f>
        <v>No</v>
      </c>
      <c r="T444" s="42" t="str">
        <f aca="false">SUBSTITUTE($U444," ","")</f>
        <v>60937P106</v>
      </c>
      <c r="U444" s="42" t="s">
        <v>586</v>
      </c>
      <c r="V444" s="39" t="n">
        <v>115</v>
      </c>
    </row>
    <row r="445" customFormat="false" ht="15" hidden="false" customHeight="false" outlineLevel="0" collapsed="false">
      <c r="B445" s="70" t="s">
        <v>586</v>
      </c>
      <c r="C445" s="71" t="str">
        <f aca="false">IFERROR(INDEX('13F Data'!A:A,MATCH($B445,'13F Data'!A:A,0)),"No CUSIP Match")</f>
        <v>No CUSIP Match</v>
      </c>
      <c r="D445" s="71" t="str">
        <f aca="false">IFERROR(IF($B445=$C445,"Yes","No"),"No CUSIP Match")</f>
        <v>No</v>
      </c>
      <c r="E445" s="71"/>
      <c r="F445" s="71" t="str">
        <f aca="false">IFERROR(INDEX('13F Data'!C:C, MATCH($B445,'13F Data'!A:A,0)),"No CUSIP Match")</f>
        <v>No CUSIP Match</v>
      </c>
      <c r="G445" s="72" t="str">
        <f aca="false">IFERROR(INDEX('13F Data'!D:D,MATCH($B445,'13F Data'!A:A,0)),"No CUSIP Match")</f>
        <v>No CUSIP Match</v>
      </c>
      <c r="J445" s="73" t="n">
        <f aca="false">$V445</f>
        <v>3400</v>
      </c>
      <c r="K445" s="71" t="str">
        <f aca="false">IFERROR(INDEX('EOD Data'!G:G, MATCH($A445, 'EOD Data'!B:B,0)), "No TKR Match")</f>
        <v>No TKR Match</v>
      </c>
      <c r="L445" s="71" t="str">
        <f aca="false">IFERROR(ROUND($J445*$K445,0),"Error")</f>
        <v>Error</v>
      </c>
      <c r="M445" s="71" t="str">
        <f aca="false">IFERROR(IF(AND($J445&lt;10000,$L445&lt;200000),"Yes","No"),"Error")</f>
        <v>No</v>
      </c>
      <c r="P445" s="42" t="str">
        <f aca="false">IF($N445="SOLE",$J445,"")</f>
        <v/>
      </c>
      <c r="Q445" s="42" t="str">
        <f aca="false">IFERROR(IF($N445="Sole",0,IF(AND($N445="OTR",$R445=0),$J445-$P445,IF(AND($N445="OTR", $R445&gt;0), $J445-$P445-$Q445, ""))),"")</f>
        <v/>
      </c>
      <c r="R445" s="42" t="str">
        <f aca="false">IF($P445=$J445, "0","")</f>
        <v/>
      </c>
      <c r="S445" s="42" t="str">
        <f aca="false">IF(OR(ISBLANK($B445),ISBLANK($C445), ISBLANK($E445), ISBLANK($F445), AND(ISBLANK($G445),ISBLANK($H445)), ISBLANK($I445), ISBLANK($L445), AND(ISBLANK($N445), ISBLANK($O445)), AND(ISBLANK($P445), ISBLANK($Q445), ISBLANK($R445))), "No", "Yes")</f>
        <v>No</v>
      </c>
      <c r="T445" s="42" t="str">
        <f aca="false">SUBSTITUTE($U445," ","")</f>
        <v>60937P106</v>
      </c>
      <c r="U445" s="42" t="s">
        <v>586</v>
      </c>
      <c r="V445" s="39" t="n">
        <v>3400</v>
      </c>
    </row>
    <row r="446" customFormat="false" ht="15" hidden="false" customHeight="false" outlineLevel="0" collapsed="false">
      <c r="B446" s="70" t="s">
        <v>586</v>
      </c>
      <c r="C446" s="71" t="str">
        <f aca="false">IFERROR(INDEX('13F Data'!A:A,MATCH($B446,'13F Data'!A:A,0)),"No CUSIP Match")</f>
        <v>No CUSIP Match</v>
      </c>
      <c r="D446" s="71" t="str">
        <f aca="false">IFERROR(IF($B446=$C446,"Yes","No"),"No CUSIP Match")</f>
        <v>No</v>
      </c>
      <c r="E446" s="71"/>
      <c r="F446" s="71" t="str">
        <f aca="false">IFERROR(INDEX('13F Data'!C:C, MATCH($B446,'13F Data'!A:A,0)),"No CUSIP Match")</f>
        <v>No CUSIP Match</v>
      </c>
      <c r="G446" s="72" t="str">
        <f aca="false">IFERROR(INDEX('13F Data'!D:D,MATCH($B446,'13F Data'!A:A,0)),"No CUSIP Match")</f>
        <v>No CUSIP Match</v>
      </c>
      <c r="J446" s="73" t="n">
        <f aca="false">$V446</f>
        <v>3400</v>
      </c>
      <c r="K446" s="71" t="str">
        <f aca="false">IFERROR(INDEX('EOD Data'!G:G, MATCH($A446, 'EOD Data'!B:B,0)), "No TKR Match")</f>
        <v>No TKR Match</v>
      </c>
      <c r="L446" s="71" t="str">
        <f aca="false">IFERROR(ROUND($J446*$K446,0),"Error")</f>
        <v>Error</v>
      </c>
      <c r="M446" s="71" t="str">
        <f aca="false">IFERROR(IF(AND($J446&lt;10000,$L446&lt;200000),"Yes","No"),"Error")</f>
        <v>No</v>
      </c>
      <c r="P446" s="42" t="str">
        <f aca="false">IF($N446="SOLE",$J446,"")</f>
        <v/>
      </c>
      <c r="Q446" s="42" t="str">
        <f aca="false">IFERROR(IF($N446="Sole",0,IF(AND($N446="OTR",$R446=0),$J446-$P446,IF(AND($N446="OTR", $R446&gt;0), $J446-$P446-$Q446, ""))),"")</f>
        <v/>
      </c>
      <c r="R446" s="42" t="str">
        <f aca="false">IF($P446=$J446, "0","")</f>
        <v/>
      </c>
      <c r="S446" s="42" t="str">
        <f aca="false">IF(OR(ISBLANK($B446),ISBLANK($C446), ISBLANK($E446), ISBLANK($F446), AND(ISBLANK($G446),ISBLANK($H446)), ISBLANK($I446), ISBLANK($L446), AND(ISBLANK($N446), ISBLANK($O446)), AND(ISBLANK($P446), ISBLANK($Q446), ISBLANK($R446))), "No", "Yes")</f>
        <v>No</v>
      </c>
      <c r="T446" s="42" t="str">
        <f aca="false">SUBSTITUTE($U446," ","")</f>
        <v>60937P106</v>
      </c>
      <c r="U446" s="42" t="s">
        <v>586</v>
      </c>
      <c r="V446" s="39" t="n">
        <v>3400</v>
      </c>
    </row>
    <row r="447" customFormat="false" ht="15" hidden="false" customHeight="false" outlineLevel="0" collapsed="false">
      <c r="B447" s="70" t="s">
        <v>588</v>
      </c>
      <c r="C447" s="71" t="str">
        <f aca="false">IFERROR(INDEX('13F Data'!A:A,MATCH($B447,'13F Data'!A:A,0)),"No CUSIP Match")</f>
        <v>No CUSIP Match</v>
      </c>
      <c r="D447" s="71" t="str">
        <f aca="false">IFERROR(IF($B447=$C447,"Yes","No"),"No CUSIP Match")</f>
        <v>No</v>
      </c>
      <c r="E447" s="71"/>
      <c r="F447" s="71" t="str">
        <f aca="false">IFERROR(INDEX('13F Data'!C:C, MATCH($B447,'13F Data'!A:A,0)),"No CUSIP Match")</f>
        <v>No CUSIP Match</v>
      </c>
      <c r="G447" s="72" t="str">
        <f aca="false">IFERROR(INDEX('13F Data'!D:D,MATCH($B447,'13F Data'!A:A,0)),"No CUSIP Match")</f>
        <v>No CUSIP Match</v>
      </c>
      <c r="J447" s="73" t="n">
        <f aca="false">$V447</f>
        <v>2500</v>
      </c>
      <c r="K447" s="71" t="str">
        <f aca="false">IFERROR(INDEX('EOD Data'!G:G, MATCH($A447, 'EOD Data'!B:B,0)), "No TKR Match")</f>
        <v>No TKR Match</v>
      </c>
      <c r="L447" s="71" t="str">
        <f aca="false">IFERROR(ROUND($J447*$K447,0),"Error")</f>
        <v>Error</v>
      </c>
      <c r="M447" s="71" t="str">
        <f aca="false">IFERROR(IF(AND($J447&lt;10000,$L447&lt;200000),"Yes","No"),"Error")</f>
        <v>No</v>
      </c>
      <c r="P447" s="42" t="str">
        <f aca="false">IF($N447="SOLE",$J447,"")</f>
        <v/>
      </c>
      <c r="Q447" s="42" t="str">
        <f aca="false">IFERROR(IF($N447="Sole",0,IF(AND($N447="OTR",$R447=0),$J447-$P447,IF(AND($N447="OTR", $R447&gt;0), $J447-$P447-$Q447, ""))),"")</f>
        <v/>
      </c>
      <c r="R447" s="42" t="str">
        <f aca="false">IF($P447=$J447, "0","")</f>
        <v/>
      </c>
      <c r="S447" s="42" t="str">
        <f aca="false">IF(OR(ISBLANK($B447),ISBLANK($C447), ISBLANK($E447), ISBLANK($F447), AND(ISBLANK($G447),ISBLANK($H447)), ISBLANK($I447), ISBLANK($L447), AND(ISBLANK($N447), ISBLANK($O447)), AND(ISBLANK($P447), ISBLANK($Q447), ISBLANK($R447))), "No", "Yes")</f>
        <v>No</v>
      </c>
      <c r="T447" s="42" t="str">
        <f aca="false">SUBSTITUTE($U447," ","")</f>
        <v>61174X109</v>
      </c>
      <c r="U447" s="42" t="s">
        <v>588</v>
      </c>
      <c r="V447" s="39" t="n">
        <v>2500</v>
      </c>
    </row>
    <row r="448" customFormat="false" ht="15" hidden="false" customHeight="false" outlineLevel="0" collapsed="false">
      <c r="B448" s="70" t="s">
        <v>588</v>
      </c>
      <c r="C448" s="71" t="str">
        <f aca="false">IFERROR(INDEX('13F Data'!A:A,MATCH($B448,'13F Data'!A:A,0)),"No CUSIP Match")</f>
        <v>No CUSIP Match</v>
      </c>
      <c r="D448" s="71" t="str">
        <f aca="false">IFERROR(IF($B448=$C448,"Yes","No"),"No CUSIP Match")</f>
        <v>No</v>
      </c>
      <c r="E448" s="71"/>
      <c r="F448" s="71" t="str">
        <f aca="false">IFERROR(INDEX('13F Data'!C:C, MATCH($B448,'13F Data'!A:A,0)),"No CUSIP Match")</f>
        <v>No CUSIP Match</v>
      </c>
      <c r="G448" s="72" t="str">
        <f aca="false">IFERROR(INDEX('13F Data'!D:D,MATCH($B448,'13F Data'!A:A,0)),"No CUSIP Match")</f>
        <v>No CUSIP Match</v>
      </c>
      <c r="J448" s="73" t="n">
        <f aca="false">$V448</f>
        <v>2500</v>
      </c>
      <c r="K448" s="71" t="str">
        <f aca="false">IFERROR(INDEX('EOD Data'!G:G, MATCH($A448, 'EOD Data'!B:B,0)), "No TKR Match")</f>
        <v>No TKR Match</v>
      </c>
      <c r="L448" s="71" t="str">
        <f aca="false">IFERROR(ROUND($J448*$K448,0),"Error")</f>
        <v>Error</v>
      </c>
      <c r="M448" s="71" t="str">
        <f aca="false">IFERROR(IF(AND($J448&lt;10000,$L448&lt;200000),"Yes","No"),"Error")</f>
        <v>No</v>
      </c>
      <c r="P448" s="42" t="str">
        <f aca="false">IF($N448="SOLE",$J448,"")</f>
        <v/>
      </c>
      <c r="Q448" s="42" t="str">
        <f aca="false">IFERROR(IF($N448="Sole",0,IF(AND($N448="OTR",$R448=0),$J448-$P448,IF(AND($N448="OTR", $R448&gt;0), $J448-$P448-$Q448, ""))),"")</f>
        <v/>
      </c>
      <c r="R448" s="42" t="str">
        <f aca="false">IF($P448=$J448, "0","")</f>
        <v/>
      </c>
      <c r="S448" s="42" t="str">
        <f aca="false">IF(OR(ISBLANK($B448),ISBLANK($C448), ISBLANK($E448), ISBLANK($F448), AND(ISBLANK($G448),ISBLANK($H448)), ISBLANK($I448), ISBLANK($L448), AND(ISBLANK($N448), ISBLANK($O448)), AND(ISBLANK($P448), ISBLANK($Q448), ISBLANK($R448))), "No", "Yes")</f>
        <v>No</v>
      </c>
      <c r="T448" s="42" t="str">
        <f aca="false">SUBSTITUTE($U448," ","")</f>
        <v>61174X109</v>
      </c>
      <c r="U448" s="42" t="s">
        <v>588</v>
      </c>
      <c r="V448" s="39" t="n">
        <v>2500</v>
      </c>
    </row>
    <row r="449" customFormat="false" ht="15" hidden="false" customHeight="false" outlineLevel="0" collapsed="false">
      <c r="B449" s="70" t="s">
        <v>590</v>
      </c>
      <c r="C449" s="71" t="str">
        <f aca="false">IFERROR(INDEX('13F Data'!A:A,MATCH($B449,'13F Data'!A:A,0)),"No CUSIP Match")</f>
        <v>No CUSIP Match</v>
      </c>
      <c r="D449" s="71" t="str">
        <f aca="false">IFERROR(IF($B449=$C449,"Yes","No"),"No CUSIP Match")</f>
        <v>No</v>
      </c>
      <c r="E449" s="71"/>
      <c r="F449" s="71" t="str">
        <f aca="false">IFERROR(INDEX('13F Data'!C:C, MATCH($B449,'13F Data'!A:A,0)),"No CUSIP Match")</f>
        <v>No CUSIP Match</v>
      </c>
      <c r="G449" s="72" t="str">
        <f aca="false">IFERROR(INDEX('13F Data'!D:D,MATCH($B449,'13F Data'!A:A,0)),"No CUSIP Match")</f>
        <v>No CUSIP Match</v>
      </c>
      <c r="J449" s="73" t="n">
        <f aca="false">$V449</f>
        <v>40400</v>
      </c>
      <c r="K449" s="71" t="str">
        <f aca="false">IFERROR(INDEX('EOD Data'!G:G, MATCH($A449, 'EOD Data'!B:B,0)), "No TKR Match")</f>
        <v>No TKR Match</v>
      </c>
      <c r="L449" s="71" t="str">
        <f aca="false">IFERROR(ROUND($J449*$K449,0),"Error")</f>
        <v>Error</v>
      </c>
      <c r="M449" s="71" t="str">
        <f aca="false">IFERROR(IF(AND($J449&lt;10000,$L449&lt;200000),"Yes","No"),"Error")</f>
        <v>No</v>
      </c>
      <c r="P449" s="42" t="str">
        <f aca="false">IF($N449="SOLE",$J449,"")</f>
        <v/>
      </c>
      <c r="Q449" s="42" t="str">
        <f aca="false">IFERROR(IF($N449="Sole",0,IF(AND($N449="OTR",$R449=0),$J449-$P449,IF(AND($N449="OTR", $R449&gt;0), $J449-$P449-$Q449, ""))),"")</f>
        <v/>
      </c>
      <c r="R449" s="42" t="str">
        <f aca="false">IF($P449=$J449, "0","")</f>
        <v/>
      </c>
      <c r="S449" s="42" t="str">
        <f aca="false">IF(OR(ISBLANK($B449),ISBLANK($C449), ISBLANK($E449), ISBLANK($F449), AND(ISBLANK($G449),ISBLANK($H449)), ISBLANK($I449), ISBLANK($L449), AND(ISBLANK($N449), ISBLANK($O449)), AND(ISBLANK($P449), ISBLANK($Q449), ISBLANK($R449))), "No", "Yes")</f>
        <v>No</v>
      </c>
      <c r="T449" s="42" t="str">
        <f aca="false">SUBSTITUTE($U449," ","")</f>
        <v>617446448</v>
      </c>
      <c r="U449" s="42" t="s">
        <v>590</v>
      </c>
      <c r="V449" s="39" t="n">
        <v>40400</v>
      </c>
    </row>
    <row r="450" customFormat="false" ht="15" hidden="false" customHeight="false" outlineLevel="0" collapsed="false">
      <c r="B450" s="70" t="s">
        <v>590</v>
      </c>
      <c r="C450" s="71" t="str">
        <f aca="false">IFERROR(INDEX('13F Data'!A:A,MATCH($B450,'13F Data'!A:A,0)),"No CUSIP Match")</f>
        <v>No CUSIP Match</v>
      </c>
      <c r="D450" s="71" t="str">
        <f aca="false">IFERROR(IF($B450=$C450,"Yes","No"),"No CUSIP Match")</f>
        <v>No</v>
      </c>
      <c r="E450" s="71"/>
      <c r="F450" s="71" t="str">
        <f aca="false">IFERROR(INDEX('13F Data'!C:C, MATCH($B450,'13F Data'!A:A,0)),"No CUSIP Match")</f>
        <v>No CUSIP Match</v>
      </c>
      <c r="G450" s="72" t="str">
        <f aca="false">IFERROR(INDEX('13F Data'!D:D,MATCH($B450,'13F Data'!A:A,0)),"No CUSIP Match")</f>
        <v>No CUSIP Match</v>
      </c>
      <c r="J450" s="73" t="n">
        <f aca="false">$V450</f>
        <v>40400</v>
      </c>
      <c r="K450" s="71" t="str">
        <f aca="false">IFERROR(INDEX('EOD Data'!G:G, MATCH($A450, 'EOD Data'!B:B,0)), "No TKR Match")</f>
        <v>No TKR Match</v>
      </c>
      <c r="L450" s="71" t="str">
        <f aca="false">IFERROR(ROUND($J450*$K450,0),"Error")</f>
        <v>Error</v>
      </c>
      <c r="M450" s="71" t="str">
        <f aca="false">IFERROR(IF(AND($J450&lt;10000,$L450&lt;200000),"Yes","No"),"Error")</f>
        <v>No</v>
      </c>
      <c r="P450" s="42" t="str">
        <f aca="false">IF($N450="SOLE",$J450,"")</f>
        <v/>
      </c>
      <c r="Q450" s="42" t="str">
        <f aca="false">IFERROR(IF($N450="Sole",0,IF(AND($N450="OTR",$R450=0),$J450-$P450,IF(AND($N450="OTR", $R450&gt;0), $J450-$P450-$Q450, ""))),"")</f>
        <v/>
      </c>
      <c r="R450" s="42" t="str">
        <f aca="false">IF($P450=$J450, "0","")</f>
        <v/>
      </c>
      <c r="S450" s="42" t="str">
        <f aca="false">IF(OR(ISBLANK($B450),ISBLANK($C450), ISBLANK($E450), ISBLANK($F450), AND(ISBLANK($G450),ISBLANK($H450)), ISBLANK($I450), ISBLANK($L450), AND(ISBLANK($N450), ISBLANK($O450)), AND(ISBLANK($P450), ISBLANK($Q450), ISBLANK($R450))), "No", "Yes")</f>
        <v>No</v>
      </c>
      <c r="T450" s="42" t="str">
        <f aca="false">SUBSTITUTE($U450," ","")</f>
        <v>617446448</v>
      </c>
      <c r="U450" s="42" t="s">
        <v>590</v>
      </c>
      <c r="V450" s="39" t="n">
        <v>40400</v>
      </c>
    </row>
    <row r="451" customFormat="false" ht="15" hidden="false" customHeight="false" outlineLevel="0" collapsed="false">
      <c r="B451" s="70" t="s">
        <v>592</v>
      </c>
      <c r="C451" s="71" t="str">
        <f aca="false">IFERROR(INDEX('13F Data'!A:A,MATCH($B451,'13F Data'!A:A,0)),"No CUSIP Match")</f>
        <v>No CUSIP Match</v>
      </c>
      <c r="D451" s="71" t="str">
        <f aca="false">IFERROR(IF($B451=$C451,"Yes","No"),"No CUSIP Match")</f>
        <v>No</v>
      </c>
      <c r="E451" s="71"/>
      <c r="F451" s="71" t="str">
        <f aca="false">IFERROR(INDEX('13F Data'!C:C, MATCH($B451,'13F Data'!A:A,0)),"No CUSIP Match")</f>
        <v>No CUSIP Match</v>
      </c>
      <c r="G451" s="72" t="str">
        <f aca="false">IFERROR(INDEX('13F Data'!D:D,MATCH($B451,'13F Data'!A:A,0)),"No CUSIP Match")</f>
        <v>No CUSIP Match</v>
      </c>
      <c r="J451" s="73" t="n">
        <f aca="false">$V451</f>
        <v>26499</v>
      </c>
      <c r="K451" s="71" t="str">
        <f aca="false">IFERROR(INDEX('EOD Data'!G:G, MATCH($A451, 'EOD Data'!B:B,0)), "No TKR Match")</f>
        <v>No TKR Match</v>
      </c>
      <c r="L451" s="71" t="str">
        <f aca="false">IFERROR(ROUND($J451*$K451,0),"Error")</f>
        <v>Error</v>
      </c>
      <c r="M451" s="71" t="str">
        <f aca="false">IFERROR(IF(AND($J451&lt;10000,$L451&lt;200000),"Yes","No"),"Error")</f>
        <v>No</v>
      </c>
      <c r="P451" s="42" t="str">
        <f aca="false">IF($N451="SOLE",$J451,"")</f>
        <v/>
      </c>
      <c r="Q451" s="42" t="str">
        <f aca="false">IFERROR(IF($N451="Sole",0,IF(AND($N451="OTR",$R451=0),$J451-$P451,IF(AND($N451="OTR", $R451&gt;0), $J451-$P451-$Q451, ""))),"")</f>
        <v/>
      </c>
      <c r="R451" s="42" t="str">
        <f aca="false">IF($P451=$J451, "0","")</f>
        <v/>
      </c>
      <c r="S451" s="42" t="str">
        <f aca="false">IF(OR(ISBLANK($B451),ISBLANK($C451), ISBLANK($E451), ISBLANK($F451), AND(ISBLANK($G451),ISBLANK($H451)), ISBLANK($I451), ISBLANK($L451), AND(ISBLANK($N451), ISBLANK($O451)), AND(ISBLANK($P451), ISBLANK($Q451), ISBLANK($R451))), "No", "Yes")</f>
        <v>No</v>
      </c>
      <c r="T451" s="42" t="str">
        <f aca="false">SUBSTITUTE($U451," ","")</f>
        <v>G6359F137</v>
      </c>
      <c r="U451" s="42" t="s">
        <v>592</v>
      </c>
      <c r="V451" s="39" t="n">
        <v>26499</v>
      </c>
    </row>
    <row r="452" customFormat="false" ht="15" hidden="false" customHeight="false" outlineLevel="0" collapsed="false">
      <c r="B452" s="70" t="s">
        <v>594</v>
      </c>
      <c r="C452" s="71" t="str">
        <f aca="false">IFERROR(INDEX('13F Data'!A:A,MATCH($B452,'13F Data'!A:A,0)),"No CUSIP Match")</f>
        <v>No CUSIP Match</v>
      </c>
      <c r="D452" s="71" t="str">
        <f aca="false">IFERROR(IF($B452=$C452,"Yes","No"),"No CUSIP Match")</f>
        <v>No</v>
      </c>
      <c r="E452" s="71"/>
      <c r="F452" s="71" t="str">
        <f aca="false">IFERROR(INDEX('13F Data'!C:C, MATCH($B452,'13F Data'!A:A,0)),"No CUSIP Match")</f>
        <v>No CUSIP Match</v>
      </c>
      <c r="G452" s="72" t="str">
        <f aca="false">IFERROR(INDEX('13F Data'!D:D,MATCH($B452,'13F Data'!A:A,0)),"No CUSIP Match")</f>
        <v>No CUSIP Match</v>
      </c>
      <c r="J452" s="73" t="n">
        <f aca="false">$V452</f>
        <v>222559</v>
      </c>
      <c r="K452" s="71" t="str">
        <f aca="false">IFERROR(INDEX('EOD Data'!G:G, MATCH($A452, 'EOD Data'!B:B,0)), "No TKR Match")</f>
        <v>No TKR Match</v>
      </c>
      <c r="L452" s="71" t="str">
        <f aca="false">IFERROR(ROUND($J452*$K452,0),"Error")</f>
        <v>Error</v>
      </c>
      <c r="M452" s="71" t="str">
        <f aca="false">IFERROR(IF(AND($J452&lt;10000,$L452&lt;200000),"Yes","No"),"Error")</f>
        <v>No</v>
      </c>
      <c r="P452" s="42" t="str">
        <f aca="false">IF($N452="SOLE",$J452,"")</f>
        <v/>
      </c>
      <c r="Q452" s="42" t="str">
        <f aca="false">IFERROR(IF($N452="Sole",0,IF(AND($N452="OTR",$R452=0),$J452-$P452,IF(AND($N452="OTR", $R452&gt;0), $J452-$P452-$Q452, ""))),"")</f>
        <v/>
      </c>
      <c r="R452" s="42" t="str">
        <f aca="false">IF($P452=$J452, "0","")</f>
        <v/>
      </c>
      <c r="S452" s="42" t="str">
        <f aca="false">IF(OR(ISBLANK($B452),ISBLANK($C452), ISBLANK($E452), ISBLANK($F452), AND(ISBLANK($G452),ISBLANK($H452)), ISBLANK($I452), ISBLANK($L452), AND(ISBLANK($N452), ISBLANK($O452)), AND(ISBLANK($P452), ISBLANK($Q452), ISBLANK($R452))), "No", "Yes")</f>
        <v>No</v>
      </c>
      <c r="T452" s="42" t="str">
        <f aca="false">SUBSTITUTE($U452," ","")</f>
        <v>63947X101</v>
      </c>
      <c r="U452" s="42" t="s">
        <v>594</v>
      </c>
      <c r="V452" s="39" t="n">
        <v>222559</v>
      </c>
    </row>
    <row r="453" customFormat="false" ht="15" hidden="false" customHeight="false" outlineLevel="0" collapsed="false">
      <c r="B453" s="70" t="s">
        <v>596</v>
      </c>
      <c r="C453" s="71" t="str">
        <f aca="false">IFERROR(INDEX('13F Data'!A:A,MATCH($B453,'13F Data'!A:A,0)),"No CUSIP Match")</f>
        <v>No CUSIP Match</v>
      </c>
      <c r="D453" s="71" t="str">
        <f aca="false">IFERROR(IF($B453=$C453,"Yes","No"),"No CUSIP Match")</f>
        <v>No</v>
      </c>
      <c r="E453" s="71"/>
      <c r="F453" s="71" t="str">
        <f aca="false">IFERROR(INDEX('13F Data'!C:C, MATCH($B453,'13F Data'!A:A,0)),"No CUSIP Match")</f>
        <v>No CUSIP Match</v>
      </c>
      <c r="G453" s="72" t="str">
        <f aca="false">IFERROR(INDEX('13F Data'!D:D,MATCH($B453,'13F Data'!A:A,0)),"No CUSIP Match")</f>
        <v>No CUSIP Match</v>
      </c>
      <c r="J453" s="73" t="n">
        <f aca="false">$V453</f>
        <v>19000</v>
      </c>
      <c r="K453" s="71" t="str">
        <f aca="false">IFERROR(INDEX('EOD Data'!G:G, MATCH($A453, 'EOD Data'!B:B,0)), "No TKR Match")</f>
        <v>No TKR Match</v>
      </c>
      <c r="L453" s="71" t="str">
        <f aca="false">IFERROR(ROUND($J453*$K453,0),"Error")</f>
        <v>Error</v>
      </c>
      <c r="M453" s="71" t="str">
        <f aca="false">IFERROR(IF(AND($J453&lt;10000,$L453&lt;200000),"Yes","No"),"Error")</f>
        <v>No</v>
      </c>
      <c r="P453" s="42" t="str">
        <f aca="false">IF($N453="SOLE",$J453,"")</f>
        <v/>
      </c>
      <c r="Q453" s="42" t="str">
        <f aca="false">IFERROR(IF($N453="Sole",0,IF(AND($N453="OTR",$R453=0),$J453-$P453,IF(AND($N453="OTR", $R453&gt;0), $J453-$P453-$Q453, ""))),"")</f>
        <v/>
      </c>
      <c r="R453" s="42" t="str">
        <f aca="false">IF($P453=$J453, "0","")</f>
        <v/>
      </c>
      <c r="S453" s="42" t="str">
        <f aca="false">IF(OR(ISBLANK($B453),ISBLANK($C453), ISBLANK($E453), ISBLANK($F453), AND(ISBLANK($G453),ISBLANK($H453)), ISBLANK($I453), ISBLANK($L453), AND(ISBLANK($N453), ISBLANK($O453)), AND(ISBLANK($P453), ISBLANK($Q453), ISBLANK($R453))), "No", "Yes")</f>
        <v>No</v>
      </c>
      <c r="T453" s="42" t="str">
        <f aca="false">SUBSTITUTE($U453," ","")</f>
        <v>64110D104</v>
      </c>
      <c r="U453" s="42" t="s">
        <v>596</v>
      </c>
      <c r="V453" s="39" t="n">
        <v>19000</v>
      </c>
    </row>
    <row r="454" customFormat="false" ht="15" hidden="false" customHeight="false" outlineLevel="0" collapsed="false">
      <c r="B454" s="70" t="s">
        <v>596</v>
      </c>
      <c r="C454" s="71" t="str">
        <f aca="false">IFERROR(INDEX('13F Data'!A:A,MATCH($B454,'13F Data'!A:A,0)),"No CUSIP Match")</f>
        <v>No CUSIP Match</v>
      </c>
      <c r="D454" s="71" t="str">
        <f aca="false">IFERROR(IF($B454=$C454,"Yes","No"),"No CUSIP Match")</f>
        <v>No</v>
      </c>
      <c r="E454" s="71"/>
      <c r="F454" s="71" t="str">
        <f aca="false">IFERROR(INDEX('13F Data'!C:C, MATCH($B454,'13F Data'!A:A,0)),"No CUSIP Match")</f>
        <v>No CUSIP Match</v>
      </c>
      <c r="G454" s="72" t="str">
        <f aca="false">IFERROR(INDEX('13F Data'!D:D,MATCH($B454,'13F Data'!A:A,0)),"No CUSIP Match")</f>
        <v>No CUSIP Match</v>
      </c>
      <c r="J454" s="73" t="n">
        <f aca="false">$V454</f>
        <v>19000</v>
      </c>
      <c r="K454" s="71" t="str">
        <f aca="false">IFERROR(INDEX('EOD Data'!G:G, MATCH($A454, 'EOD Data'!B:B,0)), "No TKR Match")</f>
        <v>No TKR Match</v>
      </c>
      <c r="L454" s="71" t="str">
        <f aca="false">IFERROR(ROUND($J454*$K454,0),"Error")</f>
        <v>Error</v>
      </c>
      <c r="M454" s="71" t="str">
        <f aca="false">IFERROR(IF(AND($J454&lt;10000,$L454&lt;200000),"Yes","No"),"Error")</f>
        <v>No</v>
      </c>
      <c r="P454" s="42" t="str">
        <f aca="false">IF($N454="SOLE",$J454,"")</f>
        <v/>
      </c>
      <c r="Q454" s="42" t="str">
        <f aca="false">IFERROR(IF($N454="Sole",0,IF(AND($N454="OTR",$R454=0),$J454-$P454,IF(AND($N454="OTR", $R454&gt;0), $J454-$P454-$Q454, ""))),"")</f>
        <v/>
      </c>
      <c r="R454" s="42" t="str">
        <f aca="false">IF($P454=$J454, "0","")</f>
        <v/>
      </c>
      <c r="S454" s="42" t="str">
        <f aca="false">IF(OR(ISBLANK($B454),ISBLANK($C454), ISBLANK($E454), ISBLANK($F454), AND(ISBLANK($G454),ISBLANK($H454)), ISBLANK($I454), ISBLANK($L454), AND(ISBLANK($N454), ISBLANK($O454)), AND(ISBLANK($P454), ISBLANK($Q454), ISBLANK($R454))), "No", "Yes")</f>
        <v>No</v>
      </c>
      <c r="T454" s="42" t="str">
        <f aca="false">SUBSTITUTE($U454," ","")</f>
        <v>64110D104</v>
      </c>
      <c r="U454" s="42" t="s">
        <v>596</v>
      </c>
      <c r="V454" s="39" t="n">
        <v>19000</v>
      </c>
    </row>
    <row r="455" customFormat="false" ht="15" hidden="false" customHeight="false" outlineLevel="0" collapsed="false">
      <c r="B455" s="70" t="s">
        <v>598</v>
      </c>
      <c r="C455" s="71" t="str">
        <f aca="false">IFERROR(INDEX('13F Data'!A:A,MATCH($B455,'13F Data'!A:A,0)),"No CUSIP Match")</f>
        <v>No CUSIP Match</v>
      </c>
      <c r="D455" s="71" t="str">
        <f aca="false">IFERROR(IF($B455=$C455,"Yes","No"),"No CUSIP Match")</f>
        <v>No</v>
      </c>
      <c r="E455" s="71"/>
      <c r="F455" s="71" t="str">
        <f aca="false">IFERROR(INDEX('13F Data'!C:C, MATCH($B455,'13F Data'!A:A,0)),"No CUSIP Match")</f>
        <v>No CUSIP Match</v>
      </c>
      <c r="G455" s="72" t="str">
        <f aca="false">IFERROR(INDEX('13F Data'!D:D,MATCH($B455,'13F Data'!A:A,0)),"No CUSIP Match")</f>
        <v>No CUSIP Match</v>
      </c>
      <c r="J455" s="73" t="n">
        <f aca="false">$V455</f>
        <v>7900</v>
      </c>
      <c r="K455" s="71" t="str">
        <f aca="false">IFERROR(INDEX('EOD Data'!G:G, MATCH($A455, 'EOD Data'!B:B,0)), "No TKR Match")</f>
        <v>No TKR Match</v>
      </c>
      <c r="L455" s="71" t="str">
        <f aca="false">IFERROR(ROUND($J455*$K455,0),"Error")</f>
        <v>Error</v>
      </c>
      <c r="M455" s="71" t="str">
        <f aca="false">IFERROR(IF(AND($J455&lt;10000,$L455&lt;200000),"Yes","No"),"Error")</f>
        <v>No</v>
      </c>
      <c r="P455" s="42" t="str">
        <f aca="false">IF($N455="SOLE",$J455,"")</f>
        <v/>
      </c>
      <c r="Q455" s="42" t="str">
        <f aca="false">IFERROR(IF($N455="Sole",0,IF(AND($N455="OTR",$R455=0),$J455-$P455,IF(AND($N455="OTR", $R455&gt;0), $J455-$P455-$Q455, ""))),"")</f>
        <v/>
      </c>
      <c r="R455" s="42" t="str">
        <f aca="false">IF($P455=$J455, "0","")</f>
        <v/>
      </c>
      <c r="S455" s="42" t="str">
        <f aca="false">IF(OR(ISBLANK($B455),ISBLANK($C455), ISBLANK($E455), ISBLANK($F455), AND(ISBLANK($G455),ISBLANK($H455)), ISBLANK($I455), ISBLANK($L455), AND(ISBLANK($N455), ISBLANK($O455)), AND(ISBLANK($P455), ISBLANK($Q455), ISBLANK($R455))), "No", "Yes")</f>
        <v>No</v>
      </c>
      <c r="T455" s="42" t="str">
        <f aca="false">SUBSTITUTE($U455," ","")</f>
        <v>64110L106</v>
      </c>
      <c r="U455" s="42" t="s">
        <v>598</v>
      </c>
      <c r="V455" s="39" t="n">
        <v>7900</v>
      </c>
    </row>
    <row r="456" customFormat="false" ht="15" hidden="false" customHeight="false" outlineLevel="0" collapsed="false">
      <c r="B456" s="70" t="s">
        <v>598</v>
      </c>
      <c r="C456" s="71" t="str">
        <f aca="false">IFERROR(INDEX('13F Data'!A:A,MATCH($B456,'13F Data'!A:A,0)),"No CUSIP Match")</f>
        <v>No CUSIP Match</v>
      </c>
      <c r="D456" s="71" t="str">
        <f aca="false">IFERROR(IF($B456=$C456,"Yes","No"),"No CUSIP Match")</f>
        <v>No</v>
      </c>
      <c r="E456" s="71"/>
      <c r="F456" s="71" t="str">
        <f aca="false">IFERROR(INDEX('13F Data'!C:C, MATCH($B456,'13F Data'!A:A,0)),"No CUSIP Match")</f>
        <v>No CUSIP Match</v>
      </c>
      <c r="G456" s="72" t="str">
        <f aca="false">IFERROR(INDEX('13F Data'!D:D,MATCH($B456,'13F Data'!A:A,0)),"No CUSIP Match")</f>
        <v>No CUSIP Match</v>
      </c>
      <c r="J456" s="73" t="n">
        <f aca="false">$V456</f>
        <v>7900</v>
      </c>
      <c r="K456" s="71" t="str">
        <f aca="false">IFERROR(INDEX('EOD Data'!G:G, MATCH($A456, 'EOD Data'!B:B,0)), "No TKR Match")</f>
        <v>No TKR Match</v>
      </c>
      <c r="L456" s="71" t="str">
        <f aca="false">IFERROR(ROUND($J456*$K456,0),"Error")</f>
        <v>Error</v>
      </c>
      <c r="M456" s="71" t="str">
        <f aca="false">IFERROR(IF(AND($J456&lt;10000,$L456&lt;200000),"Yes","No"),"Error")</f>
        <v>No</v>
      </c>
      <c r="P456" s="42" t="str">
        <f aca="false">IF($N456="SOLE",$J456,"")</f>
        <v/>
      </c>
      <c r="Q456" s="42" t="str">
        <f aca="false">IFERROR(IF($N456="Sole",0,IF(AND($N456="OTR",$R456=0),$J456-$P456,IF(AND($N456="OTR", $R456&gt;0), $J456-$P456-$Q456, ""))),"")</f>
        <v/>
      </c>
      <c r="R456" s="42" t="str">
        <f aca="false">IF($P456=$J456, "0","")</f>
        <v/>
      </c>
      <c r="S456" s="42" t="str">
        <f aca="false">IF(OR(ISBLANK($B456),ISBLANK($C456), ISBLANK($E456), ISBLANK($F456), AND(ISBLANK($G456),ISBLANK($H456)), ISBLANK($I456), ISBLANK($L456), AND(ISBLANK($N456), ISBLANK($O456)), AND(ISBLANK($P456), ISBLANK($Q456), ISBLANK($R456))), "No", "Yes")</f>
        <v>No</v>
      </c>
      <c r="T456" s="42" t="str">
        <f aca="false">SUBSTITUTE($U456," ","")</f>
        <v>64110L106</v>
      </c>
      <c r="U456" s="42" t="s">
        <v>598</v>
      </c>
      <c r="V456" s="39" t="n">
        <v>7900</v>
      </c>
    </row>
    <row r="457" customFormat="false" ht="15" hidden="false" customHeight="false" outlineLevel="0" collapsed="false">
      <c r="B457" s="70" t="s">
        <v>600</v>
      </c>
      <c r="C457" s="71" t="str">
        <f aca="false">IFERROR(INDEX('13F Data'!A:A,MATCH($B457,'13F Data'!A:A,0)),"No CUSIP Match")</f>
        <v>No CUSIP Match</v>
      </c>
      <c r="D457" s="71" t="str">
        <f aca="false">IFERROR(IF($B457=$C457,"Yes","No"),"No CUSIP Match")</f>
        <v>No</v>
      </c>
      <c r="E457" s="71"/>
      <c r="F457" s="71" t="str">
        <f aca="false">IFERROR(INDEX('13F Data'!C:C, MATCH($B457,'13F Data'!A:A,0)),"No CUSIP Match")</f>
        <v>No CUSIP Match</v>
      </c>
      <c r="G457" s="72" t="str">
        <f aca="false">IFERROR(INDEX('13F Data'!D:D,MATCH($B457,'13F Data'!A:A,0)),"No CUSIP Match")</f>
        <v>No CUSIP Match</v>
      </c>
      <c r="J457" s="73" t="n">
        <f aca="false">$V457</f>
        <v>18900</v>
      </c>
      <c r="K457" s="71" t="str">
        <f aca="false">IFERROR(INDEX('EOD Data'!G:G, MATCH($A457, 'EOD Data'!B:B,0)), "No TKR Match")</f>
        <v>No TKR Match</v>
      </c>
      <c r="L457" s="71" t="str">
        <f aca="false">IFERROR(ROUND($J457*$K457,0),"Error")</f>
        <v>Error</v>
      </c>
      <c r="M457" s="71" t="str">
        <f aca="false">IFERROR(IF(AND($J457&lt;10000,$L457&lt;200000),"Yes","No"),"Error")</f>
        <v>No</v>
      </c>
      <c r="P457" s="42" t="str">
        <f aca="false">IF($N457="SOLE",$J457,"")</f>
        <v/>
      </c>
      <c r="Q457" s="42" t="str">
        <f aca="false">IFERROR(IF($N457="Sole",0,IF(AND($N457="OTR",$R457=0),$J457-$P457,IF(AND($N457="OTR", $R457&gt;0), $J457-$P457-$Q457, ""))),"")</f>
        <v/>
      </c>
      <c r="R457" s="42" t="str">
        <f aca="false">IF($P457=$J457, "0","")</f>
        <v/>
      </c>
      <c r="S457" s="42" t="str">
        <f aca="false">IF(OR(ISBLANK($B457),ISBLANK($C457), ISBLANK($E457), ISBLANK($F457), AND(ISBLANK($G457),ISBLANK($H457)), ISBLANK($I457), ISBLANK($L457), AND(ISBLANK($N457), ISBLANK($O457)), AND(ISBLANK($P457), ISBLANK($Q457), ISBLANK($R457))), "No", "Yes")</f>
        <v>No</v>
      </c>
      <c r="T457" s="42" t="str">
        <f aca="false">SUBSTITUTE($U457," ","")</f>
        <v>651639106</v>
      </c>
      <c r="U457" s="42" t="s">
        <v>600</v>
      </c>
      <c r="V457" s="39" t="n">
        <v>18900</v>
      </c>
    </row>
    <row r="458" customFormat="false" ht="15" hidden="false" customHeight="false" outlineLevel="0" collapsed="false">
      <c r="B458" s="70" t="s">
        <v>600</v>
      </c>
      <c r="C458" s="71" t="str">
        <f aca="false">IFERROR(INDEX('13F Data'!A:A,MATCH($B458,'13F Data'!A:A,0)),"No CUSIP Match")</f>
        <v>No CUSIP Match</v>
      </c>
      <c r="D458" s="71" t="str">
        <f aca="false">IFERROR(IF($B458=$C458,"Yes","No"),"No CUSIP Match")</f>
        <v>No</v>
      </c>
      <c r="E458" s="71"/>
      <c r="F458" s="71" t="str">
        <f aca="false">IFERROR(INDEX('13F Data'!C:C, MATCH($B458,'13F Data'!A:A,0)),"No CUSIP Match")</f>
        <v>No CUSIP Match</v>
      </c>
      <c r="G458" s="72" t="str">
        <f aca="false">IFERROR(INDEX('13F Data'!D:D,MATCH($B458,'13F Data'!A:A,0)),"No CUSIP Match")</f>
        <v>No CUSIP Match</v>
      </c>
      <c r="J458" s="73" t="n">
        <f aca="false">$V458</f>
        <v>18900</v>
      </c>
      <c r="K458" s="71" t="str">
        <f aca="false">IFERROR(INDEX('EOD Data'!G:G, MATCH($A458, 'EOD Data'!B:B,0)), "No TKR Match")</f>
        <v>No TKR Match</v>
      </c>
      <c r="L458" s="71" t="str">
        <f aca="false">IFERROR(ROUND($J458*$K458,0),"Error")</f>
        <v>Error</v>
      </c>
      <c r="M458" s="71" t="str">
        <f aca="false">IFERROR(IF(AND($J458&lt;10000,$L458&lt;200000),"Yes","No"),"Error")</f>
        <v>No</v>
      </c>
      <c r="P458" s="42" t="str">
        <f aca="false">IF($N458="SOLE",$J458,"")</f>
        <v/>
      </c>
      <c r="Q458" s="42" t="str">
        <f aca="false">IFERROR(IF($N458="Sole",0,IF(AND($N458="OTR",$R458=0),$J458-$P458,IF(AND($N458="OTR", $R458&gt;0), $J458-$P458-$Q458, ""))),"")</f>
        <v/>
      </c>
      <c r="R458" s="42" t="str">
        <f aca="false">IF($P458=$J458, "0","")</f>
        <v/>
      </c>
      <c r="S458" s="42" t="str">
        <f aca="false">IF(OR(ISBLANK($B458),ISBLANK($C458), ISBLANK($E458), ISBLANK($F458), AND(ISBLANK($G458),ISBLANK($H458)), ISBLANK($I458), ISBLANK($L458), AND(ISBLANK($N458), ISBLANK($O458)), AND(ISBLANK($P458), ISBLANK($Q458), ISBLANK($R458))), "No", "Yes")</f>
        <v>No</v>
      </c>
      <c r="T458" s="42" t="str">
        <f aca="false">SUBSTITUTE($U458," ","")</f>
        <v>651639106</v>
      </c>
      <c r="U458" s="42" t="s">
        <v>600</v>
      </c>
      <c r="V458" s="39" t="n">
        <v>18900</v>
      </c>
    </row>
    <row r="459" customFormat="false" ht="15" hidden="false" customHeight="false" outlineLevel="0" collapsed="false">
      <c r="B459" s="70" t="s">
        <v>602</v>
      </c>
      <c r="C459" s="71" t="str">
        <f aca="false">IFERROR(INDEX('13F Data'!A:A,MATCH($B459,'13F Data'!A:A,0)),"No CUSIP Match")</f>
        <v>No CUSIP Match</v>
      </c>
      <c r="D459" s="71" t="str">
        <f aca="false">IFERROR(IF($B459=$C459,"Yes","No"),"No CUSIP Match")</f>
        <v>No</v>
      </c>
      <c r="E459" s="71"/>
      <c r="F459" s="71" t="str">
        <f aca="false">IFERROR(INDEX('13F Data'!C:C, MATCH($B459,'13F Data'!A:A,0)),"No CUSIP Match")</f>
        <v>No CUSIP Match</v>
      </c>
      <c r="G459" s="72" t="str">
        <f aca="false">IFERROR(INDEX('13F Data'!D:D,MATCH($B459,'13F Data'!A:A,0)),"No CUSIP Match")</f>
        <v>No CUSIP Match</v>
      </c>
      <c r="J459" s="73" t="n">
        <f aca="false">$V459</f>
        <v>71</v>
      </c>
      <c r="K459" s="71" t="str">
        <f aca="false">IFERROR(INDEX('EOD Data'!G:G, MATCH($A459, 'EOD Data'!B:B,0)), "No TKR Match")</f>
        <v>No TKR Match</v>
      </c>
      <c r="L459" s="71" t="str">
        <f aca="false">IFERROR(ROUND($J459*$K459,0),"Error")</f>
        <v>Error</v>
      </c>
      <c r="M459" s="71" t="str">
        <f aca="false">IFERROR(IF(AND($J459&lt;10000,$L459&lt;200000),"Yes","No"),"Error")</f>
        <v>No</v>
      </c>
      <c r="P459" s="42" t="str">
        <f aca="false">IF($N459="SOLE",$J459,"")</f>
        <v/>
      </c>
      <c r="Q459" s="42" t="str">
        <f aca="false">IFERROR(IF($N459="Sole",0,IF(AND($N459="OTR",$R459=0),$J459-$P459,IF(AND($N459="OTR", $R459&gt;0), $J459-$P459-$Q459, ""))),"")</f>
        <v/>
      </c>
      <c r="R459" s="42" t="str">
        <f aca="false">IF($P459=$J459, "0","")</f>
        <v/>
      </c>
      <c r="S459" s="42" t="str">
        <f aca="false">IF(OR(ISBLANK($B459),ISBLANK($C459), ISBLANK($E459), ISBLANK($F459), AND(ISBLANK($G459),ISBLANK($H459)), ISBLANK($I459), ISBLANK($L459), AND(ISBLANK($N459), ISBLANK($O459)), AND(ISBLANK($P459), ISBLANK($Q459), ISBLANK($R459))), "No", "Yes")</f>
        <v>No</v>
      </c>
      <c r="T459" s="42" t="str">
        <f aca="false">SUBSTITUTE($U459," ","")</f>
        <v>65339F101</v>
      </c>
      <c r="U459" s="42" t="s">
        <v>602</v>
      </c>
      <c r="V459" s="39" t="n">
        <v>71</v>
      </c>
    </row>
    <row r="460" customFormat="false" ht="15" hidden="false" customHeight="false" outlineLevel="0" collapsed="false">
      <c r="B460" s="70" t="s">
        <v>602</v>
      </c>
      <c r="C460" s="71" t="str">
        <f aca="false">IFERROR(INDEX('13F Data'!A:A,MATCH($B460,'13F Data'!A:A,0)),"No CUSIP Match")</f>
        <v>No CUSIP Match</v>
      </c>
      <c r="D460" s="71" t="str">
        <f aca="false">IFERROR(IF($B460=$C460,"Yes","No"),"No CUSIP Match")</f>
        <v>No</v>
      </c>
      <c r="E460" s="71"/>
      <c r="F460" s="71" t="str">
        <f aca="false">IFERROR(INDEX('13F Data'!C:C, MATCH($B460,'13F Data'!A:A,0)),"No CUSIP Match")</f>
        <v>No CUSIP Match</v>
      </c>
      <c r="G460" s="72" t="str">
        <f aca="false">IFERROR(INDEX('13F Data'!D:D,MATCH($B460,'13F Data'!A:A,0)),"No CUSIP Match")</f>
        <v>No CUSIP Match</v>
      </c>
      <c r="J460" s="73" t="n">
        <f aca="false">$V460</f>
        <v>2000</v>
      </c>
      <c r="K460" s="71" t="str">
        <f aca="false">IFERROR(INDEX('EOD Data'!G:G, MATCH($A460, 'EOD Data'!B:B,0)), "No TKR Match")</f>
        <v>No TKR Match</v>
      </c>
      <c r="L460" s="71" t="str">
        <f aca="false">IFERROR(ROUND($J460*$K460,0),"Error")</f>
        <v>Error</v>
      </c>
      <c r="M460" s="71" t="str">
        <f aca="false">IFERROR(IF(AND($J460&lt;10000,$L460&lt;200000),"Yes","No"),"Error")</f>
        <v>No</v>
      </c>
      <c r="P460" s="42" t="str">
        <f aca="false">IF($N460="SOLE",$J460,"")</f>
        <v/>
      </c>
      <c r="Q460" s="42" t="str">
        <f aca="false">IFERROR(IF($N460="Sole",0,IF(AND($N460="OTR",$R460=0),$J460-$P460,IF(AND($N460="OTR", $R460&gt;0), $J460-$P460-$Q460, ""))),"")</f>
        <v/>
      </c>
      <c r="R460" s="42" t="str">
        <f aca="false">IF($P460=$J460, "0","")</f>
        <v/>
      </c>
      <c r="S460" s="42" t="str">
        <f aca="false">IF(OR(ISBLANK($B460),ISBLANK($C460), ISBLANK($E460), ISBLANK($F460), AND(ISBLANK($G460),ISBLANK($H460)), ISBLANK($I460), ISBLANK($L460), AND(ISBLANK($N460), ISBLANK($O460)), AND(ISBLANK($P460), ISBLANK($Q460), ISBLANK($R460))), "No", "Yes")</f>
        <v>No</v>
      </c>
      <c r="T460" s="42" t="str">
        <f aca="false">SUBSTITUTE($U460," ","")</f>
        <v>65339F101</v>
      </c>
      <c r="U460" s="42" t="s">
        <v>602</v>
      </c>
      <c r="V460" s="39" t="n">
        <v>2000</v>
      </c>
    </row>
    <row r="461" customFormat="false" ht="15" hidden="false" customHeight="false" outlineLevel="0" collapsed="false">
      <c r="B461" s="70" t="s">
        <v>602</v>
      </c>
      <c r="C461" s="71" t="str">
        <f aca="false">IFERROR(INDEX('13F Data'!A:A,MATCH($B461,'13F Data'!A:A,0)),"No CUSIP Match")</f>
        <v>No CUSIP Match</v>
      </c>
      <c r="D461" s="71" t="str">
        <f aca="false">IFERROR(IF($B461=$C461,"Yes","No"),"No CUSIP Match")</f>
        <v>No</v>
      </c>
      <c r="E461" s="71"/>
      <c r="F461" s="71" t="str">
        <f aca="false">IFERROR(INDEX('13F Data'!C:C, MATCH($B461,'13F Data'!A:A,0)),"No CUSIP Match")</f>
        <v>No CUSIP Match</v>
      </c>
      <c r="G461" s="72" t="str">
        <f aca="false">IFERROR(INDEX('13F Data'!D:D,MATCH($B461,'13F Data'!A:A,0)),"No CUSIP Match")</f>
        <v>No CUSIP Match</v>
      </c>
      <c r="J461" s="73" t="n">
        <f aca="false">$V461</f>
        <v>2000</v>
      </c>
      <c r="K461" s="71" t="str">
        <f aca="false">IFERROR(INDEX('EOD Data'!G:G, MATCH($A461, 'EOD Data'!B:B,0)), "No TKR Match")</f>
        <v>No TKR Match</v>
      </c>
      <c r="L461" s="71" t="str">
        <f aca="false">IFERROR(ROUND($J461*$K461,0),"Error")</f>
        <v>Error</v>
      </c>
      <c r="M461" s="71" t="str">
        <f aca="false">IFERROR(IF(AND($J461&lt;10000,$L461&lt;200000),"Yes","No"),"Error")</f>
        <v>No</v>
      </c>
      <c r="P461" s="42" t="str">
        <f aca="false">IF($N461="SOLE",$J461,"")</f>
        <v/>
      </c>
      <c r="Q461" s="42" t="str">
        <f aca="false">IFERROR(IF($N461="Sole",0,IF(AND($N461="OTR",$R461=0),$J461-$P461,IF(AND($N461="OTR", $R461&gt;0), $J461-$P461-$Q461, ""))),"")</f>
        <v/>
      </c>
      <c r="R461" s="42" t="str">
        <f aca="false">IF($P461=$J461, "0","")</f>
        <v/>
      </c>
      <c r="S461" s="42" t="str">
        <f aca="false">IF(OR(ISBLANK($B461),ISBLANK($C461), ISBLANK($E461), ISBLANK($F461), AND(ISBLANK($G461),ISBLANK($H461)), ISBLANK($I461), ISBLANK($L461), AND(ISBLANK($N461), ISBLANK($O461)), AND(ISBLANK($P461), ISBLANK($Q461), ISBLANK($R461))), "No", "Yes")</f>
        <v>No</v>
      </c>
      <c r="T461" s="42" t="str">
        <f aca="false">SUBSTITUTE($U461," ","")</f>
        <v>65339F101</v>
      </c>
      <c r="U461" s="42" t="s">
        <v>602</v>
      </c>
      <c r="V461" s="39" t="n">
        <v>2000</v>
      </c>
    </row>
    <row r="462" customFormat="false" ht="15" hidden="false" customHeight="false" outlineLevel="0" collapsed="false">
      <c r="B462" s="70" t="s">
        <v>604</v>
      </c>
      <c r="C462" s="71" t="str">
        <f aca="false">IFERROR(INDEX('13F Data'!A:A,MATCH($B462,'13F Data'!A:A,0)),"No CUSIP Match")</f>
        <v>No CUSIP Match</v>
      </c>
      <c r="D462" s="71" t="str">
        <f aca="false">IFERROR(IF($B462=$C462,"Yes","No"),"No CUSIP Match")</f>
        <v>No</v>
      </c>
      <c r="E462" s="71"/>
      <c r="F462" s="71" t="str">
        <f aca="false">IFERROR(INDEX('13F Data'!C:C, MATCH($B462,'13F Data'!A:A,0)),"No CUSIP Match")</f>
        <v>No CUSIP Match</v>
      </c>
      <c r="G462" s="72" t="str">
        <f aca="false">IFERROR(INDEX('13F Data'!D:D,MATCH($B462,'13F Data'!A:A,0)),"No CUSIP Match")</f>
        <v>No CUSIP Match</v>
      </c>
      <c r="J462" s="73" t="n">
        <f aca="false">$V462</f>
        <v>1174</v>
      </c>
      <c r="K462" s="71" t="str">
        <f aca="false">IFERROR(INDEX('EOD Data'!G:G, MATCH($A462, 'EOD Data'!B:B,0)), "No TKR Match")</f>
        <v>No TKR Match</v>
      </c>
      <c r="L462" s="71" t="str">
        <f aca="false">IFERROR(ROUND($J462*$K462,0),"Error")</f>
        <v>Error</v>
      </c>
      <c r="M462" s="71" t="str">
        <f aca="false">IFERROR(IF(AND($J462&lt;10000,$L462&lt;200000),"Yes","No"),"Error")</f>
        <v>No</v>
      </c>
      <c r="P462" s="42" t="str">
        <f aca="false">IF($N462="SOLE",$J462,"")</f>
        <v/>
      </c>
      <c r="Q462" s="42" t="str">
        <f aca="false">IFERROR(IF($N462="Sole",0,IF(AND($N462="OTR",$R462=0),$J462-$P462,IF(AND($N462="OTR", $R462&gt;0), $J462-$P462-$Q462, ""))),"")</f>
        <v/>
      </c>
      <c r="R462" s="42" t="str">
        <f aca="false">IF($P462=$J462, "0","")</f>
        <v/>
      </c>
      <c r="S462" s="42" t="str">
        <f aca="false">IF(OR(ISBLANK($B462),ISBLANK($C462), ISBLANK($E462), ISBLANK($F462), AND(ISBLANK($G462),ISBLANK($H462)), ISBLANK($I462), ISBLANK($L462), AND(ISBLANK($N462), ISBLANK($O462)), AND(ISBLANK($P462), ISBLANK($Q462), ISBLANK($R462))), "No", "Yes")</f>
        <v>No</v>
      </c>
      <c r="T462" s="42" t="str">
        <f aca="false">SUBSTITUTE($U462," ","")</f>
        <v>654106103</v>
      </c>
      <c r="U462" s="42" t="s">
        <v>604</v>
      </c>
      <c r="V462" s="39" t="n">
        <v>1174</v>
      </c>
    </row>
    <row r="463" customFormat="false" ht="15" hidden="false" customHeight="false" outlineLevel="0" collapsed="false">
      <c r="B463" s="70" t="s">
        <v>604</v>
      </c>
      <c r="C463" s="71" t="str">
        <f aca="false">IFERROR(INDEX('13F Data'!A:A,MATCH($B463,'13F Data'!A:A,0)),"No CUSIP Match")</f>
        <v>No CUSIP Match</v>
      </c>
      <c r="D463" s="71" t="str">
        <f aca="false">IFERROR(IF($B463=$C463,"Yes","No"),"No CUSIP Match")</f>
        <v>No</v>
      </c>
      <c r="E463" s="71"/>
      <c r="F463" s="71" t="str">
        <f aca="false">IFERROR(INDEX('13F Data'!C:C, MATCH($B463,'13F Data'!A:A,0)),"No CUSIP Match")</f>
        <v>No CUSIP Match</v>
      </c>
      <c r="G463" s="72" t="str">
        <f aca="false">IFERROR(INDEX('13F Data'!D:D,MATCH($B463,'13F Data'!A:A,0)),"No CUSIP Match")</f>
        <v>No CUSIP Match</v>
      </c>
      <c r="J463" s="73" t="n">
        <f aca="false">$V463</f>
        <v>8300</v>
      </c>
      <c r="K463" s="71" t="str">
        <f aca="false">IFERROR(INDEX('EOD Data'!G:G, MATCH($A463, 'EOD Data'!B:B,0)), "No TKR Match")</f>
        <v>No TKR Match</v>
      </c>
      <c r="L463" s="71" t="str">
        <f aca="false">IFERROR(ROUND($J463*$K463,0),"Error")</f>
        <v>Error</v>
      </c>
      <c r="M463" s="71" t="str">
        <f aca="false">IFERROR(IF(AND($J463&lt;10000,$L463&lt;200000),"Yes","No"),"Error")</f>
        <v>No</v>
      </c>
      <c r="P463" s="42" t="str">
        <f aca="false">IF($N463="SOLE",$J463,"")</f>
        <v/>
      </c>
      <c r="Q463" s="42" t="str">
        <f aca="false">IFERROR(IF($N463="Sole",0,IF(AND($N463="OTR",$R463=0),$J463-$P463,IF(AND($N463="OTR", $R463&gt;0), $J463-$P463-$Q463, ""))),"")</f>
        <v/>
      </c>
      <c r="R463" s="42" t="str">
        <f aca="false">IF($P463=$J463, "0","")</f>
        <v/>
      </c>
      <c r="S463" s="42" t="str">
        <f aca="false">IF(OR(ISBLANK($B463),ISBLANK($C463), ISBLANK($E463), ISBLANK($F463), AND(ISBLANK($G463),ISBLANK($H463)), ISBLANK($I463), ISBLANK($L463), AND(ISBLANK($N463), ISBLANK($O463)), AND(ISBLANK($P463), ISBLANK($Q463), ISBLANK($R463))), "No", "Yes")</f>
        <v>No</v>
      </c>
      <c r="T463" s="42" t="str">
        <f aca="false">SUBSTITUTE($U463," ","")</f>
        <v>654106103</v>
      </c>
      <c r="U463" s="42" t="s">
        <v>604</v>
      </c>
      <c r="V463" s="39" t="n">
        <v>8300</v>
      </c>
    </row>
    <row r="464" customFormat="false" ht="15" hidden="false" customHeight="false" outlineLevel="0" collapsed="false">
      <c r="B464" s="70" t="s">
        <v>604</v>
      </c>
      <c r="C464" s="71" t="str">
        <f aca="false">IFERROR(INDEX('13F Data'!A:A,MATCH($B464,'13F Data'!A:A,0)),"No CUSIP Match")</f>
        <v>No CUSIP Match</v>
      </c>
      <c r="D464" s="71" t="str">
        <f aca="false">IFERROR(IF($B464=$C464,"Yes","No"),"No CUSIP Match")</f>
        <v>No</v>
      </c>
      <c r="E464" s="71"/>
      <c r="F464" s="71" t="str">
        <f aca="false">IFERROR(INDEX('13F Data'!C:C, MATCH($B464,'13F Data'!A:A,0)),"No CUSIP Match")</f>
        <v>No CUSIP Match</v>
      </c>
      <c r="G464" s="72" t="str">
        <f aca="false">IFERROR(INDEX('13F Data'!D:D,MATCH($B464,'13F Data'!A:A,0)),"No CUSIP Match")</f>
        <v>No CUSIP Match</v>
      </c>
      <c r="J464" s="73" t="n">
        <f aca="false">$V464</f>
        <v>8300</v>
      </c>
      <c r="K464" s="71" t="str">
        <f aca="false">IFERROR(INDEX('EOD Data'!G:G, MATCH($A464, 'EOD Data'!B:B,0)), "No TKR Match")</f>
        <v>No TKR Match</v>
      </c>
      <c r="L464" s="71" t="str">
        <f aca="false">IFERROR(ROUND($J464*$K464,0),"Error")</f>
        <v>Error</v>
      </c>
      <c r="M464" s="71" t="str">
        <f aca="false">IFERROR(IF(AND($J464&lt;10000,$L464&lt;200000),"Yes","No"),"Error")</f>
        <v>No</v>
      </c>
      <c r="P464" s="42" t="str">
        <f aca="false">IF($N464="SOLE",$J464,"")</f>
        <v/>
      </c>
      <c r="Q464" s="42" t="str">
        <f aca="false">IFERROR(IF($N464="Sole",0,IF(AND($N464="OTR",$R464=0),$J464-$P464,IF(AND($N464="OTR", $R464&gt;0), $J464-$P464-$Q464, ""))),"")</f>
        <v/>
      </c>
      <c r="R464" s="42" t="str">
        <f aca="false">IF($P464=$J464, "0","")</f>
        <v/>
      </c>
      <c r="S464" s="42" t="str">
        <f aca="false">IF(OR(ISBLANK($B464),ISBLANK($C464), ISBLANK($E464), ISBLANK($F464), AND(ISBLANK($G464),ISBLANK($H464)), ISBLANK($I464), ISBLANK($L464), AND(ISBLANK($N464), ISBLANK($O464)), AND(ISBLANK($P464), ISBLANK($Q464), ISBLANK($R464))), "No", "Yes")</f>
        <v>No</v>
      </c>
      <c r="T464" s="42" t="str">
        <f aca="false">SUBSTITUTE($U464," ","")</f>
        <v>654106103</v>
      </c>
      <c r="U464" s="42" t="s">
        <v>604</v>
      </c>
      <c r="V464" s="39" t="n">
        <v>8300</v>
      </c>
    </row>
    <row r="465" customFormat="false" ht="15" hidden="false" customHeight="false" outlineLevel="0" collapsed="false">
      <c r="B465" s="70" t="s">
        <v>606</v>
      </c>
      <c r="C465" s="71" t="str">
        <f aca="false">IFERROR(INDEX('13F Data'!A:A,MATCH($B465,'13F Data'!A:A,0)),"No CUSIP Match")</f>
        <v>No CUSIP Match</v>
      </c>
      <c r="D465" s="71" t="str">
        <f aca="false">IFERROR(IF($B465=$C465,"Yes","No"),"No CUSIP Match")</f>
        <v>No</v>
      </c>
      <c r="E465" s="71"/>
      <c r="F465" s="71" t="str">
        <f aca="false">IFERROR(INDEX('13F Data'!C:C, MATCH($B465,'13F Data'!A:A,0)),"No CUSIP Match")</f>
        <v>No CUSIP Match</v>
      </c>
      <c r="G465" s="72" t="str">
        <f aca="false">IFERROR(INDEX('13F Data'!D:D,MATCH($B465,'13F Data'!A:A,0)),"No CUSIP Match")</f>
        <v>No CUSIP Match</v>
      </c>
      <c r="J465" s="73" t="n">
        <f aca="false">$V465</f>
        <v>868</v>
      </c>
      <c r="K465" s="71" t="str">
        <f aca="false">IFERROR(INDEX('EOD Data'!G:G, MATCH($A465, 'EOD Data'!B:B,0)), "No TKR Match")</f>
        <v>No TKR Match</v>
      </c>
      <c r="L465" s="71" t="str">
        <f aca="false">IFERROR(ROUND($J465*$K465,0),"Error")</f>
        <v>Error</v>
      </c>
      <c r="M465" s="71" t="str">
        <f aca="false">IFERROR(IF(AND($J465&lt;10000,$L465&lt;200000),"Yes","No"),"Error")</f>
        <v>No</v>
      </c>
      <c r="P465" s="42" t="str">
        <f aca="false">IF($N465="SOLE",$J465,"")</f>
        <v/>
      </c>
      <c r="Q465" s="42" t="str">
        <f aca="false">IFERROR(IF($N465="Sole",0,IF(AND($N465="OTR",$R465=0),$J465-$P465,IF(AND($N465="OTR", $R465&gt;0), $J465-$P465-$Q465, ""))),"")</f>
        <v/>
      </c>
      <c r="R465" s="42" t="str">
        <f aca="false">IF($P465=$J465, "0","")</f>
        <v/>
      </c>
      <c r="S465" s="42" t="str">
        <f aca="false">IF(OR(ISBLANK($B465),ISBLANK($C465), ISBLANK($E465), ISBLANK($F465), AND(ISBLANK($G465),ISBLANK($H465)), ISBLANK($I465), ISBLANK($L465), AND(ISBLANK($N465), ISBLANK($O465)), AND(ISBLANK($P465), ISBLANK($Q465), ISBLANK($R465))), "No", "Yes")</f>
        <v>No</v>
      </c>
      <c r="T465" s="42" t="str">
        <f aca="false">SUBSTITUTE($U465," ","")</f>
        <v>655844108</v>
      </c>
      <c r="U465" s="42" t="s">
        <v>606</v>
      </c>
      <c r="V465" s="39" t="n">
        <v>868</v>
      </c>
    </row>
    <row r="466" customFormat="false" ht="15" hidden="false" customHeight="false" outlineLevel="0" collapsed="false">
      <c r="B466" s="70" t="s">
        <v>606</v>
      </c>
      <c r="C466" s="71" t="str">
        <f aca="false">IFERROR(INDEX('13F Data'!A:A,MATCH($B466,'13F Data'!A:A,0)),"No CUSIP Match")</f>
        <v>No CUSIP Match</v>
      </c>
      <c r="D466" s="71" t="str">
        <f aca="false">IFERROR(IF($B466=$C466,"Yes","No"),"No CUSIP Match")</f>
        <v>No</v>
      </c>
      <c r="E466" s="71"/>
      <c r="F466" s="71" t="str">
        <f aca="false">IFERROR(INDEX('13F Data'!C:C, MATCH($B466,'13F Data'!A:A,0)),"No CUSIP Match")</f>
        <v>No CUSIP Match</v>
      </c>
      <c r="G466" s="72" t="str">
        <f aca="false">IFERROR(INDEX('13F Data'!D:D,MATCH($B466,'13F Data'!A:A,0)),"No CUSIP Match")</f>
        <v>No CUSIP Match</v>
      </c>
      <c r="J466" s="73" t="n">
        <f aca="false">$V466</f>
        <v>3100</v>
      </c>
      <c r="K466" s="71" t="str">
        <f aca="false">IFERROR(INDEX('EOD Data'!G:G, MATCH($A466, 'EOD Data'!B:B,0)), "No TKR Match")</f>
        <v>No TKR Match</v>
      </c>
      <c r="L466" s="71" t="str">
        <f aca="false">IFERROR(ROUND($J466*$K466,0),"Error")</f>
        <v>Error</v>
      </c>
      <c r="M466" s="71" t="str">
        <f aca="false">IFERROR(IF(AND($J466&lt;10000,$L466&lt;200000),"Yes","No"),"Error")</f>
        <v>No</v>
      </c>
      <c r="P466" s="42" t="str">
        <f aca="false">IF($N466="SOLE",$J466,"")</f>
        <v/>
      </c>
      <c r="Q466" s="42" t="str">
        <f aca="false">IFERROR(IF($N466="Sole",0,IF(AND($N466="OTR",$R466=0),$J466-$P466,IF(AND($N466="OTR", $R466&gt;0), $J466-$P466-$Q466, ""))),"")</f>
        <v/>
      </c>
      <c r="R466" s="42" t="str">
        <f aca="false">IF($P466=$J466, "0","")</f>
        <v/>
      </c>
      <c r="S466" s="42" t="str">
        <f aca="false">IF(OR(ISBLANK($B466),ISBLANK($C466), ISBLANK($E466), ISBLANK($F466), AND(ISBLANK($G466),ISBLANK($H466)), ISBLANK($I466), ISBLANK($L466), AND(ISBLANK($N466), ISBLANK($O466)), AND(ISBLANK($P466), ISBLANK($Q466), ISBLANK($R466))), "No", "Yes")</f>
        <v>No</v>
      </c>
      <c r="T466" s="42" t="str">
        <f aca="false">SUBSTITUTE($U466," ","")</f>
        <v>655844108</v>
      </c>
      <c r="U466" s="42" t="s">
        <v>606</v>
      </c>
      <c r="V466" s="39" t="n">
        <v>3100</v>
      </c>
    </row>
    <row r="467" customFormat="false" ht="15" hidden="false" customHeight="false" outlineLevel="0" collapsed="false">
      <c r="B467" s="70" t="s">
        <v>606</v>
      </c>
      <c r="C467" s="71" t="str">
        <f aca="false">IFERROR(INDEX('13F Data'!A:A,MATCH($B467,'13F Data'!A:A,0)),"No CUSIP Match")</f>
        <v>No CUSIP Match</v>
      </c>
      <c r="D467" s="71" t="str">
        <f aca="false">IFERROR(IF($B467=$C467,"Yes","No"),"No CUSIP Match")</f>
        <v>No</v>
      </c>
      <c r="E467" s="71"/>
      <c r="F467" s="71" t="str">
        <f aca="false">IFERROR(INDEX('13F Data'!C:C, MATCH($B467,'13F Data'!A:A,0)),"No CUSIP Match")</f>
        <v>No CUSIP Match</v>
      </c>
      <c r="G467" s="72" t="str">
        <f aca="false">IFERROR(INDEX('13F Data'!D:D,MATCH($B467,'13F Data'!A:A,0)),"No CUSIP Match")</f>
        <v>No CUSIP Match</v>
      </c>
      <c r="J467" s="73" t="n">
        <f aca="false">$V467</f>
        <v>7600</v>
      </c>
      <c r="K467" s="71" t="str">
        <f aca="false">IFERROR(INDEX('EOD Data'!G:G, MATCH($A467, 'EOD Data'!B:B,0)), "No TKR Match")</f>
        <v>No TKR Match</v>
      </c>
      <c r="L467" s="71" t="str">
        <f aca="false">IFERROR(ROUND($J467*$K467,0),"Error")</f>
        <v>Error</v>
      </c>
      <c r="M467" s="71" t="str">
        <f aca="false">IFERROR(IF(AND($J467&lt;10000,$L467&lt;200000),"Yes","No"),"Error")</f>
        <v>No</v>
      </c>
      <c r="P467" s="42" t="str">
        <f aca="false">IF($N467="SOLE",$J467,"")</f>
        <v/>
      </c>
      <c r="Q467" s="42" t="str">
        <f aca="false">IFERROR(IF($N467="Sole",0,IF(AND($N467="OTR",$R467=0),$J467-$P467,IF(AND($N467="OTR", $R467&gt;0), $J467-$P467-$Q467, ""))),"")</f>
        <v/>
      </c>
      <c r="R467" s="42" t="str">
        <f aca="false">IF($P467=$J467, "0","")</f>
        <v/>
      </c>
      <c r="S467" s="42" t="str">
        <f aca="false">IF(OR(ISBLANK($B467),ISBLANK($C467), ISBLANK($E467), ISBLANK($F467), AND(ISBLANK($G467),ISBLANK($H467)), ISBLANK($I467), ISBLANK($L467), AND(ISBLANK($N467), ISBLANK($O467)), AND(ISBLANK($P467), ISBLANK($Q467), ISBLANK($R467))), "No", "Yes")</f>
        <v>No</v>
      </c>
      <c r="T467" s="42" t="str">
        <f aca="false">SUBSTITUTE($U467," ","")</f>
        <v>655844108</v>
      </c>
      <c r="U467" s="42" t="s">
        <v>606</v>
      </c>
      <c r="V467" s="39" t="n">
        <v>7600</v>
      </c>
    </row>
    <row r="468" customFormat="false" ht="15" hidden="false" customHeight="false" outlineLevel="0" collapsed="false">
      <c r="B468" s="70" t="s">
        <v>608</v>
      </c>
      <c r="C468" s="71" t="str">
        <f aca="false">IFERROR(INDEX('13F Data'!A:A,MATCH($B468,'13F Data'!A:A,0)),"No CUSIP Match")</f>
        <v>No CUSIP Match</v>
      </c>
      <c r="D468" s="71" t="str">
        <f aca="false">IFERROR(IF($B468=$C468,"Yes","No"),"No CUSIP Match")</f>
        <v>No</v>
      </c>
      <c r="E468" s="71"/>
      <c r="F468" s="71" t="str">
        <f aca="false">IFERROR(INDEX('13F Data'!C:C, MATCH($B468,'13F Data'!A:A,0)),"No CUSIP Match")</f>
        <v>No CUSIP Match</v>
      </c>
      <c r="G468" s="72" t="str">
        <f aca="false">IFERROR(INDEX('13F Data'!D:D,MATCH($B468,'13F Data'!A:A,0)),"No CUSIP Match")</f>
        <v>No CUSIP Match</v>
      </c>
      <c r="J468" s="73" t="n">
        <f aca="false">$V468</f>
        <v>4500000</v>
      </c>
      <c r="K468" s="71" t="str">
        <f aca="false">IFERROR(INDEX('EOD Data'!G:G, MATCH($A468, 'EOD Data'!B:B,0)), "No TKR Match")</f>
        <v>No TKR Match</v>
      </c>
      <c r="L468" s="71" t="str">
        <f aca="false">IFERROR(ROUND($J468*$K468,0),"Error")</f>
        <v>Error</v>
      </c>
      <c r="M468" s="71" t="str">
        <f aca="false">IFERROR(IF(AND($J468&lt;10000,$L468&lt;200000),"Yes","No"),"Error")</f>
        <v>No</v>
      </c>
      <c r="P468" s="42" t="str">
        <f aca="false">IF($N468="SOLE",$J468,"")</f>
        <v/>
      </c>
      <c r="Q468" s="42" t="str">
        <f aca="false">IFERROR(IF($N468="Sole",0,IF(AND($N468="OTR",$R468=0),$J468-$P468,IF(AND($N468="OTR", $R468&gt;0), $J468-$P468-$Q468, ""))),"")</f>
        <v/>
      </c>
      <c r="R468" s="42" t="str">
        <f aca="false">IF($P468=$J468, "0","")</f>
        <v/>
      </c>
      <c r="S468" s="42" t="str">
        <f aca="false">IF(OR(ISBLANK($B468),ISBLANK($C468), ISBLANK($E468), ISBLANK($F468), AND(ISBLANK($G468),ISBLANK($H468)), ISBLANK($I468), ISBLANK($L468), AND(ISBLANK($N468), ISBLANK($O468)), AND(ISBLANK($P468), ISBLANK($Q468), ISBLANK($R468))), "No", "Yes")</f>
        <v>No</v>
      </c>
      <c r="T468" s="42" t="str">
        <f aca="false">SUBSTITUTE($U468," ","")</f>
        <v>670002AC8</v>
      </c>
      <c r="U468" s="42" t="s">
        <v>608</v>
      </c>
      <c r="V468" s="39" t="n">
        <v>4500000</v>
      </c>
    </row>
    <row r="469" customFormat="false" ht="15" hidden="false" customHeight="false" outlineLevel="0" collapsed="false">
      <c r="B469" s="70" t="s">
        <v>610</v>
      </c>
      <c r="C469" s="71" t="str">
        <f aca="false">IFERROR(INDEX('13F Data'!A:A,MATCH($B469,'13F Data'!A:A,0)),"No CUSIP Match")</f>
        <v>No CUSIP Match</v>
      </c>
      <c r="D469" s="71" t="str">
        <f aca="false">IFERROR(IF($B469=$C469,"Yes","No"),"No CUSIP Match")</f>
        <v>No</v>
      </c>
      <c r="E469" s="71"/>
      <c r="F469" s="71" t="str">
        <f aca="false">IFERROR(INDEX('13F Data'!C:C, MATCH($B469,'13F Data'!A:A,0)),"No CUSIP Match")</f>
        <v>No CUSIP Match</v>
      </c>
      <c r="G469" s="72" t="str">
        <f aca="false">IFERROR(INDEX('13F Data'!D:D,MATCH($B469,'13F Data'!A:A,0)),"No CUSIP Match")</f>
        <v>No CUSIP Match</v>
      </c>
      <c r="J469" s="73" t="n">
        <f aca="false">$V469</f>
        <v>13100</v>
      </c>
      <c r="K469" s="71" t="str">
        <f aca="false">IFERROR(INDEX('EOD Data'!G:G, MATCH($A469, 'EOD Data'!B:B,0)), "No TKR Match")</f>
        <v>No TKR Match</v>
      </c>
      <c r="L469" s="71" t="str">
        <f aca="false">IFERROR(ROUND($J469*$K469,0),"Error")</f>
        <v>Error</v>
      </c>
      <c r="M469" s="71" t="str">
        <f aca="false">IFERROR(IF(AND($J469&lt;10000,$L469&lt;200000),"Yes","No"),"Error")</f>
        <v>No</v>
      </c>
      <c r="P469" s="42" t="str">
        <f aca="false">IF($N469="SOLE",$J469,"")</f>
        <v/>
      </c>
      <c r="Q469" s="42" t="str">
        <f aca="false">IFERROR(IF($N469="Sole",0,IF(AND($N469="OTR",$R469=0),$J469-$P469,IF(AND($N469="OTR", $R469&gt;0), $J469-$P469-$Q469, ""))),"")</f>
        <v/>
      </c>
      <c r="R469" s="42" t="str">
        <f aca="false">IF($P469=$J469, "0","")</f>
        <v/>
      </c>
      <c r="S469" s="42" t="str">
        <f aca="false">IF(OR(ISBLANK($B469),ISBLANK($C469), ISBLANK($E469), ISBLANK($F469), AND(ISBLANK($G469),ISBLANK($H469)), ISBLANK($I469), ISBLANK($L469), AND(ISBLANK($N469), ISBLANK($O469)), AND(ISBLANK($P469), ISBLANK($Q469), ISBLANK($R469))), "No", "Yes")</f>
        <v>No</v>
      </c>
      <c r="T469" s="42" t="str">
        <f aca="false">SUBSTITUTE($U469," ","")</f>
        <v>67066G104</v>
      </c>
      <c r="U469" s="42" t="s">
        <v>610</v>
      </c>
      <c r="V469" s="39" t="n">
        <v>13100</v>
      </c>
    </row>
    <row r="470" customFormat="false" ht="15" hidden="false" customHeight="false" outlineLevel="0" collapsed="false">
      <c r="B470" s="70" t="s">
        <v>610</v>
      </c>
      <c r="C470" s="71" t="str">
        <f aca="false">IFERROR(INDEX('13F Data'!A:A,MATCH($B470,'13F Data'!A:A,0)),"No CUSIP Match")</f>
        <v>No CUSIP Match</v>
      </c>
      <c r="D470" s="71" t="str">
        <f aca="false">IFERROR(IF($B470=$C470,"Yes","No"),"No CUSIP Match")</f>
        <v>No</v>
      </c>
      <c r="E470" s="71"/>
      <c r="F470" s="71" t="str">
        <f aca="false">IFERROR(INDEX('13F Data'!C:C, MATCH($B470,'13F Data'!A:A,0)),"No CUSIP Match")</f>
        <v>No CUSIP Match</v>
      </c>
      <c r="G470" s="72" t="str">
        <f aca="false">IFERROR(INDEX('13F Data'!D:D,MATCH($B470,'13F Data'!A:A,0)),"No CUSIP Match")</f>
        <v>No CUSIP Match</v>
      </c>
      <c r="J470" s="73" t="n">
        <f aca="false">$V470</f>
        <v>13100</v>
      </c>
      <c r="K470" s="71" t="str">
        <f aca="false">IFERROR(INDEX('EOD Data'!G:G, MATCH($A470, 'EOD Data'!B:B,0)), "No TKR Match")</f>
        <v>No TKR Match</v>
      </c>
      <c r="L470" s="71" t="str">
        <f aca="false">IFERROR(ROUND($J470*$K470,0),"Error")</f>
        <v>Error</v>
      </c>
      <c r="M470" s="71" t="str">
        <f aca="false">IFERROR(IF(AND($J470&lt;10000,$L470&lt;200000),"Yes","No"),"Error")</f>
        <v>No</v>
      </c>
      <c r="P470" s="42" t="str">
        <f aca="false">IF($N470="SOLE",$J470,"")</f>
        <v/>
      </c>
      <c r="Q470" s="42" t="str">
        <f aca="false">IFERROR(IF($N470="Sole",0,IF(AND($N470="OTR",$R470=0),$J470-$P470,IF(AND($N470="OTR", $R470&gt;0), $J470-$P470-$Q470, ""))),"")</f>
        <v/>
      </c>
      <c r="R470" s="42" t="str">
        <f aca="false">IF($P470=$J470, "0","")</f>
        <v/>
      </c>
      <c r="S470" s="42" t="str">
        <f aca="false">IF(OR(ISBLANK($B470),ISBLANK($C470), ISBLANK($E470), ISBLANK($F470), AND(ISBLANK($G470),ISBLANK($H470)), ISBLANK($I470), ISBLANK($L470), AND(ISBLANK($N470), ISBLANK($O470)), AND(ISBLANK($P470), ISBLANK($Q470), ISBLANK($R470))), "No", "Yes")</f>
        <v>No</v>
      </c>
      <c r="T470" s="42" t="str">
        <f aca="false">SUBSTITUTE($U470," ","")</f>
        <v>67066G104</v>
      </c>
      <c r="U470" s="42" t="s">
        <v>610</v>
      </c>
      <c r="V470" s="39" t="n">
        <v>13100</v>
      </c>
    </row>
    <row r="471" customFormat="false" ht="15" hidden="false" customHeight="false" outlineLevel="0" collapsed="false">
      <c r="B471" s="70" t="s">
        <v>612</v>
      </c>
      <c r="C471" s="71" t="str">
        <f aca="false">IFERROR(INDEX('13F Data'!A:A,MATCH($B471,'13F Data'!A:A,0)),"No CUSIP Match")</f>
        <v>No CUSIP Match</v>
      </c>
      <c r="D471" s="71" t="str">
        <f aca="false">IFERROR(IF($B471=$C471,"Yes","No"),"No CUSIP Match")</f>
        <v>No</v>
      </c>
      <c r="E471" s="71"/>
      <c r="F471" s="71" t="str">
        <f aca="false">IFERROR(INDEX('13F Data'!C:C, MATCH($B471,'13F Data'!A:A,0)),"No CUSIP Match")</f>
        <v>No CUSIP Match</v>
      </c>
      <c r="G471" s="72" t="str">
        <f aca="false">IFERROR(INDEX('13F Data'!D:D,MATCH($B471,'13F Data'!A:A,0)),"No CUSIP Match")</f>
        <v>No CUSIP Match</v>
      </c>
      <c r="J471" s="73" t="n">
        <f aca="false">$V471</f>
        <v>191</v>
      </c>
      <c r="K471" s="71" t="str">
        <f aca="false">IFERROR(INDEX('EOD Data'!G:G, MATCH($A471, 'EOD Data'!B:B,0)), "No TKR Match")</f>
        <v>No TKR Match</v>
      </c>
      <c r="L471" s="71" t="str">
        <f aca="false">IFERROR(ROUND($J471*$K471,0),"Error")</f>
        <v>Error</v>
      </c>
      <c r="M471" s="71" t="str">
        <f aca="false">IFERROR(IF(AND($J471&lt;10000,$L471&lt;200000),"Yes","No"),"Error")</f>
        <v>No</v>
      </c>
      <c r="P471" s="42" t="str">
        <f aca="false">IF($N471="SOLE",$J471,"")</f>
        <v/>
      </c>
      <c r="Q471" s="42" t="str">
        <f aca="false">IFERROR(IF($N471="Sole",0,IF(AND($N471="OTR",$R471=0),$J471-$P471,IF(AND($N471="OTR", $R471&gt;0), $J471-$P471-$Q471, ""))),"")</f>
        <v/>
      </c>
      <c r="R471" s="42" t="str">
        <f aca="false">IF($P471=$J471, "0","")</f>
        <v/>
      </c>
      <c r="S471" s="42" t="str">
        <f aca="false">IF(OR(ISBLANK($B471),ISBLANK($C471), ISBLANK($E471), ISBLANK($F471), AND(ISBLANK($G471),ISBLANK($H471)), ISBLANK($I471), ISBLANK($L471), AND(ISBLANK($N471), ISBLANK($O471)), AND(ISBLANK($P471), ISBLANK($Q471), ISBLANK($R471))), "No", "Yes")</f>
        <v>No</v>
      </c>
      <c r="T471" s="42" t="str">
        <f aca="false">SUBSTITUTE($U471," ","")</f>
        <v>000953878</v>
      </c>
      <c r="U471" s="42" t="s">
        <v>612</v>
      </c>
      <c r="V471" s="39" t="n">
        <v>191</v>
      </c>
    </row>
    <row r="472" customFormat="false" ht="15" hidden="false" customHeight="false" outlineLevel="0" collapsed="false">
      <c r="B472" s="70" t="s">
        <v>612</v>
      </c>
      <c r="C472" s="71" t="str">
        <f aca="false">IFERROR(INDEX('13F Data'!A:A,MATCH($B472,'13F Data'!A:A,0)),"No CUSIP Match")</f>
        <v>No CUSIP Match</v>
      </c>
      <c r="D472" s="71" t="str">
        <f aca="false">IFERROR(IF($B472=$C472,"Yes","No"),"No CUSIP Match")</f>
        <v>No</v>
      </c>
      <c r="E472" s="71"/>
      <c r="F472" s="71" t="str">
        <f aca="false">IFERROR(INDEX('13F Data'!C:C, MATCH($B472,'13F Data'!A:A,0)),"No CUSIP Match")</f>
        <v>No CUSIP Match</v>
      </c>
      <c r="G472" s="72" t="str">
        <f aca="false">IFERROR(INDEX('13F Data'!D:D,MATCH($B472,'13F Data'!A:A,0)),"No CUSIP Match")</f>
        <v>No CUSIP Match</v>
      </c>
      <c r="J472" s="73" t="n">
        <f aca="false">$V472</f>
        <v>10200</v>
      </c>
      <c r="K472" s="71" t="str">
        <f aca="false">IFERROR(INDEX('EOD Data'!G:G, MATCH($A472, 'EOD Data'!B:B,0)), "No TKR Match")</f>
        <v>No TKR Match</v>
      </c>
      <c r="L472" s="71" t="str">
        <f aca="false">IFERROR(ROUND($J472*$K472,0),"Error")</f>
        <v>Error</v>
      </c>
      <c r="M472" s="71" t="str">
        <f aca="false">IFERROR(IF(AND($J472&lt;10000,$L472&lt;200000),"Yes","No"),"Error")</f>
        <v>No</v>
      </c>
      <c r="P472" s="42" t="str">
        <f aca="false">IF($N472="SOLE",$J472,"")</f>
        <v/>
      </c>
      <c r="Q472" s="42" t="str">
        <f aca="false">IFERROR(IF($N472="Sole",0,IF(AND($N472="OTR",$R472=0),$J472-$P472,IF(AND($N472="OTR", $R472&gt;0), $J472-$P472-$Q472, ""))),"")</f>
        <v/>
      </c>
      <c r="R472" s="42" t="str">
        <f aca="false">IF($P472=$J472, "0","")</f>
        <v/>
      </c>
      <c r="S472" s="42" t="str">
        <f aca="false">IF(OR(ISBLANK($B472),ISBLANK($C472), ISBLANK($E472), ISBLANK($F472), AND(ISBLANK($G472),ISBLANK($H472)), ISBLANK($I472), ISBLANK($L472), AND(ISBLANK($N472), ISBLANK($O472)), AND(ISBLANK($P472), ISBLANK($Q472), ISBLANK($R472))), "No", "Yes")</f>
        <v>No</v>
      </c>
      <c r="T472" s="42" t="str">
        <f aca="false">SUBSTITUTE($U472," ","")</f>
        <v>000953878</v>
      </c>
      <c r="U472" s="42" t="s">
        <v>612</v>
      </c>
      <c r="V472" s="39" t="n">
        <v>10200</v>
      </c>
    </row>
    <row r="473" customFormat="false" ht="15" hidden="false" customHeight="false" outlineLevel="0" collapsed="false">
      <c r="B473" s="70" t="s">
        <v>612</v>
      </c>
      <c r="C473" s="71" t="str">
        <f aca="false">IFERROR(INDEX('13F Data'!A:A,MATCH($B473,'13F Data'!A:A,0)),"No CUSIP Match")</f>
        <v>No CUSIP Match</v>
      </c>
      <c r="D473" s="71" t="str">
        <f aca="false">IFERROR(IF($B473=$C473,"Yes","No"),"No CUSIP Match")</f>
        <v>No</v>
      </c>
      <c r="E473" s="71"/>
      <c r="F473" s="71" t="str">
        <f aca="false">IFERROR(INDEX('13F Data'!C:C, MATCH($B473,'13F Data'!A:A,0)),"No CUSIP Match")</f>
        <v>No CUSIP Match</v>
      </c>
      <c r="G473" s="72" t="str">
        <f aca="false">IFERROR(INDEX('13F Data'!D:D,MATCH($B473,'13F Data'!A:A,0)),"No CUSIP Match")</f>
        <v>No CUSIP Match</v>
      </c>
      <c r="J473" s="73" t="n">
        <f aca="false">$V473</f>
        <v>10200</v>
      </c>
      <c r="K473" s="71" t="str">
        <f aca="false">IFERROR(INDEX('EOD Data'!G:G, MATCH($A473, 'EOD Data'!B:B,0)), "No TKR Match")</f>
        <v>No TKR Match</v>
      </c>
      <c r="L473" s="71" t="str">
        <f aca="false">IFERROR(ROUND($J473*$K473,0),"Error")</f>
        <v>Error</v>
      </c>
      <c r="M473" s="71" t="str">
        <f aca="false">IFERROR(IF(AND($J473&lt;10000,$L473&lt;200000),"Yes","No"),"Error")</f>
        <v>No</v>
      </c>
      <c r="P473" s="42" t="str">
        <f aca="false">IF($N473="SOLE",$J473,"")</f>
        <v/>
      </c>
      <c r="Q473" s="42" t="str">
        <f aca="false">IFERROR(IF($N473="Sole",0,IF(AND($N473="OTR",$R473=0),$J473-$P473,IF(AND($N473="OTR", $R473&gt;0), $J473-$P473-$Q473, ""))),"")</f>
        <v/>
      </c>
      <c r="R473" s="42" t="str">
        <f aca="false">IF($P473=$J473, "0","")</f>
        <v/>
      </c>
      <c r="S473" s="42" t="str">
        <f aca="false">IF(OR(ISBLANK($B473),ISBLANK($C473), ISBLANK($E473), ISBLANK($F473), AND(ISBLANK($G473),ISBLANK($H473)), ISBLANK($I473), ISBLANK($L473), AND(ISBLANK($N473), ISBLANK($O473)), AND(ISBLANK($P473), ISBLANK($Q473), ISBLANK($R473))), "No", "Yes")</f>
        <v>No</v>
      </c>
      <c r="T473" s="42" t="str">
        <f aca="false">SUBSTITUTE($U473," ","")</f>
        <v>000953878</v>
      </c>
      <c r="U473" s="42" t="s">
        <v>612</v>
      </c>
      <c r="V473" s="39" t="n">
        <v>10200</v>
      </c>
    </row>
    <row r="474" customFormat="false" ht="15" hidden="false" customHeight="false" outlineLevel="0" collapsed="false">
      <c r="B474" s="70" t="s">
        <v>614</v>
      </c>
      <c r="C474" s="71" t="str">
        <f aca="false">IFERROR(INDEX('13F Data'!A:A,MATCH($B474,'13F Data'!A:A,0)),"No CUSIP Match")</f>
        <v>No CUSIP Match</v>
      </c>
      <c r="D474" s="71" t="str">
        <f aca="false">IFERROR(IF($B474=$C474,"Yes","No"),"No CUSIP Match")</f>
        <v>No</v>
      </c>
      <c r="E474" s="71"/>
      <c r="F474" s="71" t="str">
        <f aca="false">IFERROR(INDEX('13F Data'!C:C, MATCH($B474,'13F Data'!A:A,0)),"No CUSIP Match")</f>
        <v>No CUSIP Match</v>
      </c>
      <c r="G474" s="72" t="str">
        <f aca="false">IFERROR(INDEX('13F Data'!D:D,MATCH($B474,'13F Data'!A:A,0)),"No CUSIP Match")</f>
        <v>No CUSIP Match</v>
      </c>
      <c r="J474" s="73" t="n">
        <f aca="false">$V474</f>
        <v>12000000</v>
      </c>
      <c r="K474" s="71" t="str">
        <f aca="false">IFERROR(INDEX('EOD Data'!G:G, MATCH($A474, 'EOD Data'!B:B,0)), "No TKR Match")</f>
        <v>No TKR Match</v>
      </c>
      <c r="L474" s="71" t="str">
        <f aca="false">IFERROR(ROUND($J474*$K474,0),"Error")</f>
        <v>Error</v>
      </c>
      <c r="M474" s="71" t="str">
        <f aca="false">IFERROR(IF(AND($J474&lt;10000,$L474&lt;200000),"Yes","No"),"Error")</f>
        <v>No</v>
      </c>
      <c r="P474" s="42" t="str">
        <f aca="false">IF($N474="SOLE",$J474,"")</f>
        <v/>
      </c>
      <c r="Q474" s="42" t="str">
        <f aca="false">IFERROR(IF($N474="Sole",0,IF(AND($N474="OTR",$R474=0),$J474-$P474,IF(AND($N474="OTR", $R474&gt;0), $J474-$P474-$Q474, ""))),"")</f>
        <v/>
      </c>
      <c r="R474" s="42" t="str">
        <f aca="false">IF($P474=$J474, "0","")</f>
        <v/>
      </c>
      <c r="S474" s="42" t="str">
        <f aca="false">IF(OR(ISBLANK($B474),ISBLANK($C474), ISBLANK($E474), ISBLANK($F474), AND(ISBLANK($G474),ISBLANK($H474)), ISBLANK($I474), ISBLANK($L474), AND(ISBLANK($N474), ISBLANK($O474)), AND(ISBLANK($P474), ISBLANK($Q474), ISBLANK($R474))), "No", "Yes")</f>
        <v>No</v>
      </c>
      <c r="T474" s="42" t="str">
        <f aca="false">SUBSTITUTE($U474," ","")</f>
        <v>682189AT2</v>
      </c>
      <c r="U474" s="42" t="s">
        <v>614</v>
      </c>
      <c r="V474" s="39" t="n">
        <v>12000000</v>
      </c>
    </row>
    <row r="475" customFormat="false" ht="15" hidden="false" customHeight="false" outlineLevel="0" collapsed="false">
      <c r="B475" s="70" t="s">
        <v>616</v>
      </c>
      <c r="C475" s="71" t="str">
        <f aca="false">IFERROR(INDEX('13F Data'!A:A,MATCH($B475,'13F Data'!A:A,0)),"No CUSIP Match")</f>
        <v>No CUSIP Match</v>
      </c>
      <c r="D475" s="71" t="str">
        <f aca="false">IFERROR(IF($B475=$C475,"Yes","No"),"No CUSIP Match")</f>
        <v>No</v>
      </c>
      <c r="E475" s="71"/>
      <c r="F475" s="71" t="str">
        <f aca="false">IFERROR(INDEX('13F Data'!C:C, MATCH($B475,'13F Data'!A:A,0)),"No CUSIP Match")</f>
        <v>No CUSIP Match</v>
      </c>
      <c r="G475" s="72" t="str">
        <f aca="false">IFERROR(INDEX('13F Data'!D:D,MATCH($B475,'13F Data'!A:A,0)),"No CUSIP Match")</f>
        <v>No CUSIP Match</v>
      </c>
      <c r="J475" s="73" t="n">
        <f aca="false">$V475</f>
        <v>250000</v>
      </c>
      <c r="K475" s="71" t="str">
        <f aca="false">IFERROR(INDEX('EOD Data'!G:G, MATCH($A475, 'EOD Data'!B:B,0)), "No TKR Match")</f>
        <v>No TKR Match</v>
      </c>
      <c r="L475" s="71" t="str">
        <f aca="false">IFERROR(ROUND($J475*$K475,0),"Error")</f>
        <v>Error</v>
      </c>
      <c r="M475" s="71" t="str">
        <f aca="false">IFERROR(IF(AND($J475&lt;10000,$L475&lt;200000),"Yes","No"),"Error")</f>
        <v>No</v>
      </c>
      <c r="P475" s="42" t="str">
        <f aca="false">IF($N475="SOLE",$J475,"")</f>
        <v/>
      </c>
      <c r="Q475" s="42" t="str">
        <f aca="false">IFERROR(IF($N475="Sole",0,IF(AND($N475="OTR",$R475=0),$J475-$P475,IF(AND($N475="OTR", $R475&gt;0), $J475-$P475-$Q475, ""))),"")</f>
        <v/>
      </c>
      <c r="R475" s="42" t="str">
        <f aca="false">IF($P475=$J475, "0","")</f>
        <v/>
      </c>
      <c r="S475" s="42" t="str">
        <f aca="false">IF(OR(ISBLANK($B475),ISBLANK($C475), ISBLANK($E475), ISBLANK($F475), AND(ISBLANK($G475),ISBLANK($H475)), ISBLANK($I475), ISBLANK($L475), AND(ISBLANK($N475), ISBLANK($O475)), AND(ISBLANK($P475), ISBLANK($Q475), ISBLANK($R475))), "No", "Yes")</f>
        <v>No</v>
      </c>
      <c r="T475" s="42" t="str">
        <f aca="false">SUBSTITUTE($U475," ","")</f>
        <v>683712103</v>
      </c>
      <c r="U475" s="42" t="s">
        <v>616</v>
      </c>
      <c r="V475" s="39" t="n">
        <v>250000</v>
      </c>
    </row>
    <row r="476" customFormat="false" ht="15" hidden="false" customHeight="false" outlineLevel="0" collapsed="false">
      <c r="B476" s="70" t="s">
        <v>618</v>
      </c>
      <c r="C476" s="71" t="str">
        <f aca="false">IFERROR(INDEX('13F Data'!A:A,MATCH($B476,'13F Data'!A:A,0)),"No CUSIP Match")</f>
        <v>No CUSIP Match</v>
      </c>
      <c r="D476" s="71" t="str">
        <f aca="false">IFERROR(IF($B476=$C476,"Yes","No"),"No CUSIP Match")</f>
        <v>No</v>
      </c>
      <c r="E476" s="71"/>
      <c r="F476" s="71" t="str">
        <f aca="false">IFERROR(INDEX('13F Data'!C:C, MATCH($B476,'13F Data'!A:A,0)),"No CUSIP Match")</f>
        <v>No CUSIP Match</v>
      </c>
      <c r="G476" s="72" t="str">
        <f aca="false">IFERROR(INDEX('13F Data'!D:D,MATCH($B476,'13F Data'!A:A,0)),"No CUSIP Match")</f>
        <v>No CUSIP Match</v>
      </c>
      <c r="J476" s="73" t="n">
        <f aca="false">$V476</f>
        <v>1780</v>
      </c>
      <c r="K476" s="71" t="str">
        <f aca="false">IFERROR(INDEX('EOD Data'!G:G, MATCH($A476, 'EOD Data'!B:B,0)), "No TKR Match")</f>
        <v>No TKR Match</v>
      </c>
      <c r="L476" s="71" t="str">
        <f aca="false">IFERROR(ROUND($J476*$K476,0),"Error")</f>
        <v>Error</v>
      </c>
      <c r="M476" s="71" t="str">
        <f aca="false">IFERROR(IF(AND($J476&lt;10000,$L476&lt;200000),"Yes","No"),"Error")</f>
        <v>No</v>
      </c>
      <c r="P476" s="42" t="str">
        <f aca="false">IF($N476="SOLE",$J476,"")</f>
        <v/>
      </c>
      <c r="Q476" s="42" t="str">
        <f aca="false">IFERROR(IF($N476="Sole",0,IF(AND($N476="OTR",$R476=0),$J476-$P476,IF(AND($N476="OTR", $R476&gt;0), $J476-$P476-$Q476, ""))),"")</f>
        <v/>
      </c>
      <c r="R476" s="42" t="str">
        <f aca="false">IF($P476=$J476, "0","")</f>
        <v/>
      </c>
      <c r="S476" s="42" t="str">
        <f aca="false">IF(OR(ISBLANK($B476),ISBLANK($C476), ISBLANK($E476), ISBLANK($F476), AND(ISBLANK($G476),ISBLANK($H476)), ISBLANK($I476), ISBLANK($L476), AND(ISBLANK($N476), ISBLANK($O476)), AND(ISBLANK($P476), ISBLANK($Q476), ISBLANK($R476))), "No", "Yes")</f>
        <v>No</v>
      </c>
      <c r="T476" s="42" t="str">
        <f aca="false">SUBSTITUTE($U476," ","")</f>
        <v>68389X105</v>
      </c>
      <c r="U476" s="42" t="s">
        <v>618</v>
      </c>
      <c r="V476" s="39" t="n">
        <v>1780</v>
      </c>
    </row>
    <row r="477" customFormat="false" ht="15" hidden="false" customHeight="false" outlineLevel="0" collapsed="false">
      <c r="B477" s="70" t="s">
        <v>618</v>
      </c>
      <c r="C477" s="71" t="str">
        <f aca="false">IFERROR(INDEX('13F Data'!A:A,MATCH($B477,'13F Data'!A:A,0)),"No CUSIP Match")</f>
        <v>No CUSIP Match</v>
      </c>
      <c r="D477" s="71" t="str">
        <f aca="false">IFERROR(IF($B477=$C477,"Yes","No"),"No CUSIP Match")</f>
        <v>No</v>
      </c>
      <c r="E477" s="71"/>
      <c r="F477" s="71" t="str">
        <f aca="false">IFERROR(INDEX('13F Data'!C:C, MATCH($B477,'13F Data'!A:A,0)),"No CUSIP Match")</f>
        <v>No CUSIP Match</v>
      </c>
      <c r="G477" s="72" t="str">
        <f aca="false">IFERROR(INDEX('13F Data'!D:D,MATCH($B477,'13F Data'!A:A,0)),"No CUSIP Match")</f>
        <v>No CUSIP Match</v>
      </c>
      <c r="J477" s="73" t="n">
        <f aca="false">$V477</f>
        <v>60500</v>
      </c>
      <c r="K477" s="71" t="str">
        <f aca="false">IFERROR(INDEX('EOD Data'!G:G, MATCH($A477, 'EOD Data'!B:B,0)), "No TKR Match")</f>
        <v>No TKR Match</v>
      </c>
      <c r="L477" s="71" t="str">
        <f aca="false">IFERROR(ROUND($J477*$K477,0),"Error")</f>
        <v>Error</v>
      </c>
      <c r="M477" s="71" t="str">
        <f aca="false">IFERROR(IF(AND($J477&lt;10000,$L477&lt;200000),"Yes","No"),"Error")</f>
        <v>No</v>
      </c>
      <c r="P477" s="42" t="str">
        <f aca="false">IF($N477="SOLE",$J477,"")</f>
        <v/>
      </c>
      <c r="Q477" s="42" t="str">
        <f aca="false">IFERROR(IF($N477="Sole",0,IF(AND($N477="OTR",$R477=0),$J477-$P477,IF(AND($N477="OTR", $R477&gt;0), $J477-$P477-$Q477, ""))),"")</f>
        <v/>
      </c>
      <c r="R477" s="42" t="str">
        <f aca="false">IF($P477=$J477, "0","")</f>
        <v/>
      </c>
      <c r="S477" s="42" t="str">
        <f aca="false">IF(OR(ISBLANK($B477),ISBLANK($C477), ISBLANK($E477), ISBLANK($F477), AND(ISBLANK($G477),ISBLANK($H477)), ISBLANK($I477), ISBLANK($L477), AND(ISBLANK($N477), ISBLANK($O477)), AND(ISBLANK($P477), ISBLANK($Q477), ISBLANK($R477))), "No", "Yes")</f>
        <v>No</v>
      </c>
      <c r="T477" s="42" t="str">
        <f aca="false">SUBSTITUTE($U477," ","")</f>
        <v>68389X105</v>
      </c>
      <c r="U477" s="42" t="s">
        <v>618</v>
      </c>
      <c r="V477" s="39" t="n">
        <v>60500</v>
      </c>
    </row>
    <row r="478" customFormat="false" ht="15" hidden="false" customHeight="false" outlineLevel="0" collapsed="false">
      <c r="B478" s="70" t="s">
        <v>618</v>
      </c>
      <c r="C478" s="71" t="str">
        <f aca="false">IFERROR(INDEX('13F Data'!A:A,MATCH($B478,'13F Data'!A:A,0)),"No CUSIP Match")</f>
        <v>No CUSIP Match</v>
      </c>
      <c r="D478" s="71" t="str">
        <f aca="false">IFERROR(IF($B478=$C478,"Yes","No"),"No CUSIP Match")</f>
        <v>No</v>
      </c>
      <c r="E478" s="71"/>
      <c r="F478" s="71" t="str">
        <f aca="false">IFERROR(INDEX('13F Data'!C:C, MATCH($B478,'13F Data'!A:A,0)),"No CUSIP Match")</f>
        <v>No CUSIP Match</v>
      </c>
      <c r="G478" s="72" t="str">
        <f aca="false">IFERROR(INDEX('13F Data'!D:D,MATCH($B478,'13F Data'!A:A,0)),"No CUSIP Match")</f>
        <v>No CUSIP Match</v>
      </c>
      <c r="J478" s="73" t="n">
        <f aca="false">$V478</f>
        <v>60500</v>
      </c>
      <c r="K478" s="71" t="str">
        <f aca="false">IFERROR(INDEX('EOD Data'!G:G, MATCH($A478, 'EOD Data'!B:B,0)), "No TKR Match")</f>
        <v>No TKR Match</v>
      </c>
      <c r="L478" s="71" t="str">
        <f aca="false">IFERROR(ROUND($J478*$K478,0),"Error")</f>
        <v>Error</v>
      </c>
      <c r="M478" s="71" t="str">
        <f aca="false">IFERROR(IF(AND($J478&lt;10000,$L478&lt;200000),"Yes","No"),"Error")</f>
        <v>No</v>
      </c>
      <c r="P478" s="42" t="str">
        <f aca="false">IF($N478="SOLE",$J478,"")</f>
        <v/>
      </c>
      <c r="Q478" s="42" t="str">
        <f aca="false">IFERROR(IF($N478="Sole",0,IF(AND($N478="OTR",$R478=0),$J478-$P478,IF(AND($N478="OTR", $R478&gt;0), $J478-$P478-$Q478, ""))),"")</f>
        <v/>
      </c>
      <c r="R478" s="42" t="str">
        <f aca="false">IF($P478=$J478, "0","")</f>
        <v/>
      </c>
      <c r="S478" s="42" t="str">
        <f aca="false">IF(OR(ISBLANK($B478),ISBLANK($C478), ISBLANK($E478), ISBLANK($F478), AND(ISBLANK($G478),ISBLANK($H478)), ISBLANK($I478), ISBLANK($L478), AND(ISBLANK($N478), ISBLANK($O478)), AND(ISBLANK($P478), ISBLANK($Q478), ISBLANK($R478))), "No", "Yes")</f>
        <v>No</v>
      </c>
      <c r="T478" s="42" t="str">
        <f aca="false">SUBSTITUTE($U478," ","")</f>
        <v>68389X105</v>
      </c>
      <c r="U478" s="42" t="s">
        <v>618</v>
      </c>
      <c r="V478" s="39" t="n">
        <v>60500</v>
      </c>
    </row>
    <row r="479" customFormat="false" ht="15" hidden="false" customHeight="false" outlineLevel="0" collapsed="false">
      <c r="B479" s="70" t="s">
        <v>620</v>
      </c>
      <c r="C479" s="71" t="str">
        <f aca="false">IFERROR(INDEX('13F Data'!A:A,MATCH($B479,'13F Data'!A:A,0)),"No CUSIP Match")</f>
        <v>No CUSIP Match</v>
      </c>
      <c r="D479" s="71" t="str">
        <f aca="false">IFERROR(IF($B479=$C479,"Yes","No"),"No CUSIP Match")</f>
        <v>No</v>
      </c>
      <c r="E479" s="71"/>
      <c r="F479" s="71" t="str">
        <f aca="false">IFERROR(INDEX('13F Data'!C:C, MATCH($B479,'13F Data'!A:A,0)),"No CUSIP Match")</f>
        <v>No CUSIP Match</v>
      </c>
      <c r="G479" s="72" t="str">
        <f aca="false">IFERROR(INDEX('13F Data'!D:D,MATCH($B479,'13F Data'!A:A,0)),"No CUSIP Match")</f>
        <v>No CUSIP Match</v>
      </c>
      <c r="J479" s="73" t="n">
        <f aca="false">$V479</f>
        <v>72</v>
      </c>
      <c r="K479" s="71" t="str">
        <f aca="false">IFERROR(INDEX('EOD Data'!G:G, MATCH($A479, 'EOD Data'!B:B,0)), "No TKR Match")</f>
        <v>No TKR Match</v>
      </c>
      <c r="L479" s="71" t="str">
        <f aca="false">IFERROR(ROUND($J479*$K479,0),"Error")</f>
        <v>Error</v>
      </c>
      <c r="M479" s="71" t="str">
        <f aca="false">IFERROR(IF(AND($J479&lt;10000,$L479&lt;200000),"Yes","No"),"Error")</f>
        <v>No</v>
      </c>
      <c r="P479" s="42" t="str">
        <f aca="false">IF($N479="SOLE",$J479,"")</f>
        <v/>
      </c>
      <c r="Q479" s="42" t="str">
        <f aca="false">IFERROR(IF($N479="Sole",0,IF(AND($N479="OTR",$R479=0),$J479-$P479,IF(AND($N479="OTR", $R479&gt;0), $J479-$P479-$Q479, ""))),"")</f>
        <v/>
      </c>
      <c r="R479" s="42" t="str">
        <f aca="false">IF($P479=$J479, "0","")</f>
        <v/>
      </c>
      <c r="S479" s="42" t="str">
        <f aca="false">IF(OR(ISBLANK($B479),ISBLANK($C479), ISBLANK($E479), ISBLANK($F479), AND(ISBLANK($G479),ISBLANK($H479)), ISBLANK($I479), ISBLANK($L479), AND(ISBLANK($N479), ISBLANK($O479)), AND(ISBLANK($P479), ISBLANK($Q479), ISBLANK($R479))), "No", "Yes")</f>
        <v>No</v>
      </c>
      <c r="T479" s="42" t="str">
        <f aca="false">SUBSTITUTE($U479," ","")</f>
        <v>67103H107</v>
      </c>
      <c r="U479" s="42" t="s">
        <v>620</v>
      </c>
      <c r="V479" s="39" t="n">
        <v>72</v>
      </c>
    </row>
    <row r="480" customFormat="false" ht="15" hidden="false" customHeight="false" outlineLevel="0" collapsed="false">
      <c r="B480" s="70" t="s">
        <v>620</v>
      </c>
      <c r="C480" s="71" t="str">
        <f aca="false">IFERROR(INDEX('13F Data'!A:A,MATCH($B480,'13F Data'!A:A,0)),"No CUSIP Match")</f>
        <v>No CUSIP Match</v>
      </c>
      <c r="D480" s="71" t="str">
        <f aca="false">IFERROR(IF($B480=$C480,"Yes","No"),"No CUSIP Match")</f>
        <v>No</v>
      </c>
      <c r="E480" s="71"/>
      <c r="F480" s="71" t="str">
        <f aca="false">IFERROR(INDEX('13F Data'!C:C, MATCH($B480,'13F Data'!A:A,0)),"No CUSIP Match")</f>
        <v>No CUSIP Match</v>
      </c>
      <c r="G480" s="72" t="str">
        <f aca="false">IFERROR(INDEX('13F Data'!D:D,MATCH($B480,'13F Data'!A:A,0)),"No CUSIP Match")</f>
        <v>No CUSIP Match</v>
      </c>
      <c r="J480" s="73" t="n">
        <f aca="false">$V480</f>
        <v>3100</v>
      </c>
      <c r="K480" s="71" t="str">
        <f aca="false">IFERROR(INDEX('EOD Data'!G:G, MATCH($A480, 'EOD Data'!B:B,0)), "No TKR Match")</f>
        <v>No TKR Match</v>
      </c>
      <c r="L480" s="71" t="str">
        <f aca="false">IFERROR(ROUND($J480*$K480,0),"Error")</f>
        <v>Error</v>
      </c>
      <c r="M480" s="71" t="str">
        <f aca="false">IFERROR(IF(AND($J480&lt;10000,$L480&lt;200000),"Yes","No"),"Error")</f>
        <v>No</v>
      </c>
      <c r="P480" s="42" t="str">
        <f aca="false">IF($N480="SOLE",$J480,"")</f>
        <v/>
      </c>
      <c r="Q480" s="42" t="str">
        <f aca="false">IFERROR(IF($N480="Sole",0,IF(AND($N480="OTR",$R480=0),$J480-$P480,IF(AND($N480="OTR", $R480&gt;0), $J480-$P480-$Q480, ""))),"")</f>
        <v/>
      </c>
      <c r="R480" s="42" t="str">
        <f aca="false">IF($P480=$J480, "0","")</f>
        <v/>
      </c>
      <c r="S480" s="42" t="str">
        <f aca="false">IF(OR(ISBLANK($B480),ISBLANK($C480), ISBLANK($E480), ISBLANK($F480), AND(ISBLANK($G480),ISBLANK($H480)), ISBLANK($I480), ISBLANK($L480), AND(ISBLANK($N480), ISBLANK($O480)), AND(ISBLANK($P480), ISBLANK($Q480), ISBLANK($R480))), "No", "Yes")</f>
        <v>No</v>
      </c>
      <c r="T480" s="42" t="str">
        <f aca="false">SUBSTITUTE($U480," ","")</f>
        <v>67103H107</v>
      </c>
      <c r="U480" s="42" t="s">
        <v>620</v>
      </c>
      <c r="V480" s="39" t="n">
        <v>3100</v>
      </c>
    </row>
    <row r="481" customFormat="false" ht="15" hidden="false" customHeight="false" outlineLevel="0" collapsed="false">
      <c r="B481" s="70" t="s">
        <v>620</v>
      </c>
      <c r="C481" s="71" t="str">
        <f aca="false">IFERROR(INDEX('13F Data'!A:A,MATCH($B481,'13F Data'!A:A,0)),"No CUSIP Match")</f>
        <v>No CUSIP Match</v>
      </c>
      <c r="D481" s="71" t="str">
        <f aca="false">IFERROR(IF($B481=$C481,"Yes","No"),"No CUSIP Match")</f>
        <v>No</v>
      </c>
      <c r="E481" s="71"/>
      <c r="F481" s="71" t="str">
        <f aca="false">IFERROR(INDEX('13F Data'!C:C, MATCH($B481,'13F Data'!A:A,0)),"No CUSIP Match")</f>
        <v>No CUSIP Match</v>
      </c>
      <c r="G481" s="72" t="str">
        <f aca="false">IFERROR(INDEX('13F Data'!D:D,MATCH($B481,'13F Data'!A:A,0)),"No CUSIP Match")</f>
        <v>No CUSIP Match</v>
      </c>
      <c r="J481" s="73" t="n">
        <f aca="false">$V481</f>
        <v>3100</v>
      </c>
      <c r="K481" s="71" t="str">
        <f aca="false">IFERROR(INDEX('EOD Data'!G:G, MATCH($A481, 'EOD Data'!B:B,0)), "No TKR Match")</f>
        <v>No TKR Match</v>
      </c>
      <c r="L481" s="71" t="str">
        <f aca="false">IFERROR(ROUND($J481*$K481,0),"Error")</f>
        <v>Error</v>
      </c>
      <c r="M481" s="71" t="str">
        <f aca="false">IFERROR(IF(AND($J481&lt;10000,$L481&lt;200000),"Yes","No"),"Error")</f>
        <v>No</v>
      </c>
      <c r="P481" s="42" t="str">
        <f aca="false">IF($N481="SOLE",$J481,"")</f>
        <v/>
      </c>
      <c r="Q481" s="42" t="str">
        <f aca="false">IFERROR(IF($N481="Sole",0,IF(AND($N481="OTR",$R481=0),$J481-$P481,IF(AND($N481="OTR", $R481&gt;0), $J481-$P481-$Q481, ""))),"")</f>
        <v/>
      </c>
      <c r="R481" s="42" t="str">
        <f aca="false">IF($P481=$J481, "0","")</f>
        <v/>
      </c>
      <c r="S481" s="42" t="str">
        <f aca="false">IF(OR(ISBLANK($B481),ISBLANK($C481), ISBLANK($E481), ISBLANK($F481), AND(ISBLANK($G481),ISBLANK($H481)), ISBLANK($I481), ISBLANK($L481), AND(ISBLANK($N481), ISBLANK($O481)), AND(ISBLANK($P481), ISBLANK($Q481), ISBLANK($R481))), "No", "Yes")</f>
        <v>No</v>
      </c>
      <c r="T481" s="42" t="str">
        <f aca="false">SUBSTITUTE($U481," ","")</f>
        <v>67103H107</v>
      </c>
      <c r="U481" s="42" t="s">
        <v>620</v>
      </c>
      <c r="V481" s="39" t="n">
        <v>3100</v>
      </c>
    </row>
    <row r="482" customFormat="false" ht="15" hidden="false" customHeight="false" outlineLevel="0" collapsed="false">
      <c r="B482" s="70" t="s">
        <v>622</v>
      </c>
      <c r="C482" s="71" t="str">
        <f aca="false">IFERROR(INDEX('13F Data'!A:A,MATCH($B482,'13F Data'!A:A,0)),"No CUSIP Match")</f>
        <v>No CUSIP Match</v>
      </c>
      <c r="D482" s="71" t="str">
        <f aca="false">IFERROR(IF($B482=$C482,"Yes","No"),"No CUSIP Match")</f>
        <v>No</v>
      </c>
      <c r="E482" s="71"/>
      <c r="F482" s="71" t="str">
        <f aca="false">IFERROR(INDEX('13F Data'!C:C, MATCH($B482,'13F Data'!A:A,0)),"No CUSIP Match")</f>
        <v>No CUSIP Match</v>
      </c>
      <c r="G482" s="72" t="str">
        <f aca="false">IFERROR(INDEX('13F Data'!D:D,MATCH($B482,'13F Data'!A:A,0)),"No CUSIP Match")</f>
        <v>No CUSIP Match</v>
      </c>
      <c r="J482" s="73" t="n">
        <f aca="false">$V482</f>
        <v>394336</v>
      </c>
      <c r="K482" s="71" t="str">
        <f aca="false">IFERROR(INDEX('EOD Data'!G:G, MATCH($A482, 'EOD Data'!B:B,0)), "No TKR Match")</f>
        <v>No TKR Match</v>
      </c>
      <c r="L482" s="71" t="str">
        <f aca="false">IFERROR(ROUND($J482*$K482,0),"Error")</f>
        <v>Error</v>
      </c>
      <c r="M482" s="71" t="str">
        <f aca="false">IFERROR(IF(AND($J482&lt;10000,$L482&lt;200000),"Yes","No"),"Error")</f>
        <v>No</v>
      </c>
      <c r="P482" s="42" t="str">
        <f aca="false">IF($N482="SOLE",$J482,"")</f>
        <v/>
      </c>
      <c r="Q482" s="42" t="str">
        <f aca="false">IFERROR(IF($N482="Sole",0,IF(AND($N482="OTR",$R482=0),$J482-$P482,IF(AND($N482="OTR", $R482&gt;0), $J482-$P482-$Q482, ""))),"")</f>
        <v/>
      </c>
      <c r="R482" s="42" t="str">
        <f aca="false">IF($P482=$J482, "0","")</f>
        <v/>
      </c>
      <c r="S482" s="42" t="str">
        <f aca="false">IF(OR(ISBLANK($B482),ISBLANK($C482), ISBLANK($E482), ISBLANK($F482), AND(ISBLANK($G482),ISBLANK($H482)), ISBLANK($I482), ISBLANK($L482), AND(ISBLANK($N482), ISBLANK($O482)), AND(ISBLANK($P482), ISBLANK($Q482), ISBLANK($R482))), "No", "Yes")</f>
        <v>No</v>
      </c>
      <c r="T482" s="42" t="str">
        <f aca="false">SUBSTITUTE($U482," ","")</f>
        <v>68622V106</v>
      </c>
      <c r="U482" s="42" t="s">
        <v>622</v>
      </c>
      <c r="V482" s="39" t="n">
        <v>394336</v>
      </c>
    </row>
    <row r="483" customFormat="false" ht="15" hidden="false" customHeight="false" outlineLevel="0" collapsed="false">
      <c r="B483" s="70" t="s">
        <v>624</v>
      </c>
      <c r="C483" s="71" t="str">
        <f aca="false">IFERROR(INDEX('13F Data'!A:A,MATCH($B483,'13F Data'!A:A,0)),"No CUSIP Match")</f>
        <v>No CUSIP Match</v>
      </c>
      <c r="D483" s="71" t="str">
        <f aca="false">IFERROR(IF($B483=$C483,"Yes","No"),"No CUSIP Match")</f>
        <v>No</v>
      </c>
      <c r="E483" s="71"/>
      <c r="F483" s="71" t="str">
        <f aca="false">IFERROR(INDEX('13F Data'!C:C, MATCH($B483,'13F Data'!A:A,0)),"No CUSIP Match")</f>
        <v>No CUSIP Match</v>
      </c>
      <c r="G483" s="72" t="str">
        <f aca="false">IFERROR(INDEX('13F Data'!D:D,MATCH($B483,'13F Data'!A:A,0)),"No CUSIP Match")</f>
        <v>No CUSIP Match</v>
      </c>
      <c r="J483" s="73" t="n">
        <f aca="false">$V483</f>
        <v>11000000</v>
      </c>
      <c r="K483" s="71" t="str">
        <f aca="false">IFERROR(INDEX('EOD Data'!G:G, MATCH($A483, 'EOD Data'!B:B,0)), "No TKR Match")</f>
        <v>No TKR Match</v>
      </c>
      <c r="L483" s="71" t="str">
        <f aca="false">IFERROR(ROUND($J483*$K483,0),"Error")</f>
        <v>Error</v>
      </c>
      <c r="M483" s="71" t="str">
        <f aca="false">IFERROR(IF(AND($J483&lt;10000,$L483&lt;200000),"Yes","No"),"Error")</f>
        <v>No</v>
      </c>
      <c r="P483" s="42" t="str">
        <f aca="false">IF($N483="SOLE",$J483,"")</f>
        <v/>
      </c>
      <c r="Q483" s="42" t="str">
        <f aca="false">IFERROR(IF($N483="Sole",0,IF(AND($N483="OTR",$R483=0),$J483-$P483,IF(AND($N483="OTR", $R483&gt;0), $J483-$P483-$Q483, ""))),"")</f>
        <v/>
      </c>
      <c r="R483" s="42" t="str">
        <f aca="false">IF($P483=$J483, "0","")</f>
        <v/>
      </c>
      <c r="S483" s="42" t="str">
        <f aca="false">IF(OR(ISBLANK($B483),ISBLANK($C483), ISBLANK($E483), ISBLANK($F483), AND(ISBLANK($G483),ISBLANK($H483)), ISBLANK($I483), ISBLANK($L483), AND(ISBLANK($N483), ISBLANK($O483)), AND(ISBLANK($P483), ISBLANK($Q483), ISBLANK($R483))), "No", "Yes")</f>
        <v>No</v>
      </c>
      <c r="T483" s="42" t="str">
        <f aca="false">SUBSTITUTE($U483," ","")</f>
        <v>686688AB8</v>
      </c>
      <c r="U483" s="42" t="s">
        <v>624</v>
      </c>
      <c r="V483" s="39" t="n">
        <v>11000000</v>
      </c>
    </row>
    <row r="484" customFormat="false" ht="15" hidden="false" customHeight="false" outlineLevel="0" collapsed="false">
      <c r="B484" s="70" t="s">
        <v>626</v>
      </c>
      <c r="C484" s="71" t="str">
        <f aca="false">IFERROR(INDEX('13F Data'!A:A,MATCH($B484,'13F Data'!A:A,0)),"No CUSIP Match")</f>
        <v>No CUSIP Match</v>
      </c>
      <c r="D484" s="71" t="str">
        <f aca="false">IFERROR(IF($B484=$C484,"Yes","No"),"No CUSIP Match")</f>
        <v>No</v>
      </c>
      <c r="E484" s="71"/>
      <c r="F484" s="71" t="str">
        <f aca="false">IFERROR(INDEX('13F Data'!C:C, MATCH($B484,'13F Data'!A:A,0)),"No CUSIP Match")</f>
        <v>No CUSIP Match</v>
      </c>
      <c r="G484" s="72" t="str">
        <f aca="false">IFERROR(INDEX('13F Data'!D:D,MATCH($B484,'13F Data'!A:A,0)),"No CUSIP Match")</f>
        <v>No CUSIP Match</v>
      </c>
      <c r="J484" s="73" t="n">
        <f aca="false">$V484</f>
        <v>28000000</v>
      </c>
      <c r="K484" s="71" t="str">
        <f aca="false">IFERROR(INDEX('EOD Data'!G:G, MATCH($A484, 'EOD Data'!B:B,0)), "No TKR Match")</f>
        <v>No TKR Match</v>
      </c>
      <c r="L484" s="71" t="str">
        <f aca="false">IFERROR(ROUND($J484*$K484,0),"Error")</f>
        <v>Error</v>
      </c>
      <c r="M484" s="71" t="str">
        <f aca="false">IFERROR(IF(AND($J484&lt;10000,$L484&lt;200000),"Yes","No"),"Error")</f>
        <v>No</v>
      </c>
      <c r="P484" s="42" t="str">
        <f aca="false">IF($N484="SOLE",$J484,"")</f>
        <v/>
      </c>
      <c r="Q484" s="42" t="str">
        <f aca="false">IFERROR(IF($N484="Sole",0,IF(AND($N484="OTR",$R484=0),$J484-$P484,IF(AND($N484="OTR", $R484&gt;0), $J484-$P484-$Q484, ""))),"")</f>
        <v/>
      </c>
      <c r="R484" s="42" t="str">
        <f aca="false">IF($P484=$J484, "0","")</f>
        <v/>
      </c>
      <c r="S484" s="42" t="str">
        <f aca="false">IF(OR(ISBLANK($B484),ISBLANK($C484), ISBLANK($E484), ISBLANK($F484), AND(ISBLANK($G484),ISBLANK($H484)), ISBLANK($I484), ISBLANK($L484), AND(ISBLANK($N484), ISBLANK($O484)), AND(ISBLANK($P484), ISBLANK($Q484), ISBLANK($R484))), "No", "Yes")</f>
        <v>No</v>
      </c>
      <c r="T484" s="42" t="str">
        <f aca="false">SUBSTITUTE($U484," ","")</f>
        <v>69553PAC4</v>
      </c>
      <c r="U484" s="42" t="s">
        <v>626</v>
      </c>
      <c r="V484" s="39" t="n">
        <v>28000000</v>
      </c>
    </row>
    <row r="485" customFormat="false" ht="15" hidden="false" customHeight="false" outlineLevel="0" collapsed="false">
      <c r="B485" s="70" t="s">
        <v>627</v>
      </c>
      <c r="C485" s="71" t="str">
        <f aca="false">IFERROR(INDEX('13F Data'!A:A,MATCH($B485,'13F Data'!A:A,0)),"No CUSIP Match")</f>
        <v>No CUSIP Match</v>
      </c>
      <c r="D485" s="71" t="str">
        <f aca="false">IFERROR(IF($B485=$C485,"Yes","No"),"No CUSIP Match")</f>
        <v>No</v>
      </c>
      <c r="E485" s="71"/>
      <c r="F485" s="71" t="str">
        <f aca="false">IFERROR(INDEX('13F Data'!C:C, MATCH($B485,'13F Data'!A:A,0)),"No CUSIP Match")</f>
        <v>No CUSIP Match</v>
      </c>
      <c r="G485" s="72" t="str">
        <f aca="false">IFERROR(INDEX('13F Data'!D:D,MATCH($B485,'13F Data'!A:A,0)),"No CUSIP Match")</f>
        <v>No CUSIP Match</v>
      </c>
      <c r="J485" s="73" t="n">
        <f aca="false">$V485</f>
        <v>43981</v>
      </c>
      <c r="K485" s="71" t="str">
        <f aca="false">IFERROR(INDEX('EOD Data'!G:G, MATCH($A485, 'EOD Data'!B:B,0)), "No TKR Match")</f>
        <v>No TKR Match</v>
      </c>
      <c r="L485" s="71" t="str">
        <f aca="false">IFERROR(ROUND($J485*$K485,0),"Error")</f>
        <v>Error</v>
      </c>
      <c r="M485" s="71" t="str">
        <f aca="false">IFERROR(IF(AND($J485&lt;10000,$L485&lt;200000),"Yes","No"),"Error")</f>
        <v>No</v>
      </c>
      <c r="P485" s="42" t="str">
        <f aca="false">IF($N485="SOLE",$J485,"")</f>
        <v/>
      </c>
      <c r="Q485" s="42" t="str">
        <f aca="false">IFERROR(IF($N485="Sole",0,IF(AND($N485="OTR",$R485=0),$J485-$P485,IF(AND($N485="OTR", $R485&gt;0), $J485-$P485-$Q485, ""))),"")</f>
        <v/>
      </c>
      <c r="R485" s="42" t="str">
        <f aca="false">IF($P485=$J485, "0","")</f>
        <v/>
      </c>
      <c r="S485" s="42" t="str">
        <f aca="false">IF(OR(ISBLANK($B485),ISBLANK($C485), ISBLANK($E485), ISBLANK($F485), AND(ISBLANK($G485),ISBLANK($H485)), ISBLANK($I485), ISBLANK($L485), AND(ISBLANK($N485), ISBLANK($O485)), AND(ISBLANK($P485), ISBLANK($Q485), ISBLANK($R485))), "No", "Yes")</f>
        <v>No</v>
      </c>
      <c r="T485" s="42" t="str">
        <f aca="false">SUBSTITUTE($U485," ","")</f>
        <v>69553P100</v>
      </c>
      <c r="U485" s="42" t="s">
        <v>627</v>
      </c>
      <c r="V485" s="39" t="n">
        <v>43981</v>
      </c>
    </row>
    <row r="486" customFormat="false" ht="15" hidden="false" customHeight="false" outlineLevel="0" collapsed="false">
      <c r="B486" s="70" t="s">
        <v>629</v>
      </c>
      <c r="C486" s="71" t="str">
        <f aca="false">IFERROR(INDEX('13F Data'!A:A,MATCH($B486,'13F Data'!A:A,0)),"No CUSIP Match")</f>
        <v>No CUSIP Match</v>
      </c>
      <c r="D486" s="71" t="str">
        <f aca="false">IFERROR(IF($B486=$C486,"Yes","No"),"No CUSIP Match")</f>
        <v>No</v>
      </c>
      <c r="E486" s="71"/>
      <c r="F486" s="71" t="str">
        <f aca="false">IFERROR(INDEX('13F Data'!C:C, MATCH($B486,'13F Data'!A:A,0)),"No CUSIP Match")</f>
        <v>No CUSIP Match</v>
      </c>
      <c r="G486" s="72" t="str">
        <f aca="false">IFERROR(INDEX('13F Data'!D:D,MATCH($B486,'13F Data'!A:A,0)),"No CUSIP Match")</f>
        <v>No CUSIP Match</v>
      </c>
      <c r="J486" s="73" t="n">
        <f aca="false">$V486</f>
        <v>1000</v>
      </c>
      <c r="K486" s="71" t="str">
        <f aca="false">IFERROR(INDEX('EOD Data'!G:G, MATCH($A486, 'EOD Data'!B:B,0)), "No TKR Match")</f>
        <v>No TKR Match</v>
      </c>
      <c r="L486" s="71" t="str">
        <f aca="false">IFERROR(ROUND($J486*$K486,0),"Error")</f>
        <v>Error</v>
      </c>
      <c r="M486" s="71" t="str">
        <f aca="false">IFERROR(IF(AND($J486&lt;10000,$L486&lt;200000),"Yes","No"),"Error")</f>
        <v>No</v>
      </c>
      <c r="P486" s="42" t="str">
        <f aca="false">IF($N486="SOLE",$J486,"")</f>
        <v/>
      </c>
      <c r="Q486" s="42" t="str">
        <f aca="false">IFERROR(IF($N486="Sole",0,IF(AND($N486="OTR",$R486=0),$J486-$P486,IF(AND($N486="OTR", $R486&gt;0), $J486-$P486-$Q486, ""))),"")</f>
        <v/>
      </c>
      <c r="R486" s="42" t="str">
        <f aca="false">IF($P486=$J486, "0","")</f>
        <v/>
      </c>
      <c r="S486" s="42" t="str">
        <f aca="false">IF(OR(ISBLANK($B486),ISBLANK($C486), ISBLANK($E486), ISBLANK($F486), AND(ISBLANK($G486),ISBLANK($H486)), ISBLANK($I486), ISBLANK($L486), AND(ISBLANK($N486), ISBLANK($O486)), AND(ISBLANK($P486), ISBLANK($Q486), ISBLANK($R486))), "No", "Yes")</f>
        <v>No</v>
      </c>
      <c r="T486" s="42" t="str">
        <f aca="false">SUBSTITUTE($U486," ","")</f>
        <v>697435105</v>
      </c>
      <c r="U486" s="42" t="s">
        <v>629</v>
      </c>
      <c r="V486" s="39" t="n">
        <v>1000</v>
      </c>
    </row>
    <row r="487" customFormat="false" ht="15" hidden="false" customHeight="false" outlineLevel="0" collapsed="false">
      <c r="B487" s="70" t="s">
        <v>629</v>
      </c>
      <c r="C487" s="71" t="str">
        <f aca="false">IFERROR(INDEX('13F Data'!A:A,MATCH($B487,'13F Data'!A:A,0)),"No CUSIP Match")</f>
        <v>No CUSIP Match</v>
      </c>
      <c r="D487" s="71" t="str">
        <f aca="false">IFERROR(IF($B487=$C487,"Yes","No"),"No CUSIP Match")</f>
        <v>No</v>
      </c>
      <c r="E487" s="71"/>
      <c r="F487" s="71" t="str">
        <f aca="false">IFERROR(INDEX('13F Data'!C:C, MATCH($B487,'13F Data'!A:A,0)),"No CUSIP Match")</f>
        <v>No CUSIP Match</v>
      </c>
      <c r="G487" s="72" t="str">
        <f aca="false">IFERROR(INDEX('13F Data'!D:D,MATCH($B487,'13F Data'!A:A,0)),"No CUSIP Match")</f>
        <v>No CUSIP Match</v>
      </c>
      <c r="J487" s="73" t="n">
        <f aca="false">$V487</f>
        <v>1000</v>
      </c>
      <c r="K487" s="71" t="str">
        <f aca="false">IFERROR(INDEX('EOD Data'!G:G, MATCH($A487, 'EOD Data'!B:B,0)), "No TKR Match")</f>
        <v>No TKR Match</v>
      </c>
      <c r="L487" s="71" t="str">
        <f aca="false">IFERROR(ROUND($J487*$K487,0),"Error")</f>
        <v>Error</v>
      </c>
      <c r="M487" s="71" t="str">
        <f aca="false">IFERROR(IF(AND($J487&lt;10000,$L487&lt;200000),"Yes","No"),"Error")</f>
        <v>No</v>
      </c>
      <c r="P487" s="42" t="str">
        <f aca="false">IF($N487="SOLE",$J487,"")</f>
        <v/>
      </c>
      <c r="Q487" s="42" t="str">
        <f aca="false">IFERROR(IF($N487="Sole",0,IF(AND($N487="OTR",$R487=0),$J487-$P487,IF(AND($N487="OTR", $R487&gt;0), $J487-$P487-$Q487, ""))),"")</f>
        <v/>
      </c>
      <c r="R487" s="42" t="str">
        <f aca="false">IF($P487=$J487, "0","")</f>
        <v/>
      </c>
      <c r="S487" s="42" t="str">
        <f aca="false">IF(OR(ISBLANK($B487),ISBLANK($C487), ISBLANK($E487), ISBLANK($F487), AND(ISBLANK($G487),ISBLANK($H487)), ISBLANK($I487), ISBLANK($L487), AND(ISBLANK($N487), ISBLANK($O487)), AND(ISBLANK($P487), ISBLANK($Q487), ISBLANK($R487))), "No", "Yes")</f>
        <v>No</v>
      </c>
      <c r="T487" s="42" t="str">
        <f aca="false">SUBSTITUTE($U487," ","")</f>
        <v>697435105</v>
      </c>
      <c r="U487" s="42" t="s">
        <v>629</v>
      </c>
      <c r="V487" s="39" t="n">
        <v>1000</v>
      </c>
    </row>
    <row r="488" customFormat="false" ht="15" hidden="false" customHeight="false" outlineLevel="0" collapsed="false">
      <c r="B488" s="70" t="s">
        <v>631</v>
      </c>
      <c r="C488" s="71" t="str">
        <f aca="false">IFERROR(INDEX('13F Data'!A:A,MATCH($B488,'13F Data'!A:A,0)),"No CUSIP Match")</f>
        <v>No CUSIP Match</v>
      </c>
      <c r="D488" s="71" t="str">
        <f aca="false">IFERROR(IF($B488=$C488,"Yes","No"),"No CUSIP Match")</f>
        <v>No</v>
      </c>
      <c r="E488" s="71"/>
      <c r="F488" s="71" t="str">
        <f aca="false">IFERROR(INDEX('13F Data'!C:C, MATCH($B488,'13F Data'!A:A,0)),"No CUSIP Match")</f>
        <v>No CUSIP Match</v>
      </c>
      <c r="G488" s="72" t="str">
        <f aca="false">IFERROR(INDEX('13F Data'!D:D,MATCH($B488,'13F Data'!A:A,0)),"No CUSIP Match")</f>
        <v>No CUSIP Match</v>
      </c>
      <c r="J488" s="73" t="n">
        <f aca="false">$V488</f>
        <v>24000000</v>
      </c>
      <c r="K488" s="71" t="str">
        <f aca="false">IFERROR(INDEX('EOD Data'!G:G, MATCH($A488, 'EOD Data'!B:B,0)), "No TKR Match")</f>
        <v>No TKR Match</v>
      </c>
      <c r="L488" s="71" t="str">
        <f aca="false">IFERROR(ROUND($J488*$K488,0),"Error")</f>
        <v>Error</v>
      </c>
      <c r="M488" s="71" t="str">
        <f aca="false">IFERROR(IF(AND($J488&lt;10000,$L488&lt;200000),"Yes","No"),"Error")</f>
        <v>No</v>
      </c>
      <c r="P488" s="42" t="str">
        <f aca="false">IF($N488="SOLE",$J488,"")</f>
        <v/>
      </c>
      <c r="Q488" s="42" t="str">
        <f aca="false">IFERROR(IF($N488="Sole",0,IF(AND($N488="OTR",$R488=0),$J488-$P488,IF(AND($N488="OTR", $R488&gt;0), $J488-$P488-$Q488, ""))),"")</f>
        <v/>
      </c>
      <c r="R488" s="42" t="str">
        <f aca="false">IF($P488=$J488, "0","")</f>
        <v/>
      </c>
      <c r="S488" s="42" t="str">
        <f aca="false">IF(OR(ISBLANK($B488),ISBLANK($C488), ISBLANK($E488), ISBLANK($F488), AND(ISBLANK($G488),ISBLANK($H488)), ISBLANK($I488), ISBLANK($L488), AND(ISBLANK($N488), ISBLANK($O488)), AND(ISBLANK($P488), ISBLANK($Q488), ISBLANK($R488))), "No", "Yes")</f>
        <v>No</v>
      </c>
      <c r="T488" s="42" t="str">
        <f aca="false">SUBSTITUTE($U488," ","")</f>
        <v>698884AE3</v>
      </c>
      <c r="U488" s="42" t="s">
        <v>631</v>
      </c>
      <c r="V488" s="39" t="n">
        <v>24000000</v>
      </c>
    </row>
    <row r="489" customFormat="false" ht="15" hidden="false" customHeight="false" outlineLevel="0" collapsed="false">
      <c r="B489" s="70" t="s">
        <v>633</v>
      </c>
      <c r="C489" s="71" t="str">
        <f aca="false">IFERROR(INDEX('13F Data'!A:A,MATCH($B489,'13F Data'!A:A,0)),"No CUSIP Match")</f>
        <v>No CUSIP Match</v>
      </c>
      <c r="D489" s="71" t="str">
        <f aca="false">IFERROR(IF($B489=$C489,"Yes","No"),"No CUSIP Match")</f>
        <v>No</v>
      </c>
      <c r="E489" s="71"/>
      <c r="F489" s="71" t="str">
        <f aca="false">IFERROR(INDEX('13F Data'!C:C, MATCH($B489,'13F Data'!A:A,0)),"No CUSIP Match")</f>
        <v>No CUSIP Match</v>
      </c>
      <c r="G489" s="72" t="str">
        <f aca="false">IFERROR(INDEX('13F Data'!D:D,MATCH($B489,'13F Data'!A:A,0)),"No CUSIP Match")</f>
        <v>No CUSIP Match</v>
      </c>
      <c r="J489" s="73" t="n">
        <f aca="false">$V489</f>
        <v>241980</v>
      </c>
      <c r="K489" s="71" t="str">
        <f aca="false">IFERROR(INDEX('EOD Data'!G:G, MATCH($A489, 'EOD Data'!B:B,0)), "No TKR Match")</f>
        <v>No TKR Match</v>
      </c>
      <c r="L489" s="71" t="str">
        <f aca="false">IFERROR(ROUND($J489*$K489,0),"Error")</f>
        <v>Error</v>
      </c>
      <c r="M489" s="71" t="str">
        <f aca="false">IFERROR(IF(AND($J489&lt;10000,$L489&lt;200000),"Yes","No"),"Error")</f>
        <v>No</v>
      </c>
      <c r="P489" s="42" t="str">
        <f aca="false">IF($N489="SOLE",$J489,"")</f>
        <v/>
      </c>
      <c r="Q489" s="42" t="str">
        <f aca="false">IFERROR(IF($N489="Sole",0,IF(AND($N489="OTR",$R489=0),$J489-$P489,IF(AND($N489="OTR", $R489&gt;0), $J489-$P489-$Q489, ""))),"")</f>
        <v/>
      </c>
      <c r="R489" s="42" t="str">
        <f aca="false">IF($P489=$J489, "0","")</f>
        <v/>
      </c>
      <c r="S489" s="42" t="str">
        <f aca="false">IF(OR(ISBLANK($B489),ISBLANK($C489), ISBLANK($E489), ISBLANK($F489), AND(ISBLANK($G489),ISBLANK($H489)), ISBLANK($I489), ISBLANK($L489), AND(ISBLANK($N489), ISBLANK($O489)), AND(ISBLANK($P489), ISBLANK($Q489), ISBLANK($R489))), "No", "Yes")</f>
        <v>No</v>
      </c>
      <c r="T489" s="42" t="str">
        <f aca="false">SUBSTITUTE($U489," ","")</f>
        <v>92556H206</v>
      </c>
      <c r="U489" s="42" t="s">
        <v>633</v>
      </c>
      <c r="V489" s="39" t="n">
        <v>241980</v>
      </c>
    </row>
    <row r="490" customFormat="false" ht="15" hidden="false" customHeight="false" outlineLevel="0" collapsed="false">
      <c r="B490" s="70" t="s">
        <v>635</v>
      </c>
      <c r="C490" s="71" t="str">
        <f aca="false">IFERROR(INDEX('13F Data'!A:A,MATCH($B490,'13F Data'!A:A,0)),"No CUSIP Match")</f>
        <v>No CUSIP Match</v>
      </c>
      <c r="D490" s="71" t="str">
        <f aca="false">IFERROR(IF($B490=$C490,"Yes","No"),"No CUSIP Match")</f>
        <v>No</v>
      </c>
      <c r="E490" s="71"/>
      <c r="F490" s="71" t="str">
        <f aca="false">IFERROR(INDEX('13F Data'!C:C, MATCH($B490,'13F Data'!A:A,0)),"No CUSIP Match")</f>
        <v>No CUSIP Match</v>
      </c>
      <c r="G490" s="72" t="str">
        <f aca="false">IFERROR(INDEX('13F Data'!D:D,MATCH($B490,'13F Data'!A:A,0)),"No CUSIP Match")</f>
        <v>No CUSIP Match</v>
      </c>
      <c r="J490" s="73" t="n">
        <f aca="false">$V490</f>
        <v>82</v>
      </c>
      <c r="K490" s="71" t="str">
        <f aca="false">IFERROR(INDEX('EOD Data'!G:G, MATCH($A490, 'EOD Data'!B:B,0)), "No TKR Match")</f>
        <v>No TKR Match</v>
      </c>
      <c r="L490" s="71" t="str">
        <f aca="false">IFERROR(ROUND($J490*$K490,0),"Error")</f>
        <v>Error</v>
      </c>
      <c r="M490" s="71" t="str">
        <f aca="false">IFERROR(IF(AND($J490&lt;10000,$L490&lt;200000),"Yes","No"),"Error")</f>
        <v>No</v>
      </c>
      <c r="P490" s="42" t="str">
        <f aca="false">IF($N490="SOLE",$J490,"")</f>
        <v/>
      </c>
      <c r="Q490" s="42" t="str">
        <f aca="false">IFERROR(IF($N490="Sole",0,IF(AND($N490="OTR",$R490=0),$J490-$P490,IF(AND($N490="OTR", $R490&gt;0), $J490-$P490-$Q490, ""))),"")</f>
        <v/>
      </c>
      <c r="R490" s="42" t="str">
        <f aca="false">IF($P490=$J490, "0","")</f>
        <v/>
      </c>
      <c r="S490" s="42" t="str">
        <f aca="false">IF(OR(ISBLANK($B490),ISBLANK($C490), ISBLANK($E490), ISBLANK($F490), AND(ISBLANK($G490),ISBLANK($H490)), ISBLANK($I490), ISBLANK($L490), AND(ISBLANK($N490), ISBLANK($O490)), AND(ISBLANK($P490), ISBLANK($Q490), ISBLANK($R490))), "No", "Yes")</f>
        <v>No</v>
      </c>
      <c r="T490" s="42" t="str">
        <f aca="false">SUBSTITUTE($U490," ","")</f>
        <v>701094104</v>
      </c>
      <c r="U490" s="42" t="s">
        <v>635</v>
      </c>
      <c r="V490" s="39" t="n">
        <v>82</v>
      </c>
    </row>
    <row r="491" customFormat="false" ht="15" hidden="false" customHeight="false" outlineLevel="0" collapsed="false">
      <c r="B491" s="70" t="s">
        <v>635</v>
      </c>
      <c r="C491" s="71" t="str">
        <f aca="false">IFERROR(INDEX('13F Data'!A:A,MATCH($B491,'13F Data'!A:A,0)),"No CUSIP Match")</f>
        <v>No CUSIP Match</v>
      </c>
      <c r="D491" s="71" t="str">
        <f aca="false">IFERROR(IF($B491=$C491,"Yes","No"),"No CUSIP Match")</f>
        <v>No</v>
      </c>
      <c r="E491" s="71"/>
      <c r="F491" s="71" t="str">
        <f aca="false">IFERROR(INDEX('13F Data'!C:C, MATCH($B491,'13F Data'!A:A,0)),"No CUSIP Match")</f>
        <v>No CUSIP Match</v>
      </c>
      <c r="G491" s="72" t="str">
        <f aca="false">IFERROR(INDEX('13F Data'!D:D,MATCH($B491,'13F Data'!A:A,0)),"No CUSIP Match")</f>
        <v>No CUSIP Match</v>
      </c>
      <c r="J491" s="73" t="n">
        <f aca="false">$V491</f>
        <v>3300</v>
      </c>
      <c r="K491" s="71" t="str">
        <f aca="false">IFERROR(INDEX('EOD Data'!G:G, MATCH($A491, 'EOD Data'!B:B,0)), "No TKR Match")</f>
        <v>No TKR Match</v>
      </c>
      <c r="L491" s="71" t="str">
        <f aca="false">IFERROR(ROUND($J491*$K491,0),"Error")</f>
        <v>Error</v>
      </c>
      <c r="M491" s="71" t="str">
        <f aca="false">IFERROR(IF(AND($J491&lt;10000,$L491&lt;200000),"Yes","No"),"Error")</f>
        <v>No</v>
      </c>
      <c r="P491" s="42" t="str">
        <f aca="false">IF($N491="SOLE",$J491,"")</f>
        <v/>
      </c>
      <c r="Q491" s="42" t="str">
        <f aca="false">IFERROR(IF($N491="Sole",0,IF(AND($N491="OTR",$R491=0),$J491-$P491,IF(AND($N491="OTR", $R491&gt;0), $J491-$P491-$Q491, ""))),"")</f>
        <v/>
      </c>
      <c r="R491" s="42" t="str">
        <f aca="false">IF($P491=$J491, "0","")</f>
        <v/>
      </c>
      <c r="S491" s="42" t="str">
        <f aca="false">IF(OR(ISBLANK($B491),ISBLANK($C491), ISBLANK($E491), ISBLANK($F491), AND(ISBLANK($G491),ISBLANK($H491)), ISBLANK($I491), ISBLANK($L491), AND(ISBLANK($N491), ISBLANK($O491)), AND(ISBLANK($P491), ISBLANK($Q491), ISBLANK($R491))), "No", "Yes")</f>
        <v>No</v>
      </c>
      <c r="T491" s="42" t="str">
        <f aca="false">SUBSTITUTE($U491," ","")</f>
        <v>701094104</v>
      </c>
      <c r="U491" s="42" t="s">
        <v>635</v>
      </c>
      <c r="V491" s="39" t="n">
        <v>3300</v>
      </c>
    </row>
    <row r="492" customFormat="false" ht="15" hidden="false" customHeight="false" outlineLevel="0" collapsed="false">
      <c r="B492" s="70" t="s">
        <v>635</v>
      </c>
      <c r="C492" s="71" t="str">
        <f aca="false">IFERROR(INDEX('13F Data'!A:A,MATCH($B492,'13F Data'!A:A,0)),"No CUSIP Match")</f>
        <v>No CUSIP Match</v>
      </c>
      <c r="D492" s="71" t="str">
        <f aca="false">IFERROR(IF($B492=$C492,"Yes","No"),"No CUSIP Match")</f>
        <v>No</v>
      </c>
      <c r="E492" s="71"/>
      <c r="F492" s="71" t="str">
        <f aca="false">IFERROR(INDEX('13F Data'!C:C, MATCH($B492,'13F Data'!A:A,0)),"No CUSIP Match")</f>
        <v>No CUSIP Match</v>
      </c>
      <c r="G492" s="72" t="str">
        <f aca="false">IFERROR(INDEX('13F Data'!D:D,MATCH($B492,'13F Data'!A:A,0)),"No CUSIP Match")</f>
        <v>No CUSIP Match</v>
      </c>
      <c r="J492" s="73" t="n">
        <f aca="false">$V492</f>
        <v>4000</v>
      </c>
      <c r="K492" s="71" t="str">
        <f aca="false">IFERROR(INDEX('EOD Data'!G:G, MATCH($A492, 'EOD Data'!B:B,0)), "No TKR Match")</f>
        <v>No TKR Match</v>
      </c>
      <c r="L492" s="71" t="str">
        <f aca="false">IFERROR(ROUND($J492*$K492,0),"Error")</f>
        <v>Error</v>
      </c>
      <c r="M492" s="71" t="str">
        <f aca="false">IFERROR(IF(AND($J492&lt;10000,$L492&lt;200000),"Yes","No"),"Error")</f>
        <v>No</v>
      </c>
      <c r="P492" s="42" t="str">
        <f aca="false">IF($N492="SOLE",$J492,"")</f>
        <v/>
      </c>
      <c r="Q492" s="42" t="str">
        <f aca="false">IFERROR(IF($N492="Sole",0,IF(AND($N492="OTR",$R492=0),$J492-$P492,IF(AND($N492="OTR", $R492&gt;0), $J492-$P492-$Q492, ""))),"")</f>
        <v/>
      </c>
      <c r="R492" s="42" t="str">
        <f aca="false">IF($P492=$J492, "0","")</f>
        <v/>
      </c>
      <c r="S492" s="42" t="str">
        <f aca="false">IF(OR(ISBLANK($B492),ISBLANK($C492), ISBLANK($E492), ISBLANK($F492), AND(ISBLANK($G492),ISBLANK($H492)), ISBLANK($I492), ISBLANK($L492), AND(ISBLANK($N492), ISBLANK($O492)), AND(ISBLANK($P492), ISBLANK($Q492), ISBLANK($R492))), "No", "Yes")</f>
        <v>No</v>
      </c>
      <c r="T492" s="42" t="str">
        <f aca="false">SUBSTITUTE($U492," ","")</f>
        <v>701094104</v>
      </c>
      <c r="U492" s="42" t="s">
        <v>635</v>
      </c>
      <c r="V492" s="39" t="n">
        <v>4000</v>
      </c>
    </row>
    <row r="493" customFormat="false" ht="15" hidden="false" customHeight="false" outlineLevel="0" collapsed="false">
      <c r="B493" s="70" t="s">
        <v>637</v>
      </c>
      <c r="C493" s="71" t="str">
        <f aca="false">IFERROR(INDEX('13F Data'!A:A,MATCH($B493,'13F Data'!A:A,0)),"No CUSIP Match")</f>
        <v>No CUSIP Match</v>
      </c>
      <c r="D493" s="71" t="str">
        <f aca="false">IFERROR(IF($B493=$C493,"Yes","No"),"No CUSIP Match")</f>
        <v>No</v>
      </c>
      <c r="E493" s="71"/>
      <c r="F493" s="71" t="str">
        <f aca="false">IFERROR(INDEX('13F Data'!C:C, MATCH($B493,'13F Data'!A:A,0)),"No CUSIP Match")</f>
        <v>No CUSIP Match</v>
      </c>
      <c r="G493" s="72" t="str">
        <f aca="false">IFERROR(INDEX('13F Data'!D:D,MATCH($B493,'13F Data'!A:A,0)),"No CUSIP Match")</f>
        <v>No CUSIP Match</v>
      </c>
      <c r="J493" s="73" t="n">
        <f aca="false">$V493</f>
        <v>9465</v>
      </c>
      <c r="K493" s="71" t="str">
        <f aca="false">IFERROR(INDEX('EOD Data'!G:G, MATCH($A493, 'EOD Data'!B:B,0)), "No TKR Match")</f>
        <v>No TKR Match</v>
      </c>
      <c r="L493" s="71" t="str">
        <f aca="false">IFERROR(ROUND($J493*$K493,0),"Error")</f>
        <v>Error</v>
      </c>
      <c r="M493" s="71" t="str">
        <f aca="false">IFERROR(IF(AND($J493&lt;10000,$L493&lt;200000),"Yes","No"),"Error")</f>
        <v>No</v>
      </c>
      <c r="P493" s="42" t="str">
        <f aca="false">IF($N493="SOLE",$J493,"")</f>
        <v/>
      </c>
      <c r="Q493" s="42" t="str">
        <f aca="false">IFERROR(IF($N493="Sole",0,IF(AND($N493="OTR",$R493=0),$J493-$P493,IF(AND($N493="OTR", $R493&gt;0), $J493-$P493-$Q493, ""))),"")</f>
        <v/>
      </c>
      <c r="R493" s="42" t="str">
        <f aca="false">IF($P493=$J493, "0","")</f>
        <v/>
      </c>
      <c r="S493" s="42" t="str">
        <f aca="false">IF(OR(ISBLANK($B493),ISBLANK($C493), ISBLANK($E493), ISBLANK($F493), AND(ISBLANK($G493),ISBLANK($H493)), ISBLANK($I493), ISBLANK($L493), AND(ISBLANK($N493), ISBLANK($O493)), AND(ISBLANK($P493), ISBLANK($Q493), ISBLANK($R493))), "No", "Yes")</f>
        <v>No</v>
      </c>
      <c r="T493" s="42" t="str">
        <f aca="false">SUBSTITUTE($U493," ","")</f>
        <v>704326107</v>
      </c>
      <c r="U493" s="42" t="s">
        <v>637</v>
      </c>
      <c r="V493" s="39" t="n">
        <v>9465</v>
      </c>
    </row>
    <row r="494" customFormat="false" ht="15" hidden="false" customHeight="false" outlineLevel="0" collapsed="false">
      <c r="B494" s="70" t="s">
        <v>637</v>
      </c>
      <c r="C494" s="71" t="str">
        <f aca="false">IFERROR(INDEX('13F Data'!A:A,MATCH($B494,'13F Data'!A:A,0)),"No CUSIP Match")</f>
        <v>No CUSIP Match</v>
      </c>
      <c r="D494" s="71" t="str">
        <f aca="false">IFERROR(IF($B494=$C494,"Yes","No"),"No CUSIP Match")</f>
        <v>No</v>
      </c>
      <c r="E494" s="71"/>
      <c r="F494" s="71" t="str">
        <f aca="false">IFERROR(INDEX('13F Data'!C:C, MATCH($B494,'13F Data'!A:A,0)),"No CUSIP Match")</f>
        <v>No CUSIP Match</v>
      </c>
      <c r="G494" s="72" t="str">
        <f aca="false">IFERROR(INDEX('13F Data'!D:D,MATCH($B494,'13F Data'!A:A,0)),"No CUSIP Match")</f>
        <v>No CUSIP Match</v>
      </c>
      <c r="J494" s="73" t="n">
        <f aca="false">$V494</f>
        <v>19200</v>
      </c>
      <c r="K494" s="71" t="str">
        <f aca="false">IFERROR(INDEX('EOD Data'!G:G, MATCH($A494, 'EOD Data'!B:B,0)), "No TKR Match")</f>
        <v>No TKR Match</v>
      </c>
      <c r="L494" s="71" t="str">
        <f aca="false">IFERROR(ROUND($J494*$K494,0),"Error")</f>
        <v>Error</v>
      </c>
      <c r="M494" s="71" t="str">
        <f aca="false">IFERROR(IF(AND($J494&lt;10000,$L494&lt;200000),"Yes","No"),"Error")</f>
        <v>No</v>
      </c>
      <c r="P494" s="42" t="str">
        <f aca="false">IF($N494="SOLE",$J494,"")</f>
        <v/>
      </c>
      <c r="Q494" s="42" t="str">
        <f aca="false">IFERROR(IF($N494="Sole",0,IF(AND($N494="OTR",$R494=0),$J494-$P494,IF(AND($N494="OTR", $R494&gt;0), $J494-$P494-$Q494, ""))),"")</f>
        <v/>
      </c>
      <c r="R494" s="42" t="str">
        <f aca="false">IF($P494=$J494, "0","")</f>
        <v/>
      </c>
      <c r="S494" s="42" t="str">
        <f aca="false">IF(OR(ISBLANK($B494),ISBLANK($C494), ISBLANK($E494), ISBLANK($F494), AND(ISBLANK($G494),ISBLANK($H494)), ISBLANK($I494), ISBLANK($L494), AND(ISBLANK($N494), ISBLANK($O494)), AND(ISBLANK($P494), ISBLANK($Q494), ISBLANK($R494))), "No", "Yes")</f>
        <v>No</v>
      </c>
      <c r="T494" s="42" t="str">
        <f aca="false">SUBSTITUTE($U494," ","")</f>
        <v>704326107</v>
      </c>
      <c r="U494" s="42" t="s">
        <v>637</v>
      </c>
      <c r="V494" s="39" t="n">
        <v>19200</v>
      </c>
    </row>
    <row r="495" customFormat="false" ht="15" hidden="false" customHeight="false" outlineLevel="0" collapsed="false">
      <c r="B495" s="70" t="s">
        <v>637</v>
      </c>
      <c r="C495" s="71" t="str">
        <f aca="false">IFERROR(INDEX('13F Data'!A:A,MATCH($B495,'13F Data'!A:A,0)),"No CUSIP Match")</f>
        <v>No CUSIP Match</v>
      </c>
      <c r="D495" s="71" t="str">
        <f aca="false">IFERROR(IF($B495=$C495,"Yes","No"),"No CUSIP Match")</f>
        <v>No</v>
      </c>
      <c r="E495" s="71"/>
      <c r="F495" s="71" t="str">
        <f aca="false">IFERROR(INDEX('13F Data'!C:C, MATCH($B495,'13F Data'!A:A,0)),"No CUSIP Match")</f>
        <v>No CUSIP Match</v>
      </c>
      <c r="G495" s="72" t="str">
        <f aca="false">IFERROR(INDEX('13F Data'!D:D,MATCH($B495,'13F Data'!A:A,0)),"No CUSIP Match")</f>
        <v>No CUSIP Match</v>
      </c>
      <c r="J495" s="73" t="n">
        <f aca="false">$V495</f>
        <v>19200</v>
      </c>
      <c r="K495" s="71" t="str">
        <f aca="false">IFERROR(INDEX('EOD Data'!G:G, MATCH($A495, 'EOD Data'!B:B,0)), "No TKR Match")</f>
        <v>No TKR Match</v>
      </c>
      <c r="L495" s="71" t="str">
        <f aca="false">IFERROR(ROUND($J495*$K495,0),"Error")</f>
        <v>Error</v>
      </c>
      <c r="M495" s="71" t="str">
        <f aca="false">IFERROR(IF(AND($J495&lt;10000,$L495&lt;200000),"Yes","No"),"Error")</f>
        <v>No</v>
      </c>
      <c r="P495" s="42" t="str">
        <f aca="false">IF($N495="SOLE",$J495,"")</f>
        <v/>
      </c>
      <c r="Q495" s="42" t="str">
        <f aca="false">IFERROR(IF($N495="Sole",0,IF(AND($N495="OTR",$R495=0),$J495-$P495,IF(AND($N495="OTR", $R495&gt;0), $J495-$P495-$Q495, ""))),"")</f>
        <v/>
      </c>
      <c r="R495" s="42" t="str">
        <f aca="false">IF($P495=$J495, "0","")</f>
        <v/>
      </c>
      <c r="S495" s="42" t="str">
        <f aca="false">IF(OR(ISBLANK($B495),ISBLANK($C495), ISBLANK($E495), ISBLANK($F495), AND(ISBLANK($G495),ISBLANK($H495)), ISBLANK($I495), ISBLANK($L495), AND(ISBLANK($N495), ISBLANK($O495)), AND(ISBLANK($P495), ISBLANK($Q495), ISBLANK($R495))), "No", "Yes")</f>
        <v>No</v>
      </c>
      <c r="T495" s="42" t="str">
        <f aca="false">SUBSTITUTE($U495," ","")</f>
        <v>704326107</v>
      </c>
      <c r="U495" s="42" t="s">
        <v>637</v>
      </c>
      <c r="V495" s="39" t="n">
        <v>19200</v>
      </c>
    </row>
    <row r="496" customFormat="false" ht="15" hidden="false" customHeight="false" outlineLevel="0" collapsed="false">
      <c r="B496" s="70" t="s">
        <v>639</v>
      </c>
      <c r="C496" s="71" t="str">
        <f aca="false">IFERROR(INDEX('13F Data'!A:A,MATCH($B496,'13F Data'!A:A,0)),"No CUSIP Match")</f>
        <v>No CUSIP Match</v>
      </c>
      <c r="D496" s="71" t="str">
        <f aca="false">IFERROR(IF($B496=$C496,"Yes","No"),"No CUSIP Match")</f>
        <v>No</v>
      </c>
      <c r="E496" s="71"/>
      <c r="F496" s="71" t="str">
        <f aca="false">IFERROR(INDEX('13F Data'!C:C, MATCH($B496,'13F Data'!A:A,0)),"No CUSIP Match")</f>
        <v>No CUSIP Match</v>
      </c>
      <c r="G496" s="72" t="str">
        <f aca="false">IFERROR(INDEX('13F Data'!D:D,MATCH($B496,'13F Data'!A:A,0)),"No CUSIP Match")</f>
        <v>No CUSIP Match</v>
      </c>
      <c r="J496" s="73" t="n">
        <f aca="false">$V496</f>
        <v>1020</v>
      </c>
      <c r="K496" s="71" t="str">
        <f aca="false">IFERROR(INDEX('EOD Data'!G:G, MATCH($A496, 'EOD Data'!B:B,0)), "No TKR Match")</f>
        <v>No TKR Match</v>
      </c>
      <c r="L496" s="71" t="str">
        <f aca="false">IFERROR(ROUND($J496*$K496,0),"Error")</f>
        <v>Error</v>
      </c>
      <c r="M496" s="71" t="str">
        <f aca="false">IFERROR(IF(AND($J496&lt;10000,$L496&lt;200000),"Yes","No"),"Error")</f>
        <v>No</v>
      </c>
      <c r="P496" s="42" t="str">
        <f aca="false">IF($N496="SOLE",$J496,"")</f>
        <v/>
      </c>
      <c r="Q496" s="42" t="str">
        <f aca="false">IFERROR(IF($N496="Sole",0,IF(AND($N496="OTR",$R496=0),$J496-$P496,IF(AND($N496="OTR", $R496&gt;0), $J496-$P496-$Q496, ""))),"")</f>
        <v/>
      </c>
      <c r="R496" s="42" t="str">
        <f aca="false">IF($P496=$J496, "0","")</f>
        <v/>
      </c>
      <c r="S496" s="42" t="str">
        <f aca="false">IF(OR(ISBLANK($B496),ISBLANK($C496), ISBLANK($E496), ISBLANK($F496), AND(ISBLANK($G496),ISBLANK($H496)), ISBLANK($I496), ISBLANK($L496), AND(ISBLANK($N496), ISBLANK($O496)), AND(ISBLANK($P496), ISBLANK($Q496), ISBLANK($R496))), "No", "Yes")</f>
        <v>No</v>
      </c>
      <c r="T496" s="42" t="str">
        <f aca="false">SUBSTITUTE($U496," ","")</f>
        <v>70450Y103</v>
      </c>
      <c r="U496" s="42" t="s">
        <v>639</v>
      </c>
      <c r="V496" s="39" t="n">
        <v>1020</v>
      </c>
    </row>
    <row r="497" customFormat="false" ht="15" hidden="false" customHeight="false" outlineLevel="0" collapsed="false">
      <c r="B497" s="70" t="s">
        <v>639</v>
      </c>
      <c r="C497" s="71" t="str">
        <f aca="false">IFERROR(INDEX('13F Data'!A:A,MATCH($B497,'13F Data'!A:A,0)),"No CUSIP Match")</f>
        <v>No CUSIP Match</v>
      </c>
      <c r="D497" s="71" t="str">
        <f aca="false">IFERROR(IF($B497=$C497,"Yes","No"),"No CUSIP Match")</f>
        <v>No</v>
      </c>
      <c r="E497" s="71"/>
      <c r="F497" s="71" t="str">
        <f aca="false">IFERROR(INDEX('13F Data'!C:C, MATCH($B497,'13F Data'!A:A,0)),"No CUSIP Match")</f>
        <v>No CUSIP Match</v>
      </c>
      <c r="G497" s="72" t="str">
        <f aca="false">IFERROR(INDEX('13F Data'!D:D,MATCH($B497,'13F Data'!A:A,0)),"No CUSIP Match")</f>
        <v>No CUSIP Match</v>
      </c>
      <c r="J497" s="73" t="n">
        <f aca="false">$V497</f>
        <v>3000</v>
      </c>
      <c r="K497" s="71" t="str">
        <f aca="false">IFERROR(INDEX('EOD Data'!G:G, MATCH($A497, 'EOD Data'!B:B,0)), "No TKR Match")</f>
        <v>No TKR Match</v>
      </c>
      <c r="L497" s="71" t="str">
        <f aca="false">IFERROR(ROUND($J497*$K497,0),"Error")</f>
        <v>Error</v>
      </c>
      <c r="M497" s="71" t="str">
        <f aca="false">IFERROR(IF(AND($J497&lt;10000,$L497&lt;200000),"Yes","No"),"Error")</f>
        <v>No</v>
      </c>
      <c r="P497" s="42" t="str">
        <f aca="false">IF($N497="SOLE",$J497,"")</f>
        <v/>
      </c>
      <c r="Q497" s="42" t="str">
        <f aca="false">IFERROR(IF($N497="Sole",0,IF(AND($N497="OTR",$R497=0),$J497-$P497,IF(AND($N497="OTR", $R497&gt;0), $J497-$P497-$Q497, ""))),"")</f>
        <v/>
      </c>
      <c r="R497" s="42" t="str">
        <f aca="false">IF($P497=$J497, "0","")</f>
        <v/>
      </c>
      <c r="S497" s="42" t="str">
        <f aca="false">IF(OR(ISBLANK($B497),ISBLANK($C497), ISBLANK($E497), ISBLANK($F497), AND(ISBLANK($G497),ISBLANK($H497)), ISBLANK($I497), ISBLANK($L497), AND(ISBLANK($N497), ISBLANK($O497)), AND(ISBLANK($P497), ISBLANK($Q497), ISBLANK($R497))), "No", "Yes")</f>
        <v>No</v>
      </c>
      <c r="T497" s="42" t="str">
        <f aca="false">SUBSTITUTE($U497," ","")</f>
        <v>70450Y103</v>
      </c>
      <c r="U497" s="42" t="s">
        <v>639</v>
      </c>
      <c r="V497" s="39" t="n">
        <v>3000</v>
      </c>
    </row>
    <row r="498" customFormat="false" ht="15" hidden="false" customHeight="false" outlineLevel="0" collapsed="false">
      <c r="B498" s="70" t="s">
        <v>639</v>
      </c>
      <c r="C498" s="71" t="str">
        <f aca="false">IFERROR(INDEX('13F Data'!A:A,MATCH($B498,'13F Data'!A:A,0)),"No CUSIP Match")</f>
        <v>No CUSIP Match</v>
      </c>
      <c r="D498" s="71" t="str">
        <f aca="false">IFERROR(IF($B498=$C498,"Yes","No"),"No CUSIP Match")</f>
        <v>No</v>
      </c>
      <c r="E498" s="71"/>
      <c r="F498" s="71" t="str">
        <f aca="false">IFERROR(INDEX('13F Data'!C:C, MATCH($B498,'13F Data'!A:A,0)),"No CUSIP Match")</f>
        <v>No CUSIP Match</v>
      </c>
      <c r="G498" s="72" t="str">
        <f aca="false">IFERROR(INDEX('13F Data'!D:D,MATCH($B498,'13F Data'!A:A,0)),"No CUSIP Match")</f>
        <v>No CUSIP Match</v>
      </c>
      <c r="J498" s="73" t="n">
        <f aca="false">$V498</f>
        <v>3000</v>
      </c>
      <c r="K498" s="71" t="str">
        <f aca="false">IFERROR(INDEX('EOD Data'!G:G, MATCH($A498, 'EOD Data'!B:B,0)), "No TKR Match")</f>
        <v>No TKR Match</v>
      </c>
      <c r="L498" s="71" t="str">
        <f aca="false">IFERROR(ROUND($J498*$K498,0),"Error")</f>
        <v>Error</v>
      </c>
      <c r="M498" s="71" t="str">
        <f aca="false">IFERROR(IF(AND($J498&lt;10000,$L498&lt;200000),"Yes","No"),"Error")</f>
        <v>No</v>
      </c>
      <c r="P498" s="42" t="str">
        <f aca="false">IF($N498="SOLE",$J498,"")</f>
        <v/>
      </c>
      <c r="Q498" s="42" t="str">
        <f aca="false">IFERROR(IF($N498="Sole",0,IF(AND($N498="OTR",$R498=0),$J498-$P498,IF(AND($N498="OTR", $R498&gt;0), $J498-$P498-$Q498, ""))),"")</f>
        <v/>
      </c>
      <c r="R498" s="42" t="str">
        <f aca="false">IF($P498=$J498, "0","")</f>
        <v/>
      </c>
      <c r="S498" s="42" t="str">
        <f aca="false">IF(OR(ISBLANK($B498),ISBLANK($C498), ISBLANK($E498), ISBLANK($F498), AND(ISBLANK($G498),ISBLANK($H498)), ISBLANK($I498), ISBLANK($L498), AND(ISBLANK($N498), ISBLANK($O498)), AND(ISBLANK($P498), ISBLANK($Q498), ISBLANK($R498))), "No", "Yes")</f>
        <v>No</v>
      </c>
      <c r="T498" s="42" t="str">
        <f aca="false">SUBSTITUTE($U498," ","")</f>
        <v>70450Y103</v>
      </c>
      <c r="U498" s="42" t="s">
        <v>639</v>
      </c>
      <c r="V498" s="39" t="n">
        <v>3000</v>
      </c>
    </row>
    <row r="499" customFormat="false" ht="15" hidden="false" customHeight="false" outlineLevel="0" collapsed="false">
      <c r="B499" s="70" t="s">
        <v>641</v>
      </c>
      <c r="C499" s="71" t="str">
        <f aca="false">IFERROR(INDEX('13F Data'!A:A,MATCH($B499,'13F Data'!A:A,0)),"No CUSIP Match")</f>
        <v>No CUSIP Match</v>
      </c>
      <c r="D499" s="71" t="str">
        <f aca="false">IFERROR(IF($B499=$C499,"Yes","No"),"No CUSIP Match")</f>
        <v>No</v>
      </c>
      <c r="E499" s="71"/>
      <c r="F499" s="71" t="str">
        <f aca="false">IFERROR(INDEX('13F Data'!C:C, MATCH($B499,'13F Data'!A:A,0)),"No CUSIP Match")</f>
        <v>No CUSIP Match</v>
      </c>
      <c r="G499" s="72" t="str">
        <f aca="false">IFERROR(INDEX('13F Data'!D:D,MATCH($B499,'13F Data'!A:A,0)),"No CUSIP Match")</f>
        <v>No CUSIP Match</v>
      </c>
      <c r="J499" s="73" t="n">
        <f aca="false">$V499</f>
        <v>3300</v>
      </c>
      <c r="K499" s="71" t="str">
        <f aca="false">IFERROR(INDEX('EOD Data'!G:G, MATCH($A499, 'EOD Data'!B:B,0)), "No TKR Match")</f>
        <v>No TKR Match</v>
      </c>
      <c r="L499" s="71" t="str">
        <f aca="false">IFERROR(ROUND($J499*$K499,0),"Error")</f>
        <v>Error</v>
      </c>
      <c r="M499" s="71" t="str">
        <f aca="false">IFERROR(IF(AND($J499&lt;10000,$L499&lt;200000),"Yes","No"),"Error")</f>
        <v>No</v>
      </c>
      <c r="P499" s="42" t="str">
        <f aca="false">IF($N499="SOLE",$J499,"")</f>
        <v/>
      </c>
      <c r="Q499" s="42" t="str">
        <f aca="false">IFERROR(IF($N499="Sole",0,IF(AND($N499="OTR",$R499=0),$J499-$P499,IF(AND($N499="OTR", $R499&gt;0), $J499-$P499-$Q499, ""))),"")</f>
        <v/>
      </c>
      <c r="R499" s="42" t="str">
        <f aca="false">IF($P499=$J499, "0","")</f>
        <v/>
      </c>
      <c r="S499" s="42" t="str">
        <f aca="false">IF(OR(ISBLANK($B499),ISBLANK($C499), ISBLANK($E499), ISBLANK($F499), AND(ISBLANK($G499),ISBLANK($H499)), ISBLANK($I499), ISBLANK($L499), AND(ISBLANK($N499), ISBLANK($O499)), AND(ISBLANK($P499), ISBLANK($Q499), ISBLANK($R499))), "No", "Yes")</f>
        <v>No</v>
      </c>
      <c r="T499" s="42" t="str">
        <f aca="false">SUBSTITUTE($U499," ","")</f>
        <v>722304102</v>
      </c>
      <c r="U499" s="42" t="s">
        <v>641</v>
      </c>
      <c r="V499" s="39" t="n">
        <v>3300</v>
      </c>
    </row>
    <row r="500" customFormat="false" ht="15" hidden="false" customHeight="false" outlineLevel="0" collapsed="false">
      <c r="B500" s="70" t="s">
        <v>641</v>
      </c>
      <c r="C500" s="71" t="str">
        <f aca="false">IFERROR(INDEX('13F Data'!A:A,MATCH($B500,'13F Data'!A:A,0)),"No CUSIP Match")</f>
        <v>No CUSIP Match</v>
      </c>
      <c r="D500" s="71" t="str">
        <f aca="false">IFERROR(IF($B500=$C500,"Yes","No"),"No CUSIP Match")</f>
        <v>No</v>
      </c>
      <c r="E500" s="71"/>
      <c r="F500" s="71" t="str">
        <f aca="false">IFERROR(INDEX('13F Data'!C:C, MATCH($B500,'13F Data'!A:A,0)),"No CUSIP Match")</f>
        <v>No CUSIP Match</v>
      </c>
      <c r="G500" s="72" t="str">
        <f aca="false">IFERROR(INDEX('13F Data'!D:D,MATCH($B500,'13F Data'!A:A,0)),"No CUSIP Match")</f>
        <v>No CUSIP Match</v>
      </c>
      <c r="J500" s="73" t="n">
        <f aca="false">$V500</f>
        <v>3300</v>
      </c>
      <c r="K500" s="71" t="str">
        <f aca="false">IFERROR(INDEX('EOD Data'!G:G, MATCH($A500, 'EOD Data'!B:B,0)), "No TKR Match")</f>
        <v>No TKR Match</v>
      </c>
      <c r="L500" s="71" t="str">
        <f aca="false">IFERROR(ROUND($J500*$K500,0),"Error")</f>
        <v>Error</v>
      </c>
      <c r="M500" s="71" t="str">
        <f aca="false">IFERROR(IF(AND($J500&lt;10000,$L500&lt;200000),"Yes","No"),"Error")</f>
        <v>No</v>
      </c>
      <c r="P500" s="42" t="str">
        <f aca="false">IF($N500="SOLE",$J500,"")</f>
        <v/>
      </c>
      <c r="Q500" s="42" t="str">
        <f aca="false">IFERROR(IF($N500="Sole",0,IF(AND($N500="OTR",$R500=0),$J500-$P500,IF(AND($N500="OTR", $R500&gt;0), $J500-$P500-$Q500, ""))),"")</f>
        <v/>
      </c>
      <c r="R500" s="42" t="str">
        <f aca="false">IF($P500=$J500, "0","")</f>
        <v/>
      </c>
      <c r="S500" s="42" t="str">
        <f aca="false">IF(OR(ISBLANK($B500),ISBLANK($C500), ISBLANK($E500), ISBLANK($F500), AND(ISBLANK($G500),ISBLANK($H500)), ISBLANK($I500), ISBLANK($L500), AND(ISBLANK($N500), ISBLANK($O500)), AND(ISBLANK($P500), ISBLANK($Q500), ISBLANK($R500))), "No", "Yes")</f>
        <v>No</v>
      </c>
      <c r="T500" s="42" t="str">
        <f aca="false">SUBSTITUTE($U500," ","")</f>
        <v>722304102</v>
      </c>
      <c r="U500" s="42" t="s">
        <v>641</v>
      </c>
      <c r="V500" s="39" t="n">
        <v>3300</v>
      </c>
    </row>
    <row r="501" customFormat="false" ht="15" hidden="false" customHeight="false" outlineLevel="0" collapsed="false">
      <c r="B501" s="70" t="s">
        <v>643</v>
      </c>
      <c r="C501" s="71" t="str">
        <f aca="false">IFERROR(INDEX('13F Data'!A:A,MATCH($B501,'13F Data'!A:A,0)),"No CUSIP Match")</f>
        <v>No CUSIP Match</v>
      </c>
      <c r="D501" s="71" t="str">
        <f aca="false">IFERROR(IF($B501=$C501,"Yes","No"),"No CUSIP Match")</f>
        <v>No</v>
      </c>
      <c r="E501" s="71"/>
      <c r="F501" s="71" t="str">
        <f aca="false">IFERROR(INDEX('13F Data'!C:C, MATCH($B501,'13F Data'!A:A,0)),"No CUSIP Match")</f>
        <v>No CUSIP Match</v>
      </c>
      <c r="G501" s="72" t="str">
        <f aca="false">IFERROR(INDEX('13F Data'!D:D,MATCH($B501,'13F Data'!A:A,0)),"No CUSIP Match")</f>
        <v>No CUSIP Match</v>
      </c>
      <c r="J501" s="73" t="n">
        <f aca="false">$V501</f>
        <v>24800000</v>
      </c>
      <c r="K501" s="71" t="str">
        <f aca="false">IFERROR(INDEX('EOD Data'!G:G, MATCH($A501, 'EOD Data'!B:B,0)), "No TKR Match")</f>
        <v>No TKR Match</v>
      </c>
      <c r="L501" s="71" t="str">
        <f aca="false">IFERROR(ROUND($J501*$K501,0),"Error")</f>
        <v>Error</v>
      </c>
      <c r="M501" s="71" t="str">
        <f aca="false">IFERROR(IF(AND($J501&lt;10000,$L501&lt;200000),"Yes","No"),"Error")</f>
        <v>No</v>
      </c>
      <c r="P501" s="42" t="str">
        <f aca="false">IF($N501="SOLE",$J501,"")</f>
        <v/>
      </c>
      <c r="Q501" s="42" t="str">
        <f aca="false">IFERROR(IF($N501="Sole",0,IF(AND($N501="OTR",$R501=0),$J501-$P501,IF(AND($N501="OTR", $R501&gt;0), $J501-$P501-$Q501, ""))),"")</f>
        <v/>
      </c>
      <c r="R501" s="42" t="str">
        <f aca="false">IF($P501=$J501, "0","")</f>
        <v/>
      </c>
      <c r="S501" s="42" t="str">
        <f aca="false">IF(OR(ISBLANK($B501),ISBLANK($C501), ISBLANK($E501), ISBLANK($F501), AND(ISBLANK($G501),ISBLANK($H501)), ISBLANK($I501), ISBLANK($L501), AND(ISBLANK($N501), ISBLANK($O501)), AND(ISBLANK($P501), ISBLANK($Q501), ISBLANK($R501))), "No", "Yes")</f>
        <v>No</v>
      </c>
      <c r="T501" s="42" t="str">
        <f aca="false">SUBSTITUTE($U501," ","")</f>
        <v>704551AD2</v>
      </c>
      <c r="U501" s="42" t="s">
        <v>643</v>
      </c>
      <c r="V501" s="39" t="n">
        <v>24800000</v>
      </c>
    </row>
    <row r="502" customFormat="false" ht="15" hidden="false" customHeight="false" outlineLevel="0" collapsed="false">
      <c r="B502" s="70" t="s">
        <v>645</v>
      </c>
      <c r="C502" s="71" t="str">
        <f aca="false">IFERROR(INDEX('13F Data'!A:A,MATCH($B502,'13F Data'!A:A,0)),"No CUSIP Match")</f>
        <v>No CUSIP Match</v>
      </c>
      <c r="D502" s="71" t="str">
        <f aca="false">IFERROR(IF($B502=$C502,"Yes","No"),"No CUSIP Match")</f>
        <v>No</v>
      </c>
      <c r="E502" s="71"/>
      <c r="F502" s="71" t="str">
        <f aca="false">IFERROR(INDEX('13F Data'!C:C, MATCH($B502,'13F Data'!A:A,0)),"No CUSIP Match")</f>
        <v>No CUSIP Match</v>
      </c>
      <c r="G502" s="72" t="str">
        <f aca="false">IFERROR(INDEX('13F Data'!D:D,MATCH($B502,'13F Data'!A:A,0)),"No CUSIP Match")</f>
        <v>No CUSIP Match</v>
      </c>
      <c r="J502" s="73" t="n">
        <f aca="false">$V502</f>
        <v>102007</v>
      </c>
      <c r="K502" s="71" t="str">
        <f aca="false">IFERROR(INDEX('EOD Data'!G:G, MATCH($A502, 'EOD Data'!B:B,0)), "No TKR Match")</f>
        <v>No TKR Match</v>
      </c>
      <c r="L502" s="71" t="str">
        <f aca="false">IFERROR(ROUND($J502*$K502,0),"Error")</f>
        <v>Error</v>
      </c>
      <c r="M502" s="71" t="str">
        <f aca="false">IFERROR(IF(AND($J502&lt;10000,$L502&lt;200000),"Yes","No"),"Error")</f>
        <v>No</v>
      </c>
      <c r="P502" s="42" t="str">
        <f aca="false">IF($N502="SOLE",$J502,"")</f>
        <v/>
      </c>
      <c r="Q502" s="42" t="str">
        <f aca="false">IFERROR(IF($N502="Sole",0,IF(AND($N502="OTR",$R502=0),$J502-$P502,IF(AND($N502="OTR", $R502&gt;0), $J502-$P502-$Q502, ""))),"")</f>
        <v/>
      </c>
      <c r="R502" s="42" t="str">
        <f aca="false">IF($P502=$J502, "0","")</f>
        <v/>
      </c>
      <c r="S502" s="42" t="str">
        <f aca="false">IF(OR(ISBLANK($B502),ISBLANK($C502), ISBLANK($E502), ISBLANK($F502), AND(ISBLANK($G502),ISBLANK($H502)), ISBLANK($I502), ISBLANK($L502), AND(ISBLANK($N502), ISBLANK($O502)), AND(ISBLANK($P502), ISBLANK($Q502), ISBLANK($R502))), "No", "Yes")</f>
        <v>No</v>
      </c>
      <c r="T502" s="42" t="str">
        <f aca="false">SUBSTITUTE($U502," ","")</f>
        <v>70614W100</v>
      </c>
      <c r="U502" s="42" t="s">
        <v>645</v>
      </c>
      <c r="V502" s="39" t="n">
        <v>102007</v>
      </c>
    </row>
    <row r="503" customFormat="false" ht="15" hidden="false" customHeight="false" outlineLevel="0" collapsed="false">
      <c r="B503" s="70" t="s">
        <v>647</v>
      </c>
      <c r="C503" s="71" t="str">
        <f aca="false">IFERROR(INDEX('13F Data'!A:A,MATCH($B503,'13F Data'!A:A,0)),"No CUSIP Match")</f>
        <v>No CUSIP Match</v>
      </c>
      <c r="D503" s="71" t="str">
        <f aca="false">IFERROR(IF($B503=$C503,"Yes","No"),"No CUSIP Match")</f>
        <v>No</v>
      </c>
      <c r="E503" s="71"/>
      <c r="F503" s="71" t="str">
        <f aca="false">IFERROR(INDEX('13F Data'!C:C, MATCH($B503,'13F Data'!A:A,0)),"No CUSIP Match")</f>
        <v>No CUSIP Match</v>
      </c>
      <c r="G503" s="72" t="str">
        <f aca="false">IFERROR(INDEX('13F Data'!D:D,MATCH($B503,'13F Data'!A:A,0)),"No CUSIP Match")</f>
        <v>No CUSIP Match</v>
      </c>
      <c r="J503" s="73" t="n">
        <f aca="false">$V503</f>
        <v>151893</v>
      </c>
      <c r="K503" s="71" t="str">
        <f aca="false">IFERROR(INDEX('EOD Data'!G:G, MATCH($A503, 'EOD Data'!B:B,0)), "No TKR Match")</f>
        <v>No TKR Match</v>
      </c>
      <c r="L503" s="71" t="str">
        <f aca="false">IFERROR(ROUND($J503*$K503,0),"Error")</f>
        <v>Error</v>
      </c>
      <c r="M503" s="71" t="str">
        <f aca="false">IFERROR(IF(AND($J503&lt;10000,$L503&lt;200000),"Yes","No"),"Error")</f>
        <v>No</v>
      </c>
      <c r="P503" s="42" t="str">
        <f aca="false">IF($N503="SOLE",$J503,"")</f>
        <v/>
      </c>
      <c r="Q503" s="42" t="str">
        <f aca="false">IFERROR(IF($N503="Sole",0,IF(AND($N503="OTR",$R503=0),$J503-$P503,IF(AND($N503="OTR", $R503&gt;0), $J503-$P503-$Q503, ""))),"")</f>
        <v/>
      </c>
      <c r="R503" s="42" t="str">
        <f aca="false">IF($P503=$J503, "0","")</f>
        <v/>
      </c>
      <c r="S503" s="42" t="str">
        <f aca="false">IF(OR(ISBLANK($B503),ISBLANK($C503), ISBLANK($E503), ISBLANK($F503), AND(ISBLANK($G503),ISBLANK($H503)), ISBLANK($I503), ISBLANK($L503), AND(ISBLANK($N503), ISBLANK($O503)), AND(ISBLANK($P503), ISBLANK($Q503), ISBLANK($R503))), "No", "Yes")</f>
        <v>No</v>
      </c>
      <c r="T503" s="42" t="str">
        <f aca="false">SUBSTITUTE($U503," ","")</f>
        <v>707569109</v>
      </c>
      <c r="U503" s="42" t="s">
        <v>647</v>
      </c>
      <c r="V503" s="39" t="n">
        <v>151893</v>
      </c>
    </row>
    <row r="504" customFormat="false" ht="15" hidden="false" customHeight="false" outlineLevel="0" collapsed="false">
      <c r="B504" s="70" t="s">
        <v>649</v>
      </c>
      <c r="C504" s="71" t="str">
        <f aca="false">IFERROR(INDEX('13F Data'!A:A,MATCH($B504,'13F Data'!A:A,0)),"No CUSIP Match")</f>
        <v>No CUSIP Match</v>
      </c>
      <c r="D504" s="71" t="str">
        <f aca="false">IFERROR(IF($B504=$C504,"Yes","No"),"No CUSIP Match")</f>
        <v>No</v>
      </c>
      <c r="E504" s="71"/>
      <c r="F504" s="71" t="str">
        <f aca="false">IFERROR(INDEX('13F Data'!C:C, MATCH($B504,'13F Data'!A:A,0)),"No CUSIP Match")</f>
        <v>No CUSIP Match</v>
      </c>
      <c r="G504" s="72" t="str">
        <f aca="false">IFERROR(INDEX('13F Data'!D:D,MATCH($B504,'13F Data'!A:A,0)),"No CUSIP Match")</f>
        <v>No CUSIP Match</v>
      </c>
      <c r="J504" s="73" t="n">
        <f aca="false">$V504</f>
        <v>105</v>
      </c>
      <c r="K504" s="71" t="str">
        <f aca="false">IFERROR(INDEX('EOD Data'!G:G, MATCH($A504, 'EOD Data'!B:B,0)), "No TKR Match")</f>
        <v>No TKR Match</v>
      </c>
      <c r="L504" s="71" t="str">
        <f aca="false">IFERROR(ROUND($J504*$K504,0),"Error")</f>
        <v>Error</v>
      </c>
      <c r="M504" s="71" t="str">
        <f aca="false">IFERROR(IF(AND($J504&lt;10000,$L504&lt;200000),"Yes","No"),"Error")</f>
        <v>No</v>
      </c>
      <c r="P504" s="42" t="str">
        <f aca="false">IF($N504="SOLE",$J504,"")</f>
        <v/>
      </c>
      <c r="Q504" s="42" t="str">
        <f aca="false">IFERROR(IF($N504="Sole",0,IF(AND($N504="OTR",$R504=0),$J504-$P504,IF(AND($N504="OTR", $R504&gt;0), $J504-$P504-$Q504, ""))),"")</f>
        <v/>
      </c>
      <c r="R504" s="42" t="str">
        <f aca="false">IF($P504=$J504, "0","")</f>
        <v/>
      </c>
      <c r="S504" s="42" t="str">
        <f aca="false">IF(OR(ISBLANK($B504),ISBLANK($C504), ISBLANK($E504), ISBLANK($F504), AND(ISBLANK($G504),ISBLANK($H504)), ISBLANK($I504), ISBLANK($L504), AND(ISBLANK($N504), ISBLANK($O504)), AND(ISBLANK($P504), ISBLANK($Q504), ISBLANK($R504))), "No", "Yes")</f>
        <v>No</v>
      </c>
      <c r="T504" s="42" t="str">
        <f aca="false">SUBSTITUTE($U504," ","")</f>
        <v>713448108</v>
      </c>
      <c r="U504" s="42" t="s">
        <v>649</v>
      </c>
      <c r="V504" s="39" t="n">
        <v>105</v>
      </c>
    </row>
    <row r="505" customFormat="false" ht="15" hidden="false" customHeight="false" outlineLevel="0" collapsed="false">
      <c r="B505" s="70" t="s">
        <v>649</v>
      </c>
      <c r="C505" s="71" t="str">
        <f aca="false">IFERROR(INDEX('13F Data'!A:A,MATCH($B505,'13F Data'!A:A,0)),"No CUSIP Match")</f>
        <v>No CUSIP Match</v>
      </c>
      <c r="D505" s="71" t="str">
        <f aca="false">IFERROR(IF($B505=$C505,"Yes","No"),"No CUSIP Match")</f>
        <v>No</v>
      </c>
      <c r="E505" s="71"/>
      <c r="F505" s="71" t="str">
        <f aca="false">IFERROR(INDEX('13F Data'!C:C, MATCH($B505,'13F Data'!A:A,0)),"No CUSIP Match")</f>
        <v>No CUSIP Match</v>
      </c>
      <c r="G505" s="72" t="str">
        <f aca="false">IFERROR(INDEX('13F Data'!D:D,MATCH($B505,'13F Data'!A:A,0)),"No CUSIP Match")</f>
        <v>No CUSIP Match</v>
      </c>
      <c r="J505" s="73" t="n">
        <f aca="false">$V505</f>
        <v>5100</v>
      </c>
      <c r="K505" s="71" t="str">
        <f aca="false">IFERROR(INDEX('EOD Data'!G:G, MATCH($A505, 'EOD Data'!B:B,0)), "No TKR Match")</f>
        <v>No TKR Match</v>
      </c>
      <c r="L505" s="71" t="str">
        <f aca="false">IFERROR(ROUND($J505*$K505,0),"Error")</f>
        <v>Error</v>
      </c>
      <c r="M505" s="71" t="str">
        <f aca="false">IFERROR(IF(AND($J505&lt;10000,$L505&lt;200000),"Yes","No"),"Error")</f>
        <v>No</v>
      </c>
      <c r="P505" s="42" t="str">
        <f aca="false">IF($N505="SOLE",$J505,"")</f>
        <v/>
      </c>
      <c r="Q505" s="42" t="str">
        <f aca="false">IFERROR(IF($N505="Sole",0,IF(AND($N505="OTR",$R505=0),$J505-$P505,IF(AND($N505="OTR", $R505&gt;0), $J505-$P505-$Q505, ""))),"")</f>
        <v/>
      </c>
      <c r="R505" s="42" t="str">
        <f aca="false">IF($P505=$J505, "0","")</f>
        <v/>
      </c>
      <c r="S505" s="42" t="str">
        <f aca="false">IF(OR(ISBLANK($B505),ISBLANK($C505), ISBLANK($E505), ISBLANK($F505), AND(ISBLANK($G505),ISBLANK($H505)), ISBLANK($I505), ISBLANK($L505), AND(ISBLANK($N505), ISBLANK($O505)), AND(ISBLANK($P505), ISBLANK($Q505), ISBLANK($R505))), "No", "Yes")</f>
        <v>No</v>
      </c>
      <c r="T505" s="42" t="str">
        <f aca="false">SUBSTITUTE($U505," ","")</f>
        <v>713448108</v>
      </c>
      <c r="U505" s="42" t="s">
        <v>649</v>
      </c>
      <c r="V505" s="39" t="n">
        <v>5100</v>
      </c>
    </row>
    <row r="506" customFormat="false" ht="15" hidden="false" customHeight="false" outlineLevel="0" collapsed="false">
      <c r="B506" s="70" t="s">
        <v>649</v>
      </c>
      <c r="C506" s="71" t="str">
        <f aca="false">IFERROR(INDEX('13F Data'!A:A,MATCH($B506,'13F Data'!A:A,0)),"No CUSIP Match")</f>
        <v>No CUSIP Match</v>
      </c>
      <c r="D506" s="71" t="str">
        <f aca="false">IFERROR(IF($B506=$C506,"Yes","No"),"No CUSIP Match")</f>
        <v>No</v>
      </c>
      <c r="E506" s="71"/>
      <c r="F506" s="71" t="str">
        <f aca="false">IFERROR(INDEX('13F Data'!C:C, MATCH($B506,'13F Data'!A:A,0)),"No CUSIP Match")</f>
        <v>No CUSIP Match</v>
      </c>
      <c r="G506" s="72" t="str">
        <f aca="false">IFERROR(INDEX('13F Data'!D:D,MATCH($B506,'13F Data'!A:A,0)),"No CUSIP Match")</f>
        <v>No CUSIP Match</v>
      </c>
      <c r="J506" s="73" t="n">
        <f aca="false">$V506</f>
        <v>1500</v>
      </c>
      <c r="K506" s="71" t="str">
        <f aca="false">IFERROR(INDEX('EOD Data'!G:G, MATCH($A506, 'EOD Data'!B:B,0)), "No TKR Match")</f>
        <v>No TKR Match</v>
      </c>
      <c r="L506" s="71" t="str">
        <f aca="false">IFERROR(ROUND($J506*$K506,0),"Error")</f>
        <v>Error</v>
      </c>
      <c r="M506" s="71" t="str">
        <f aca="false">IFERROR(IF(AND($J506&lt;10000,$L506&lt;200000),"Yes","No"),"Error")</f>
        <v>No</v>
      </c>
      <c r="P506" s="42" t="str">
        <f aca="false">IF($N506="SOLE",$J506,"")</f>
        <v/>
      </c>
      <c r="Q506" s="42" t="str">
        <f aca="false">IFERROR(IF($N506="Sole",0,IF(AND($N506="OTR",$R506=0),$J506-$P506,IF(AND($N506="OTR", $R506&gt;0), $J506-$P506-$Q506, ""))),"")</f>
        <v/>
      </c>
      <c r="R506" s="42" t="str">
        <f aca="false">IF($P506=$J506, "0","")</f>
        <v/>
      </c>
      <c r="S506" s="42" t="str">
        <f aca="false">IF(OR(ISBLANK($B506),ISBLANK($C506), ISBLANK($E506), ISBLANK($F506), AND(ISBLANK($G506),ISBLANK($H506)), ISBLANK($I506), ISBLANK($L506), AND(ISBLANK($N506), ISBLANK($O506)), AND(ISBLANK($P506), ISBLANK($Q506), ISBLANK($R506))), "No", "Yes")</f>
        <v>No</v>
      </c>
      <c r="T506" s="42" t="str">
        <f aca="false">SUBSTITUTE($U506," ","")</f>
        <v>713448108</v>
      </c>
      <c r="U506" s="42" t="s">
        <v>649</v>
      </c>
      <c r="V506" s="39" t="n">
        <v>1500</v>
      </c>
    </row>
    <row r="507" customFormat="false" ht="15" hidden="false" customHeight="false" outlineLevel="0" collapsed="false">
      <c r="B507" s="70" t="s">
        <v>651</v>
      </c>
      <c r="C507" s="71" t="str">
        <f aca="false">IFERROR(INDEX('13F Data'!A:A,MATCH($B507,'13F Data'!A:A,0)),"No CUSIP Match")</f>
        <v>No CUSIP Match</v>
      </c>
      <c r="D507" s="71" t="str">
        <f aca="false">IFERROR(IF($B507=$C507,"Yes","No"),"No CUSIP Match")</f>
        <v>No</v>
      </c>
      <c r="E507" s="71"/>
      <c r="F507" s="71" t="str">
        <f aca="false">IFERROR(INDEX('13F Data'!C:C, MATCH($B507,'13F Data'!A:A,0)),"No CUSIP Match")</f>
        <v>No CUSIP Match</v>
      </c>
      <c r="G507" s="72" t="str">
        <f aca="false">IFERROR(INDEX('13F Data'!D:D,MATCH($B507,'13F Data'!A:A,0)),"No CUSIP Match")</f>
        <v>No CUSIP Match</v>
      </c>
      <c r="J507" s="73" t="n">
        <f aca="false">$V507</f>
        <v>14500000</v>
      </c>
      <c r="K507" s="71" t="str">
        <f aca="false">IFERROR(INDEX('EOD Data'!G:G, MATCH($A507, 'EOD Data'!B:B,0)), "No TKR Match")</f>
        <v>No TKR Match</v>
      </c>
      <c r="L507" s="71" t="str">
        <f aca="false">IFERROR(ROUND($J507*$K507,0),"Error")</f>
        <v>Error</v>
      </c>
      <c r="M507" s="71" t="str">
        <f aca="false">IFERROR(IF(AND($J507&lt;10000,$L507&lt;200000),"Yes","No"),"Error")</f>
        <v>No</v>
      </c>
      <c r="P507" s="42" t="str">
        <f aca="false">IF($N507="SOLE",$J507,"")</f>
        <v/>
      </c>
      <c r="Q507" s="42" t="str">
        <f aca="false">IFERROR(IF($N507="Sole",0,IF(AND($N507="OTR",$R507=0),$J507-$P507,IF(AND($N507="OTR", $R507&gt;0), $J507-$P507-$Q507, ""))),"")</f>
        <v/>
      </c>
      <c r="R507" s="42" t="str">
        <f aca="false">IF($P507=$J507, "0","")</f>
        <v/>
      </c>
      <c r="S507" s="42" t="str">
        <f aca="false">IF(OR(ISBLANK($B507),ISBLANK($C507), ISBLANK($E507), ISBLANK($F507), AND(ISBLANK($G507),ISBLANK($H507)), ISBLANK($I507), ISBLANK($L507), AND(ISBLANK($N507), ISBLANK($O507)), AND(ISBLANK($P507), ISBLANK($Q507), ISBLANK($R507))), "No", "Yes")</f>
        <v>No</v>
      </c>
      <c r="T507" s="42" t="str">
        <f aca="false">SUBSTITUTE($U507," ","")</f>
        <v>71375UAF8</v>
      </c>
      <c r="U507" s="42" t="s">
        <v>651</v>
      </c>
      <c r="V507" s="39" t="n">
        <v>14500000</v>
      </c>
    </row>
    <row r="508" customFormat="false" ht="15" hidden="false" customHeight="false" outlineLevel="0" collapsed="false">
      <c r="B508" s="70" t="s">
        <v>653</v>
      </c>
      <c r="C508" s="71" t="str">
        <f aca="false">IFERROR(INDEX('13F Data'!A:A,MATCH($B508,'13F Data'!A:A,0)),"No CUSIP Match")</f>
        <v>No CUSIP Match</v>
      </c>
      <c r="D508" s="71" t="str">
        <f aca="false">IFERROR(IF($B508=$C508,"Yes","No"),"No CUSIP Match")</f>
        <v>No</v>
      </c>
      <c r="E508" s="71"/>
      <c r="F508" s="71" t="str">
        <f aca="false">IFERROR(INDEX('13F Data'!C:C, MATCH($B508,'13F Data'!A:A,0)),"No CUSIP Match")</f>
        <v>No CUSIP Match</v>
      </c>
      <c r="G508" s="72" t="str">
        <f aca="false">IFERROR(INDEX('13F Data'!D:D,MATCH($B508,'13F Data'!A:A,0)),"No CUSIP Match")</f>
        <v>No CUSIP Match</v>
      </c>
      <c r="J508" s="73" t="n">
        <f aca="false">$V508</f>
        <v>3916300</v>
      </c>
      <c r="K508" s="71" t="str">
        <f aca="false">IFERROR(INDEX('EOD Data'!G:G, MATCH($A508, 'EOD Data'!B:B,0)), "No TKR Match")</f>
        <v>No TKR Match</v>
      </c>
      <c r="L508" s="71" t="str">
        <f aca="false">IFERROR(ROUND($J508*$K508,0),"Error")</f>
        <v>Error</v>
      </c>
      <c r="M508" s="71" t="str">
        <f aca="false">IFERROR(IF(AND($J508&lt;10000,$L508&lt;200000),"Yes","No"),"Error")</f>
        <v>No</v>
      </c>
      <c r="P508" s="42" t="str">
        <f aca="false">IF($N508="SOLE",$J508,"")</f>
        <v/>
      </c>
      <c r="Q508" s="42" t="str">
        <f aca="false">IFERROR(IF($N508="Sole",0,IF(AND($N508="OTR",$R508=0),$J508-$P508,IF(AND($N508="OTR", $R508&gt;0), $J508-$P508-$Q508, ""))),"")</f>
        <v/>
      </c>
      <c r="R508" s="42" t="str">
        <f aca="false">IF($P508=$J508, "0","")</f>
        <v/>
      </c>
      <c r="S508" s="42" t="str">
        <f aca="false">IF(OR(ISBLANK($B508),ISBLANK($C508), ISBLANK($E508), ISBLANK($F508), AND(ISBLANK($G508),ISBLANK($H508)), ISBLANK($I508), ISBLANK($L508), AND(ISBLANK($N508), ISBLANK($O508)), AND(ISBLANK($P508), ISBLANK($Q508), ISBLANK($R508))), "No", "Yes")</f>
        <v>No</v>
      </c>
      <c r="T508" s="42" t="str">
        <f aca="false">SUBSTITUTE($U508," ","")</f>
        <v>717081103</v>
      </c>
      <c r="U508" s="42" t="s">
        <v>653</v>
      </c>
      <c r="V508" s="39" t="n">
        <v>3916300</v>
      </c>
    </row>
    <row r="509" customFormat="false" ht="15" hidden="false" customHeight="false" outlineLevel="0" collapsed="false">
      <c r="B509" s="70" t="s">
        <v>653</v>
      </c>
      <c r="C509" s="71" t="str">
        <f aca="false">IFERROR(INDEX('13F Data'!A:A,MATCH($B509,'13F Data'!A:A,0)),"No CUSIP Match")</f>
        <v>No CUSIP Match</v>
      </c>
      <c r="D509" s="71" t="str">
        <f aca="false">IFERROR(IF($B509=$C509,"Yes","No"),"No CUSIP Match")</f>
        <v>No</v>
      </c>
      <c r="E509" s="71"/>
      <c r="F509" s="71" t="str">
        <f aca="false">IFERROR(INDEX('13F Data'!C:C, MATCH($B509,'13F Data'!A:A,0)),"No CUSIP Match")</f>
        <v>No CUSIP Match</v>
      </c>
      <c r="G509" s="72" t="str">
        <f aca="false">IFERROR(INDEX('13F Data'!D:D,MATCH($B509,'13F Data'!A:A,0)),"No CUSIP Match")</f>
        <v>No CUSIP Match</v>
      </c>
      <c r="J509" s="73" t="n">
        <f aca="false">$V509</f>
        <v>6300</v>
      </c>
      <c r="K509" s="71" t="str">
        <f aca="false">IFERROR(INDEX('EOD Data'!G:G, MATCH($A509, 'EOD Data'!B:B,0)), "No TKR Match")</f>
        <v>No TKR Match</v>
      </c>
      <c r="L509" s="71" t="str">
        <f aca="false">IFERROR(ROUND($J509*$K509,0),"Error")</f>
        <v>Error</v>
      </c>
      <c r="M509" s="71" t="str">
        <f aca="false">IFERROR(IF(AND($J509&lt;10000,$L509&lt;200000),"Yes","No"),"Error")</f>
        <v>No</v>
      </c>
      <c r="P509" s="42" t="str">
        <f aca="false">IF($N509="SOLE",$J509,"")</f>
        <v/>
      </c>
      <c r="Q509" s="42" t="str">
        <f aca="false">IFERROR(IF($N509="Sole",0,IF(AND($N509="OTR",$R509=0),$J509-$P509,IF(AND($N509="OTR", $R509&gt;0), $J509-$P509-$Q509, ""))),"")</f>
        <v/>
      </c>
      <c r="R509" s="42" t="str">
        <f aca="false">IF($P509=$J509, "0","")</f>
        <v/>
      </c>
      <c r="S509" s="42" t="str">
        <f aca="false">IF(OR(ISBLANK($B509),ISBLANK($C509), ISBLANK($E509), ISBLANK($F509), AND(ISBLANK($G509),ISBLANK($H509)), ISBLANK($I509), ISBLANK($L509), AND(ISBLANK($N509), ISBLANK($O509)), AND(ISBLANK($P509), ISBLANK($Q509), ISBLANK($R509))), "No", "Yes")</f>
        <v>No</v>
      </c>
      <c r="T509" s="42" t="str">
        <f aca="false">SUBSTITUTE($U509," ","")</f>
        <v>717081103</v>
      </c>
      <c r="U509" s="42" t="s">
        <v>653</v>
      </c>
      <c r="V509" s="39" t="n">
        <v>6300</v>
      </c>
    </row>
    <row r="510" customFormat="false" ht="15" hidden="false" customHeight="false" outlineLevel="0" collapsed="false">
      <c r="B510" s="70" t="s">
        <v>655</v>
      </c>
      <c r="C510" s="71" t="str">
        <f aca="false">IFERROR(INDEX('13F Data'!A:A,MATCH($B510,'13F Data'!A:A,0)),"No CUSIP Match")</f>
        <v>No CUSIP Match</v>
      </c>
      <c r="D510" s="71" t="str">
        <f aca="false">IFERROR(IF($B510=$C510,"Yes","No"),"No CUSIP Match")</f>
        <v>No</v>
      </c>
      <c r="E510" s="71"/>
      <c r="F510" s="71" t="str">
        <f aca="false">IFERROR(INDEX('13F Data'!C:C, MATCH($B510,'13F Data'!A:A,0)),"No CUSIP Match")</f>
        <v>No CUSIP Match</v>
      </c>
      <c r="G510" s="72" t="str">
        <f aca="false">IFERROR(INDEX('13F Data'!D:D,MATCH($B510,'13F Data'!A:A,0)),"No CUSIP Match")</f>
        <v>No CUSIP Match</v>
      </c>
      <c r="J510" s="73" t="n">
        <f aca="false">$V510</f>
        <v>25000000</v>
      </c>
      <c r="K510" s="71" t="str">
        <f aca="false">IFERROR(INDEX('EOD Data'!G:G, MATCH($A510, 'EOD Data'!B:B,0)), "No TKR Match")</f>
        <v>No TKR Match</v>
      </c>
      <c r="L510" s="71" t="str">
        <f aca="false">IFERROR(ROUND($J510*$K510,0),"Error")</f>
        <v>Error</v>
      </c>
      <c r="M510" s="71" t="str">
        <f aca="false">IFERROR(IF(AND($J510&lt;10000,$L510&lt;200000),"Yes","No"),"Error")</f>
        <v>No</v>
      </c>
      <c r="P510" s="42" t="str">
        <f aca="false">IF($N510="SOLE",$J510,"")</f>
        <v/>
      </c>
      <c r="Q510" s="42" t="str">
        <f aca="false">IFERROR(IF($N510="Sole",0,IF(AND($N510="OTR",$R510=0),$J510-$P510,IF(AND($N510="OTR", $R510&gt;0), $J510-$P510-$Q510, ""))),"")</f>
        <v/>
      </c>
      <c r="R510" s="42" t="str">
        <f aca="false">IF($P510=$J510, "0","")</f>
        <v/>
      </c>
      <c r="S510" s="42" t="str">
        <f aca="false">IF(OR(ISBLANK($B510),ISBLANK($C510), ISBLANK($E510), ISBLANK($F510), AND(ISBLANK($G510),ISBLANK($H510)), ISBLANK($I510), ISBLANK($L510), AND(ISBLANK($N510), ISBLANK($O510)), AND(ISBLANK($P510), ISBLANK($Q510), ISBLANK($R510))), "No", "Yes")</f>
        <v>No</v>
      </c>
      <c r="T510" s="42" t="str">
        <f aca="false">SUBSTITUTE($U510," ","")</f>
        <v>69331CAK4</v>
      </c>
      <c r="U510" s="42" t="s">
        <v>655</v>
      </c>
      <c r="V510" s="39" t="n">
        <v>25000000</v>
      </c>
    </row>
    <row r="511" customFormat="false" ht="15" hidden="false" customHeight="false" outlineLevel="0" collapsed="false">
      <c r="B511" s="70" t="s">
        <v>657</v>
      </c>
      <c r="C511" s="71" t="str">
        <f aca="false">IFERROR(INDEX('13F Data'!A:A,MATCH($B511,'13F Data'!A:A,0)),"No CUSIP Match")</f>
        <v>No CUSIP Match</v>
      </c>
      <c r="D511" s="71" t="str">
        <f aca="false">IFERROR(IF($B511=$C511,"Yes","No"),"No CUSIP Match")</f>
        <v>No</v>
      </c>
      <c r="E511" s="71"/>
      <c r="F511" s="71" t="str">
        <f aca="false">IFERROR(INDEX('13F Data'!C:C, MATCH($B511,'13F Data'!A:A,0)),"No CUSIP Match")</f>
        <v>No CUSIP Match</v>
      </c>
      <c r="G511" s="72" t="str">
        <f aca="false">IFERROR(INDEX('13F Data'!D:D,MATCH($B511,'13F Data'!A:A,0)),"No CUSIP Match")</f>
        <v>No CUSIP Match</v>
      </c>
      <c r="J511" s="73" t="n">
        <f aca="false">$V511</f>
        <v>20500</v>
      </c>
      <c r="K511" s="71" t="str">
        <f aca="false">IFERROR(INDEX('EOD Data'!G:G, MATCH($A511, 'EOD Data'!B:B,0)), "No TKR Match")</f>
        <v>No TKR Match</v>
      </c>
      <c r="L511" s="71" t="str">
        <f aca="false">IFERROR(ROUND($J511*$K511,0),"Error")</f>
        <v>Error</v>
      </c>
      <c r="M511" s="71" t="str">
        <f aca="false">IFERROR(IF(AND($J511&lt;10000,$L511&lt;200000),"Yes","No"),"Error")</f>
        <v>No</v>
      </c>
      <c r="P511" s="42" t="str">
        <f aca="false">IF($N511="SOLE",$J511,"")</f>
        <v/>
      </c>
      <c r="Q511" s="42" t="str">
        <f aca="false">IFERROR(IF($N511="Sole",0,IF(AND($N511="OTR",$R511=0),$J511-$P511,IF(AND($N511="OTR", $R511&gt;0), $J511-$P511-$Q511, ""))),"")</f>
        <v/>
      </c>
      <c r="R511" s="42" t="str">
        <f aca="false">IF($P511=$J511, "0","")</f>
        <v/>
      </c>
      <c r="S511" s="42" t="str">
        <f aca="false">IF(OR(ISBLANK($B511),ISBLANK($C511), ISBLANK($E511), ISBLANK($F511), AND(ISBLANK($G511),ISBLANK($H511)), ISBLANK($I511), ISBLANK($L511), AND(ISBLANK($N511), ISBLANK($O511)), AND(ISBLANK($P511), ISBLANK($Q511), ISBLANK($R511))), "No", "Yes")</f>
        <v>No</v>
      </c>
      <c r="T511" s="42" t="str">
        <f aca="false">SUBSTITUTE($U511," ","")</f>
        <v>718172109</v>
      </c>
      <c r="U511" s="42" t="s">
        <v>657</v>
      </c>
      <c r="V511" s="39" t="n">
        <v>20500</v>
      </c>
    </row>
    <row r="512" customFormat="false" ht="15" hidden="false" customHeight="false" outlineLevel="0" collapsed="false">
      <c r="B512" s="70" t="s">
        <v>657</v>
      </c>
      <c r="C512" s="71" t="str">
        <f aca="false">IFERROR(INDEX('13F Data'!A:A,MATCH($B512,'13F Data'!A:A,0)),"No CUSIP Match")</f>
        <v>No CUSIP Match</v>
      </c>
      <c r="D512" s="71" t="str">
        <f aca="false">IFERROR(IF($B512=$C512,"Yes","No"),"No CUSIP Match")</f>
        <v>No</v>
      </c>
      <c r="E512" s="71"/>
      <c r="F512" s="71" t="str">
        <f aca="false">IFERROR(INDEX('13F Data'!C:C, MATCH($B512,'13F Data'!A:A,0)),"No CUSIP Match")</f>
        <v>No CUSIP Match</v>
      </c>
      <c r="G512" s="72" t="str">
        <f aca="false">IFERROR(INDEX('13F Data'!D:D,MATCH($B512,'13F Data'!A:A,0)),"No CUSIP Match")</f>
        <v>No CUSIP Match</v>
      </c>
      <c r="J512" s="73" t="n">
        <f aca="false">$V512</f>
        <v>20500</v>
      </c>
      <c r="K512" s="71" t="str">
        <f aca="false">IFERROR(INDEX('EOD Data'!G:G, MATCH($A512, 'EOD Data'!B:B,0)), "No TKR Match")</f>
        <v>No TKR Match</v>
      </c>
      <c r="L512" s="71" t="str">
        <f aca="false">IFERROR(ROUND($J512*$K512,0),"Error")</f>
        <v>Error</v>
      </c>
      <c r="M512" s="71" t="str">
        <f aca="false">IFERROR(IF(AND($J512&lt;10000,$L512&lt;200000),"Yes","No"),"Error")</f>
        <v>No</v>
      </c>
      <c r="P512" s="42" t="str">
        <f aca="false">IF($N512="SOLE",$J512,"")</f>
        <v/>
      </c>
      <c r="Q512" s="42" t="str">
        <f aca="false">IFERROR(IF($N512="Sole",0,IF(AND($N512="OTR",$R512=0),$J512-$P512,IF(AND($N512="OTR", $R512&gt;0), $J512-$P512-$Q512, ""))),"")</f>
        <v/>
      </c>
      <c r="R512" s="42" t="str">
        <f aca="false">IF($P512=$J512, "0","")</f>
        <v/>
      </c>
      <c r="S512" s="42" t="str">
        <f aca="false">IF(OR(ISBLANK($B512),ISBLANK($C512), ISBLANK($E512), ISBLANK($F512), AND(ISBLANK($G512),ISBLANK($H512)), ISBLANK($I512), ISBLANK($L512), AND(ISBLANK($N512), ISBLANK($O512)), AND(ISBLANK($P512), ISBLANK($Q512), ISBLANK($R512))), "No", "Yes")</f>
        <v>No</v>
      </c>
      <c r="T512" s="42" t="str">
        <f aca="false">SUBSTITUTE($U512," ","")</f>
        <v>718172109</v>
      </c>
      <c r="U512" s="42" t="s">
        <v>657</v>
      </c>
      <c r="V512" s="39" t="n">
        <v>20500</v>
      </c>
    </row>
    <row r="513" customFormat="false" ht="15" hidden="false" customHeight="false" outlineLevel="0" collapsed="false">
      <c r="B513" s="70" t="s">
        <v>659</v>
      </c>
      <c r="C513" s="71" t="str">
        <f aca="false">IFERROR(INDEX('13F Data'!A:A,MATCH($B513,'13F Data'!A:A,0)),"No CUSIP Match")</f>
        <v>No CUSIP Match</v>
      </c>
      <c r="D513" s="71" t="str">
        <f aca="false">IFERROR(IF($B513=$C513,"Yes","No"),"No CUSIP Match")</f>
        <v>No</v>
      </c>
      <c r="E513" s="71"/>
      <c r="F513" s="71" t="str">
        <f aca="false">IFERROR(INDEX('13F Data'!C:C, MATCH($B513,'13F Data'!A:A,0)),"No CUSIP Match")</f>
        <v>No CUSIP Match</v>
      </c>
      <c r="G513" s="72" t="str">
        <f aca="false">IFERROR(INDEX('13F Data'!D:D,MATCH($B513,'13F Data'!A:A,0)),"No CUSIP Match")</f>
        <v>No CUSIP Match</v>
      </c>
      <c r="J513" s="73" t="n">
        <f aca="false">$V513</f>
        <v>141570</v>
      </c>
      <c r="K513" s="71" t="str">
        <f aca="false">IFERROR(INDEX('EOD Data'!G:G, MATCH($A513, 'EOD Data'!B:B,0)), "No TKR Match")</f>
        <v>No TKR Match</v>
      </c>
      <c r="L513" s="71" t="str">
        <f aca="false">IFERROR(ROUND($J513*$K513,0),"Error")</f>
        <v>Error</v>
      </c>
      <c r="M513" s="71" t="str">
        <f aca="false">IFERROR(IF(AND($J513&lt;10000,$L513&lt;200000),"Yes","No"),"Error")</f>
        <v>No</v>
      </c>
      <c r="P513" s="42" t="str">
        <f aca="false">IF($N513="SOLE",$J513,"")</f>
        <v/>
      </c>
      <c r="Q513" s="42" t="str">
        <f aca="false">IFERROR(IF($N513="Sole",0,IF(AND($N513="OTR",$R513=0),$J513-$P513,IF(AND($N513="OTR", $R513&gt;0), $J513-$P513-$Q513, ""))),"")</f>
        <v/>
      </c>
      <c r="R513" s="42" t="str">
        <f aca="false">IF($P513=$J513, "0","")</f>
        <v/>
      </c>
      <c r="S513" s="42" t="str">
        <f aca="false">IF(OR(ISBLANK($B513),ISBLANK($C513), ISBLANK($E513), ISBLANK($F513), AND(ISBLANK($G513),ISBLANK($H513)), ISBLANK($I513), ISBLANK($L513), AND(ISBLANK($N513), ISBLANK($O513)), AND(ISBLANK($P513), ISBLANK($Q513), ISBLANK($R513))), "No", "Yes")</f>
        <v>No</v>
      </c>
      <c r="T513" s="42" t="str">
        <f aca="false">SUBSTITUTE($U513," ","")</f>
        <v>723787107</v>
      </c>
      <c r="U513" s="42" t="s">
        <v>659</v>
      </c>
      <c r="V513" s="39" t="n">
        <v>141570</v>
      </c>
    </row>
    <row r="514" customFormat="false" ht="15" hidden="false" customHeight="false" outlineLevel="0" collapsed="false">
      <c r="B514" s="70" t="s">
        <v>661</v>
      </c>
      <c r="C514" s="71" t="str">
        <f aca="false">IFERROR(INDEX('13F Data'!A:A,MATCH($B514,'13F Data'!A:A,0)),"No CUSIP Match")</f>
        <v>No CUSIP Match</v>
      </c>
      <c r="D514" s="71" t="str">
        <f aca="false">IFERROR(IF($B514=$C514,"Yes","No"),"No CUSIP Match")</f>
        <v>No</v>
      </c>
      <c r="E514" s="71"/>
      <c r="F514" s="71" t="str">
        <f aca="false">IFERROR(INDEX('13F Data'!C:C, MATCH($B514,'13F Data'!A:A,0)),"No CUSIP Match")</f>
        <v>No CUSIP Match</v>
      </c>
      <c r="G514" s="72" t="str">
        <f aca="false">IFERROR(INDEX('13F Data'!D:D,MATCH($B514,'13F Data'!A:A,0)),"No CUSIP Match")</f>
        <v>No CUSIP Match</v>
      </c>
      <c r="J514" s="73" t="n">
        <f aca="false">$V514</f>
        <v>93545</v>
      </c>
      <c r="K514" s="71" t="str">
        <f aca="false">IFERROR(INDEX('EOD Data'!G:G, MATCH($A514, 'EOD Data'!B:B,0)), "No TKR Match")</f>
        <v>No TKR Match</v>
      </c>
      <c r="L514" s="71" t="str">
        <f aca="false">IFERROR(ROUND($J514*$K514,0),"Error")</f>
        <v>Error</v>
      </c>
      <c r="M514" s="71" t="str">
        <f aca="false">IFERROR(IF(AND($J514&lt;10000,$L514&lt;200000),"Yes","No"),"Error")</f>
        <v>No</v>
      </c>
      <c r="P514" s="42" t="str">
        <f aca="false">IF($N514="SOLE",$J514,"")</f>
        <v/>
      </c>
      <c r="Q514" s="42" t="str">
        <f aca="false">IFERROR(IF($N514="Sole",0,IF(AND($N514="OTR",$R514=0),$J514-$P514,IF(AND($N514="OTR", $R514&gt;0), $J514-$P514-$Q514, ""))),"")</f>
        <v/>
      </c>
      <c r="R514" s="42" t="str">
        <f aca="false">IF($P514=$J514, "0","")</f>
        <v/>
      </c>
      <c r="S514" s="42" t="str">
        <f aca="false">IF(OR(ISBLANK($B514),ISBLANK($C514), ISBLANK($E514), ISBLANK($F514), AND(ISBLANK($G514),ISBLANK($H514)), ISBLANK($I514), ISBLANK($L514), AND(ISBLANK($N514), ISBLANK($O514)), AND(ISBLANK($P514), ISBLANK($Q514), ISBLANK($R514))), "No", "Yes")</f>
        <v>No</v>
      </c>
      <c r="T514" s="42" t="str">
        <f aca="false">SUBSTITUTE($U514," ","")</f>
        <v>72651A207</v>
      </c>
      <c r="U514" s="42" t="s">
        <v>661</v>
      </c>
      <c r="V514" s="39" t="n">
        <v>93545</v>
      </c>
    </row>
    <row r="515" customFormat="false" ht="15" hidden="false" customHeight="false" outlineLevel="0" collapsed="false">
      <c r="B515" s="70" t="s">
        <v>663</v>
      </c>
      <c r="C515" s="71" t="str">
        <f aca="false">IFERROR(INDEX('13F Data'!A:A,MATCH($B515,'13F Data'!A:A,0)),"No CUSIP Match")</f>
        <v>No CUSIP Match</v>
      </c>
      <c r="D515" s="71" t="str">
        <f aca="false">IFERROR(IF($B515=$C515,"Yes","No"),"No CUSIP Match")</f>
        <v>No</v>
      </c>
      <c r="E515" s="71"/>
      <c r="F515" s="71" t="str">
        <f aca="false">IFERROR(INDEX('13F Data'!C:C, MATCH($B515,'13F Data'!A:A,0)),"No CUSIP Match")</f>
        <v>No CUSIP Match</v>
      </c>
      <c r="G515" s="72" t="str">
        <f aca="false">IFERROR(INDEX('13F Data'!D:D,MATCH($B515,'13F Data'!A:A,0)),"No CUSIP Match")</f>
        <v>No CUSIP Match</v>
      </c>
      <c r="J515" s="73" t="n">
        <f aca="false">$V515</f>
        <v>15400</v>
      </c>
      <c r="K515" s="71" t="str">
        <f aca="false">IFERROR(INDEX('EOD Data'!G:G, MATCH($A515, 'EOD Data'!B:B,0)), "No TKR Match")</f>
        <v>No TKR Match</v>
      </c>
      <c r="L515" s="71" t="str">
        <f aca="false">IFERROR(ROUND($J515*$K515,0),"Error")</f>
        <v>Error</v>
      </c>
      <c r="M515" s="71" t="str">
        <f aca="false">IFERROR(IF(AND($J515&lt;10000,$L515&lt;200000),"Yes","No"),"Error")</f>
        <v>No</v>
      </c>
      <c r="P515" s="42" t="str">
        <f aca="false">IF($N515="SOLE",$J515,"")</f>
        <v/>
      </c>
      <c r="Q515" s="42" t="str">
        <f aca="false">IFERROR(IF($N515="Sole",0,IF(AND($N515="OTR",$R515=0),$J515-$P515,IF(AND($N515="OTR", $R515&gt;0), $J515-$P515-$Q515, ""))),"")</f>
        <v/>
      </c>
      <c r="R515" s="42" t="str">
        <f aca="false">IF($P515=$J515, "0","")</f>
        <v/>
      </c>
      <c r="S515" s="42" t="str">
        <f aca="false">IF(OR(ISBLANK($B515),ISBLANK($C515), ISBLANK($E515), ISBLANK($F515), AND(ISBLANK($G515),ISBLANK($H515)), ISBLANK($I515), ISBLANK($L515), AND(ISBLANK($N515), ISBLANK($O515)), AND(ISBLANK($P515), ISBLANK($Q515), ISBLANK($R515))), "No", "Yes")</f>
        <v>No</v>
      </c>
      <c r="T515" s="42" t="str">
        <f aca="false">SUBSTITUTE($U515," ","")</f>
        <v>693475105</v>
      </c>
      <c r="U515" s="42" t="s">
        <v>663</v>
      </c>
      <c r="V515" s="39" t="n">
        <v>15400</v>
      </c>
    </row>
    <row r="516" customFormat="false" ht="15" hidden="false" customHeight="false" outlineLevel="0" collapsed="false">
      <c r="B516" s="70" t="s">
        <v>663</v>
      </c>
      <c r="C516" s="71" t="str">
        <f aca="false">IFERROR(INDEX('13F Data'!A:A,MATCH($B516,'13F Data'!A:A,0)),"No CUSIP Match")</f>
        <v>No CUSIP Match</v>
      </c>
      <c r="D516" s="71" t="str">
        <f aca="false">IFERROR(IF($B516=$C516,"Yes","No"),"No CUSIP Match")</f>
        <v>No</v>
      </c>
      <c r="E516" s="71"/>
      <c r="F516" s="71" t="str">
        <f aca="false">IFERROR(INDEX('13F Data'!C:C, MATCH($B516,'13F Data'!A:A,0)),"No CUSIP Match")</f>
        <v>No CUSIP Match</v>
      </c>
      <c r="G516" s="72" t="str">
        <f aca="false">IFERROR(INDEX('13F Data'!D:D,MATCH($B516,'13F Data'!A:A,0)),"No CUSIP Match")</f>
        <v>No CUSIP Match</v>
      </c>
      <c r="J516" s="73" t="n">
        <f aca="false">$V516</f>
        <v>15400</v>
      </c>
      <c r="K516" s="71" t="str">
        <f aca="false">IFERROR(INDEX('EOD Data'!G:G, MATCH($A516, 'EOD Data'!B:B,0)), "No TKR Match")</f>
        <v>No TKR Match</v>
      </c>
      <c r="L516" s="71" t="str">
        <f aca="false">IFERROR(ROUND($J516*$K516,0),"Error")</f>
        <v>Error</v>
      </c>
      <c r="M516" s="71" t="str">
        <f aca="false">IFERROR(IF(AND($J516&lt;10000,$L516&lt;200000),"Yes","No"),"Error")</f>
        <v>No</v>
      </c>
      <c r="P516" s="42" t="str">
        <f aca="false">IF($N516="SOLE",$J516,"")</f>
        <v/>
      </c>
      <c r="Q516" s="42" t="str">
        <f aca="false">IFERROR(IF($N516="Sole",0,IF(AND($N516="OTR",$R516=0),$J516-$P516,IF(AND($N516="OTR", $R516&gt;0), $J516-$P516-$Q516, ""))),"")</f>
        <v/>
      </c>
      <c r="R516" s="42" t="str">
        <f aca="false">IF($P516=$J516, "0","")</f>
        <v/>
      </c>
      <c r="S516" s="42" t="str">
        <f aca="false">IF(OR(ISBLANK($B516),ISBLANK($C516), ISBLANK($E516), ISBLANK($F516), AND(ISBLANK($G516),ISBLANK($H516)), ISBLANK($I516), ISBLANK($L516), AND(ISBLANK($N516), ISBLANK($O516)), AND(ISBLANK($P516), ISBLANK($Q516), ISBLANK($R516))), "No", "Yes")</f>
        <v>No</v>
      </c>
      <c r="T516" s="42" t="str">
        <f aca="false">SUBSTITUTE($U516," ","")</f>
        <v>693475105</v>
      </c>
      <c r="U516" s="42" t="s">
        <v>663</v>
      </c>
      <c r="V516" s="39" t="n">
        <v>15400</v>
      </c>
    </row>
    <row r="517" customFormat="false" ht="15" hidden="false" customHeight="false" outlineLevel="0" collapsed="false">
      <c r="B517" s="70" t="s">
        <v>665</v>
      </c>
      <c r="C517" s="71" t="str">
        <f aca="false">IFERROR(INDEX('13F Data'!A:A,MATCH($B517,'13F Data'!A:A,0)),"No CUSIP Match")</f>
        <v>No CUSIP Match</v>
      </c>
      <c r="D517" s="71" t="str">
        <f aca="false">IFERROR(IF($B517=$C517,"Yes","No"),"No CUSIP Match")</f>
        <v>No</v>
      </c>
      <c r="E517" s="71"/>
      <c r="F517" s="71" t="str">
        <f aca="false">IFERROR(INDEX('13F Data'!C:C, MATCH($B517,'13F Data'!A:A,0)),"No CUSIP Match")</f>
        <v>No CUSIP Match</v>
      </c>
      <c r="G517" s="72" t="str">
        <f aca="false">IFERROR(INDEX('13F Data'!D:D,MATCH($B517,'13F Data'!A:A,0)),"No CUSIP Match")</f>
        <v>No CUSIP Match</v>
      </c>
      <c r="J517" s="73" t="n">
        <f aca="false">$V517</f>
        <v>1</v>
      </c>
      <c r="K517" s="71" t="str">
        <f aca="false">IFERROR(INDEX('EOD Data'!G:G, MATCH($A517, 'EOD Data'!B:B,0)), "No TKR Match")</f>
        <v>No TKR Match</v>
      </c>
      <c r="L517" s="71" t="str">
        <f aca="false">IFERROR(ROUND($J517*$K517,0),"Error")</f>
        <v>Error</v>
      </c>
      <c r="M517" s="71" t="str">
        <f aca="false">IFERROR(IF(AND($J517&lt;10000,$L517&lt;200000),"Yes","No"),"Error")</f>
        <v>No</v>
      </c>
      <c r="P517" s="42" t="str">
        <f aca="false">IF($N517="SOLE",$J517,"")</f>
        <v/>
      </c>
      <c r="Q517" s="42" t="str">
        <f aca="false">IFERROR(IF($N517="Sole",0,IF(AND($N517="OTR",$R517=0),$J517-$P517,IF(AND($N517="OTR", $R517&gt;0), $J517-$P517-$Q517, ""))),"")</f>
        <v/>
      </c>
      <c r="R517" s="42" t="str">
        <f aca="false">IF($P517=$J517, "0","")</f>
        <v/>
      </c>
      <c r="S517" s="42" t="str">
        <f aca="false">IF(OR(ISBLANK($B517),ISBLANK($C517), ISBLANK($E517), ISBLANK($F517), AND(ISBLANK($G517),ISBLANK($H517)), ISBLANK($I517), ISBLANK($L517), AND(ISBLANK($N517), ISBLANK($O517)), AND(ISBLANK($P517), ISBLANK($Q517), ISBLANK($R517))), "No", "Yes")</f>
        <v>No</v>
      </c>
      <c r="T517" s="42" t="str">
        <f aca="false">SUBSTITUTE($U517," ","")</f>
        <v>73278L105</v>
      </c>
      <c r="U517" s="42" t="s">
        <v>665</v>
      </c>
      <c r="V517" s="39" t="n">
        <v>1</v>
      </c>
    </row>
    <row r="518" customFormat="false" ht="15" hidden="false" customHeight="false" outlineLevel="0" collapsed="false">
      <c r="B518" s="70" t="s">
        <v>665</v>
      </c>
      <c r="C518" s="71" t="str">
        <f aca="false">IFERROR(INDEX('13F Data'!A:A,MATCH($B518,'13F Data'!A:A,0)),"No CUSIP Match")</f>
        <v>No CUSIP Match</v>
      </c>
      <c r="D518" s="71" t="str">
        <f aca="false">IFERROR(IF($B518=$C518,"Yes","No"),"No CUSIP Match")</f>
        <v>No</v>
      </c>
      <c r="E518" s="71"/>
      <c r="F518" s="71" t="str">
        <f aca="false">IFERROR(INDEX('13F Data'!C:C, MATCH($B518,'13F Data'!A:A,0)),"No CUSIP Match")</f>
        <v>No CUSIP Match</v>
      </c>
      <c r="G518" s="72" t="str">
        <f aca="false">IFERROR(INDEX('13F Data'!D:D,MATCH($B518,'13F Data'!A:A,0)),"No CUSIP Match")</f>
        <v>No CUSIP Match</v>
      </c>
      <c r="J518" s="73" t="n">
        <f aca="false">$V518</f>
        <v>1100</v>
      </c>
      <c r="K518" s="71" t="str">
        <f aca="false">IFERROR(INDEX('EOD Data'!G:G, MATCH($A518, 'EOD Data'!B:B,0)), "No TKR Match")</f>
        <v>No TKR Match</v>
      </c>
      <c r="L518" s="71" t="str">
        <f aca="false">IFERROR(ROUND($J518*$K518,0),"Error")</f>
        <v>Error</v>
      </c>
      <c r="M518" s="71" t="str">
        <f aca="false">IFERROR(IF(AND($J518&lt;10000,$L518&lt;200000),"Yes","No"),"Error")</f>
        <v>No</v>
      </c>
      <c r="P518" s="42" t="str">
        <f aca="false">IF($N518="SOLE",$J518,"")</f>
        <v/>
      </c>
      <c r="Q518" s="42" t="str">
        <f aca="false">IFERROR(IF($N518="Sole",0,IF(AND($N518="OTR",$R518=0),$J518-$P518,IF(AND($N518="OTR", $R518&gt;0), $J518-$P518-$Q518, ""))),"")</f>
        <v/>
      </c>
      <c r="R518" s="42" t="str">
        <f aca="false">IF($P518=$J518, "0","")</f>
        <v/>
      </c>
      <c r="S518" s="42" t="str">
        <f aca="false">IF(OR(ISBLANK($B518),ISBLANK($C518), ISBLANK($E518), ISBLANK($F518), AND(ISBLANK($G518),ISBLANK($H518)), ISBLANK($I518), ISBLANK($L518), AND(ISBLANK($N518), ISBLANK($O518)), AND(ISBLANK($P518), ISBLANK($Q518), ISBLANK($R518))), "No", "Yes")</f>
        <v>No</v>
      </c>
      <c r="T518" s="42" t="str">
        <f aca="false">SUBSTITUTE($U518," ","")</f>
        <v>73278L105</v>
      </c>
      <c r="U518" s="42" t="s">
        <v>665</v>
      </c>
      <c r="V518" s="39" t="n">
        <v>1100</v>
      </c>
    </row>
    <row r="519" customFormat="false" ht="15" hidden="false" customHeight="false" outlineLevel="0" collapsed="false">
      <c r="B519" s="70" t="s">
        <v>665</v>
      </c>
      <c r="C519" s="71" t="str">
        <f aca="false">IFERROR(INDEX('13F Data'!A:A,MATCH($B519,'13F Data'!A:A,0)),"No CUSIP Match")</f>
        <v>No CUSIP Match</v>
      </c>
      <c r="D519" s="71" t="str">
        <f aca="false">IFERROR(IF($B519=$C519,"Yes","No"),"No CUSIP Match")</f>
        <v>No</v>
      </c>
      <c r="E519" s="71"/>
      <c r="F519" s="71" t="str">
        <f aca="false">IFERROR(INDEX('13F Data'!C:C, MATCH($B519,'13F Data'!A:A,0)),"No CUSIP Match")</f>
        <v>No CUSIP Match</v>
      </c>
      <c r="G519" s="72" t="str">
        <f aca="false">IFERROR(INDEX('13F Data'!D:D,MATCH($B519,'13F Data'!A:A,0)),"No CUSIP Match")</f>
        <v>No CUSIP Match</v>
      </c>
      <c r="J519" s="73" t="n">
        <f aca="false">$V519</f>
        <v>1100</v>
      </c>
      <c r="K519" s="71" t="str">
        <f aca="false">IFERROR(INDEX('EOD Data'!G:G, MATCH($A519, 'EOD Data'!B:B,0)), "No TKR Match")</f>
        <v>No TKR Match</v>
      </c>
      <c r="L519" s="71" t="str">
        <f aca="false">IFERROR(ROUND($J519*$K519,0),"Error")</f>
        <v>Error</v>
      </c>
      <c r="M519" s="71" t="str">
        <f aca="false">IFERROR(IF(AND($J519&lt;10000,$L519&lt;200000),"Yes","No"),"Error")</f>
        <v>No</v>
      </c>
      <c r="P519" s="42" t="str">
        <f aca="false">IF($N519="SOLE",$J519,"")</f>
        <v/>
      </c>
      <c r="Q519" s="42" t="str">
        <f aca="false">IFERROR(IF($N519="Sole",0,IF(AND($N519="OTR",$R519=0),$J519-$P519,IF(AND($N519="OTR", $R519&gt;0), $J519-$P519-$Q519, ""))),"")</f>
        <v/>
      </c>
      <c r="R519" s="42" t="str">
        <f aca="false">IF($P519=$J519, "0","")</f>
        <v/>
      </c>
      <c r="S519" s="42" t="str">
        <f aca="false">IF(OR(ISBLANK($B519),ISBLANK($C519), ISBLANK($E519), ISBLANK($F519), AND(ISBLANK($G519),ISBLANK($H519)), ISBLANK($I519), ISBLANK($L519), AND(ISBLANK($N519), ISBLANK($O519)), AND(ISBLANK($P519), ISBLANK($Q519), ISBLANK($R519))), "No", "Yes")</f>
        <v>No</v>
      </c>
      <c r="T519" s="42" t="str">
        <f aca="false">SUBSTITUTE($U519," ","")</f>
        <v>73278L105</v>
      </c>
      <c r="U519" s="42" t="s">
        <v>665</v>
      </c>
      <c r="V519" s="39" t="n">
        <v>1100</v>
      </c>
    </row>
    <row r="520" customFormat="false" ht="15" hidden="false" customHeight="false" outlineLevel="0" collapsed="false">
      <c r="B520" s="70" t="s">
        <v>667</v>
      </c>
      <c r="C520" s="71" t="str">
        <f aca="false">IFERROR(INDEX('13F Data'!A:A,MATCH($B520,'13F Data'!A:A,0)),"No CUSIP Match")</f>
        <v>No CUSIP Match</v>
      </c>
      <c r="D520" s="71" t="str">
        <f aca="false">IFERROR(IF($B520=$C520,"Yes","No"),"No CUSIP Match")</f>
        <v>No</v>
      </c>
      <c r="E520" s="71"/>
      <c r="F520" s="71" t="str">
        <f aca="false">IFERROR(INDEX('13F Data'!C:C, MATCH($B520,'13F Data'!A:A,0)),"No CUSIP Match")</f>
        <v>No CUSIP Match</v>
      </c>
      <c r="G520" s="72" t="str">
        <f aca="false">IFERROR(INDEX('13F Data'!D:D,MATCH($B520,'13F Data'!A:A,0)),"No CUSIP Match")</f>
        <v>No CUSIP Match</v>
      </c>
      <c r="J520" s="73" t="n">
        <f aca="false">$V520</f>
        <v>4284</v>
      </c>
      <c r="K520" s="71" t="str">
        <f aca="false">IFERROR(INDEX('EOD Data'!G:G, MATCH($A520, 'EOD Data'!B:B,0)), "No TKR Match")</f>
        <v>No TKR Match</v>
      </c>
      <c r="L520" s="71" t="str">
        <f aca="false">IFERROR(ROUND($J520*$K520,0),"Error")</f>
        <v>Error</v>
      </c>
      <c r="M520" s="71" t="str">
        <f aca="false">IFERROR(IF(AND($J520&lt;10000,$L520&lt;200000),"Yes","No"),"Error")</f>
        <v>No</v>
      </c>
      <c r="P520" s="42" t="str">
        <f aca="false">IF($N520="SOLE",$J520,"")</f>
        <v/>
      </c>
      <c r="Q520" s="42" t="str">
        <f aca="false">IFERROR(IF($N520="Sole",0,IF(AND($N520="OTR",$R520=0),$J520-$P520,IF(AND($N520="OTR", $R520&gt;0), $J520-$P520-$Q520, ""))),"")</f>
        <v/>
      </c>
      <c r="R520" s="42" t="str">
        <f aca="false">IF($P520=$J520, "0","")</f>
        <v/>
      </c>
      <c r="S520" s="42" t="str">
        <f aca="false">IF(OR(ISBLANK($B520),ISBLANK($C520), ISBLANK($E520), ISBLANK($F520), AND(ISBLANK($G520),ISBLANK($H520)), ISBLANK($I520), ISBLANK($L520), AND(ISBLANK($N520), ISBLANK($O520)), AND(ISBLANK($P520), ISBLANK($Q520), ISBLANK($R520))), "No", "Yes")</f>
        <v>No</v>
      </c>
      <c r="T520" s="42" t="str">
        <f aca="false">SUBSTITUTE($U520," ","")</f>
        <v>737446104</v>
      </c>
      <c r="U520" s="42" t="s">
        <v>667</v>
      </c>
      <c r="V520" s="39" t="n">
        <v>4284</v>
      </c>
    </row>
    <row r="521" customFormat="false" ht="15" hidden="false" customHeight="false" outlineLevel="0" collapsed="false">
      <c r="B521" s="70" t="s">
        <v>669</v>
      </c>
      <c r="C521" s="71" t="str">
        <f aca="false">IFERROR(INDEX('13F Data'!A:A,MATCH($B521,'13F Data'!A:A,0)),"No CUSIP Match")</f>
        <v>No CUSIP Match</v>
      </c>
      <c r="D521" s="71" t="str">
        <f aca="false">IFERROR(IF($B521=$C521,"Yes","No"),"No CUSIP Match")</f>
        <v>No</v>
      </c>
      <c r="E521" s="71"/>
      <c r="F521" s="71" t="str">
        <f aca="false">IFERROR(INDEX('13F Data'!C:C, MATCH($B521,'13F Data'!A:A,0)),"No CUSIP Match")</f>
        <v>No CUSIP Match</v>
      </c>
      <c r="G521" s="72" t="str">
        <f aca="false">IFERROR(INDEX('13F Data'!D:D,MATCH($B521,'13F Data'!A:A,0)),"No CUSIP Match")</f>
        <v>No CUSIP Match</v>
      </c>
      <c r="J521" s="73" t="n">
        <f aca="false">$V521</f>
        <v>24800</v>
      </c>
      <c r="K521" s="71" t="str">
        <f aca="false">IFERROR(INDEX('EOD Data'!G:G, MATCH($A521, 'EOD Data'!B:B,0)), "No TKR Match")</f>
        <v>No TKR Match</v>
      </c>
      <c r="L521" s="71" t="str">
        <f aca="false">IFERROR(ROUND($J521*$K521,0),"Error")</f>
        <v>Error</v>
      </c>
      <c r="M521" s="71" t="str">
        <f aca="false">IFERROR(IF(AND($J521&lt;10000,$L521&lt;200000),"Yes","No"),"Error")</f>
        <v>No</v>
      </c>
      <c r="P521" s="42" t="str">
        <f aca="false">IF($N521="SOLE",$J521,"")</f>
        <v/>
      </c>
      <c r="Q521" s="42" t="str">
        <f aca="false">IFERROR(IF($N521="Sole",0,IF(AND($N521="OTR",$R521=0),$J521-$P521,IF(AND($N521="OTR", $R521&gt;0), $J521-$P521-$Q521, ""))),"")</f>
        <v/>
      </c>
      <c r="R521" s="42" t="str">
        <f aca="false">IF($P521=$J521, "0","")</f>
        <v/>
      </c>
      <c r="S521" s="42" t="str">
        <f aca="false">IF(OR(ISBLANK($B521),ISBLANK($C521), ISBLANK($E521), ISBLANK($F521), AND(ISBLANK($G521),ISBLANK($H521)), ISBLANK($I521), ISBLANK($L521), AND(ISBLANK($N521), ISBLANK($O521)), AND(ISBLANK($P521), ISBLANK($Q521), ISBLANK($R521))), "No", "Yes")</f>
        <v>No</v>
      </c>
      <c r="T521" s="42" t="str">
        <f aca="false">SUBSTITUTE($U521," ","")</f>
        <v>742718109</v>
      </c>
      <c r="U521" s="42" t="s">
        <v>669</v>
      </c>
      <c r="V521" s="39" t="n">
        <v>24800</v>
      </c>
    </row>
    <row r="522" customFormat="false" ht="15" hidden="false" customHeight="false" outlineLevel="0" collapsed="false">
      <c r="B522" s="70" t="s">
        <v>669</v>
      </c>
      <c r="C522" s="71" t="str">
        <f aca="false">IFERROR(INDEX('13F Data'!A:A,MATCH($B522,'13F Data'!A:A,0)),"No CUSIP Match")</f>
        <v>No CUSIP Match</v>
      </c>
      <c r="D522" s="71" t="str">
        <f aca="false">IFERROR(IF($B522=$C522,"Yes","No"),"No CUSIP Match")</f>
        <v>No</v>
      </c>
      <c r="E522" s="71"/>
      <c r="F522" s="71" t="str">
        <f aca="false">IFERROR(INDEX('13F Data'!C:C, MATCH($B522,'13F Data'!A:A,0)),"No CUSIP Match")</f>
        <v>No CUSIP Match</v>
      </c>
      <c r="G522" s="72" t="str">
        <f aca="false">IFERROR(INDEX('13F Data'!D:D,MATCH($B522,'13F Data'!A:A,0)),"No CUSIP Match")</f>
        <v>No CUSIP Match</v>
      </c>
      <c r="J522" s="73" t="n">
        <f aca="false">$V522</f>
        <v>24800</v>
      </c>
      <c r="K522" s="71" t="str">
        <f aca="false">IFERROR(INDEX('EOD Data'!G:G, MATCH($A522, 'EOD Data'!B:B,0)), "No TKR Match")</f>
        <v>No TKR Match</v>
      </c>
      <c r="L522" s="71" t="str">
        <f aca="false">IFERROR(ROUND($J522*$K522,0),"Error")</f>
        <v>Error</v>
      </c>
      <c r="M522" s="71" t="str">
        <f aca="false">IFERROR(IF(AND($J522&lt;10000,$L522&lt;200000),"Yes","No"),"Error")</f>
        <v>No</v>
      </c>
      <c r="P522" s="42" t="str">
        <f aca="false">IF($N522="SOLE",$J522,"")</f>
        <v/>
      </c>
      <c r="Q522" s="42" t="str">
        <f aca="false">IFERROR(IF($N522="Sole",0,IF(AND($N522="OTR",$R522=0),$J522-$P522,IF(AND($N522="OTR", $R522&gt;0), $J522-$P522-$Q522, ""))),"")</f>
        <v/>
      </c>
      <c r="R522" s="42" t="str">
        <f aca="false">IF($P522=$J522, "0","")</f>
        <v/>
      </c>
      <c r="S522" s="42" t="str">
        <f aca="false">IF(OR(ISBLANK($B522),ISBLANK($C522), ISBLANK($E522), ISBLANK($F522), AND(ISBLANK($G522),ISBLANK($H522)), ISBLANK($I522), ISBLANK($L522), AND(ISBLANK($N522), ISBLANK($O522)), AND(ISBLANK($P522), ISBLANK($Q522), ISBLANK($R522))), "No", "Yes")</f>
        <v>No</v>
      </c>
      <c r="T522" s="42" t="str">
        <f aca="false">SUBSTITUTE($U522," ","")</f>
        <v>742718109</v>
      </c>
      <c r="U522" s="42" t="s">
        <v>669</v>
      </c>
      <c r="V522" s="39" t="n">
        <v>24800</v>
      </c>
    </row>
    <row r="523" customFormat="false" ht="15" hidden="false" customHeight="false" outlineLevel="0" collapsed="false">
      <c r="B523" s="70" t="s">
        <v>671</v>
      </c>
      <c r="C523" s="71" t="str">
        <f aca="false">IFERROR(INDEX('13F Data'!A:A,MATCH($B523,'13F Data'!A:A,0)),"No CUSIP Match")</f>
        <v>No CUSIP Match</v>
      </c>
      <c r="D523" s="71" t="str">
        <f aca="false">IFERROR(IF($B523=$C523,"Yes","No"),"No CUSIP Match")</f>
        <v>No</v>
      </c>
      <c r="E523" s="71"/>
      <c r="F523" s="71" t="str">
        <f aca="false">IFERROR(INDEX('13F Data'!C:C, MATCH($B523,'13F Data'!A:A,0)),"No CUSIP Match")</f>
        <v>No CUSIP Match</v>
      </c>
      <c r="G523" s="72" t="str">
        <f aca="false">IFERROR(INDEX('13F Data'!D:D,MATCH($B523,'13F Data'!A:A,0)),"No CUSIP Match")</f>
        <v>No CUSIP Match</v>
      </c>
      <c r="J523" s="73" t="n">
        <f aca="false">$V523</f>
        <v>18</v>
      </c>
      <c r="K523" s="71" t="str">
        <f aca="false">IFERROR(INDEX('EOD Data'!G:G, MATCH($A523, 'EOD Data'!B:B,0)), "No TKR Match")</f>
        <v>No TKR Match</v>
      </c>
      <c r="L523" s="71" t="str">
        <f aca="false">IFERROR(ROUND($J523*$K523,0),"Error")</f>
        <v>Error</v>
      </c>
      <c r="M523" s="71" t="str">
        <f aca="false">IFERROR(IF(AND($J523&lt;10000,$L523&lt;200000),"Yes","No"),"Error")</f>
        <v>No</v>
      </c>
      <c r="P523" s="42" t="str">
        <f aca="false">IF($N523="SOLE",$J523,"")</f>
        <v/>
      </c>
      <c r="Q523" s="42" t="str">
        <f aca="false">IFERROR(IF($N523="Sole",0,IF(AND($N523="OTR",$R523=0),$J523-$P523,IF(AND($N523="OTR", $R523&gt;0), $J523-$P523-$Q523, ""))),"")</f>
        <v/>
      </c>
      <c r="R523" s="42" t="str">
        <f aca="false">IF($P523=$J523, "0","")</f>
        <v/>
      </c>
      <c r="S523" s="42" t="str">
        <f aca="false">IF(OR(ISBLANK($B523),ISBLANK($C523), ISBLANK($E523), ISBLANK($F523), AND(ISBLANK($G523),ISBLANK($H523)), ISBLANK($I523), ISBLANK($L523), AND(ISBLANK($N523), ISBLANK($O523)), AND(ISBLANK($P523), ISBLANK($Q523), ISBLANK($R523))), "No", "Yes")</f>
        <v>No</v>
      </c>
      <c r="T523" s="42" t="str">
        <f aca="false">SUBSTITUTE($U523," ","")</f>
        <v>743315103</v>
      </c>
      <c r="U523" s="42" t="s">
        <v>671</v>
      </c>
      <c r="V523" s="39" t="n">
        <v>18</v>
      </c>
    </row>
    <row r="524" customFormat="false" ht="15" hidden="false" customHeight="false" outlineLevel="0" collapsed="false">
      <c r="B524" s="70" t="s">
        <v>671</v>
      </c>
      <c r="C524" s="71" t="str">
        <f aca="false">IFERROR(INDEX('13F Data'!A:A,MATCH($B524,'13F Data'!A:A,0)),"No CUSIP Match")</f>
        <v>No CUSIP Match</v>
      </c>
      <c r="D524" s="71" t="str">
        <f aca="false">IFERROR(IF($B524=$C524,"Yes","No"),"No CUSIP Match")</f>
        <v>No</v>
      </c>
      <c r="E524" s="71"/>
      <c r="F524" s="71" t="str">
        <f aca="false">IFERROR(INDEX('13F Data'!C:C, MATCH($B524,'13F Data'!A:A,0)),"No CUSIP Match")</f>
        <v>No CUSIP Match</v>
      </c>
      <c r="G524" s="72" t="str">
        <f aca="false">IFERROR(INDEX('13F Data'!D:D,MATCH($B524,'13F Data'!A:A,0)),"No CUSIP Match")</f>
        <v>No CUSIP Match</v>
      </c>
      <c r="J524" s="73" t="n">
        <f aca="false">$V524</f>
        <v>11300</v>
      </c>
      <c r="K524" s="71" t="str">
        <f aca="false">IFERROR(INDEX('EOD Data'!G:G, MATCH($A524, 'EOD Data'!B:B,0)), "No TKR Match")</f>
        <v>No TKR Match</v>
      </c>
      <c r="L524" s="71" t="str">
        <f aca="false">IFERROR(ROUND($J524*$K524,0),"Error")</f>
        <v>Error</v>
      </c>
      <c r="M524" s="71" t="str">
        <f aca="false">IFERROR(IF(AND($J524&lt;10000,$L524&lt;200000),"Yes","No"),"Error")</f>
        <v>No</v>
      </c>
      <c r="P524" s="42" t="str">
        <f aca="false">IF($N524="SOLE",$J524,"")</f>
        <v/>
      </c>
      <c r="Q524" s="42" t="str">
        <f aca="false">IFERROR(IF($N524="Sole",0,IF(AND($N524="OTR",$R524=0),$J524-$P524,IF(AND($N524="OTR", $R524&gt;0), $J524-$P524-$Q524, ""))),"")</f>
        <v/>
      </c>
      <c r="R524" s="42" t="str">
        <f aca="false">IF($P524=$J524, "0","")</f>
        <v/>
      </c>
      <c r="S524" s="42" t="str">
        <f aca="false">IF(OR(ISBLANK($B524),ISBLANK($C524), ISBLANK($E524), ISBLANK($F524), AND(ISBLANK($G524),ISBLANK($H524)), ISBLANK($I524), ISBLANK($L524), AND(ISBLANK($N524), ISBLANK($O524)), AND(ISBLANK($P524), ISBLANK($Q524), ISBLANK($R524))), "No", "Yes")</f>
        <v>No</v>
      </c>
      <c r="T524" s="42" t="str">
        <f aca="false">SUBSTITUTE($U524," ","")</f>
        <v>743315103</v>
      </c>
      <c r="U524" s="42" t="s">
        <v>671</v>
      </c>
      <c r="V524" s="39" t="n">
        <v>11300</v>
      </c>
    </row>
    <row r="525" customFormat="false" ht="15" hidden="false" customHeight="false" outlineLevel="0" collapsed="false">
      <c r="B525" s="70" t="s">
        <v>671</v>
      </c>
      <c r="C525" s="71" t="str">
        <f aca="false">IFERROR(INDEX('13F Data'!A:A,MATCH($B525,'13F Data'!A:A,0)),"No CUSIP Match")</f>
        <v>No CUSIP Match</v>
      </c>
      <c r="D525" s="71" t="str">
        <f aca="false">IFERROR(IF($B525=$C525,"Yes","No"),"No CUSIP Match")</f>
        <v>No</v>
      </c>
      <c r="E525" s="71"/>
      <c r="F525" s="71" t="str">
        <f aca="false">IFERROR(INDEX('13F Data'!C:C, MATCH($B525,'13F Data'!A:A,0)),"No CUSIP Match")</f>
        <v>No CUSIP Match</v>
      </c>
      <c r="G525" s="72" t="str">
        <f aca="false">IFERROR(INDEX('13F Data'!D:D,MATCH($B525,'13F Data'!A:A,0)),"No CUSIP Match")</f>
        <v>No CUSIP Match</v>
      </c>
      <c r="J525" s="73" t="n">
        <f aca="false">$V525</f>
        <v>11300</v>
      </c>
      <c r="K525" s="71" t="str">
        <f aca="false">IFERROR(INDEX('EOD Data'!G:G, MATCH($A525, 'EOD Data'!B:B,0)), "No TKR Match")</f>
        <v>No TKR Match</v>
      </c>
      <c r="L525" s="71" t="str">
        <f aca="false">IFERROR(ROUND($J525*$K525,0),"Error")</f>
        <v>Error</v>
      </c>
      <c r="M525" s="71" t="str">
        <f aca="false">IFERROR(IF(AND($J525&lt;10000,$L525&lt;200000),"Yes","No"),"Error")</f>
        <v>No</v>
      </c>
      <c r="P525" s="42" t="str">
        <f aca="false">IF($N525="SOLE",$J525,"")</f>
        <v/>
      </c>
      <c r="Q525" s="42" t="str">
        <f aca="false">IFERROR(IF($N525="Sole",0,IF(AND($N525="OTR",$R525=0),$J525-$P525,IF(AND($N525="OTR", $R525&gt;0), $J525-$P525-$Q525, ""))),"")</f>
        <v/>
      </c>
      <c r="R525" s="42" t="str">
        <f aca="false">IF($P525=$J525, "0","")</f>
        <v/>
      </c>
      <c r="S525" s="42" t="str">
        <f aca="false">IF(OR(ISBLANK($B525),ISBLANK($C525), ISBLANK($E525), ISBLANK($F525), AND(ISBLANK($G525),ISBLANK($H525)), ISBLANK($I525), ISBLANK($L525), AND(ISBLANK($N525), ISBLANK($O525)), AND(ISBLANK($P525), ISBLANK($Q525), ISBLANK($R525))), "No", "Yes")</f>
        <v>No</v>
      </c>
      <c r="T525" s="42" t="str">
        <f aca="false">SUBSTITUTE($U525," ","")</f>
        <v>743315103</v>
      </c>
      <c r="U525" s="42" t="s">
        <v>671</v>
      </c>
      <c r="V525" s="39" t="n">
        <v>11300</v>
      </c>
    </row>
    <row r="526" customFormat="false" ht="15" hidden="false" customHeight="false" outlineLevel="0" collapsed="false">
      <c r="B526" s="70" t="s">
        <v>673</v>
      </c>
      <c r="C526" s="71" t="str">
        <f aca="false">IFERROR(INDEX('13F Data'!A:A,MATCH($B526,'13F Data'!A:A,0)),"No CUSIP Match")</f>
        <v>No CUSIP Match</v>
      </c>
      <c r="D526" s="71" t="str">
        <f aca="false">IFERROR(IF($B526=$C526,"Yes","No"),"No CUSIP Match")</f>
        <v>No</v>
      </c>
      <c r="E526" s="71"/>
      <c r="F526" s="71" t="str">
        <f aca="false">IFERROR(INDEX('13F Data'!C:C, MATCH($B526,'13F Data'!A:A,0)),"No CUSIP Match")</f>
        <v>No CUSIP Match</v>
      </c>
      <c r="G526" s="72" t="str">
        <f aca="false">IFERROR(INDEX('13F Data'!D:D,MATCH($B526,'13F Data'!A:A,0)),"No CUSIP Match")</f>
        <v>No CUSIP Match</v>
      </c>
      <c r="J526" s="73" t="n">
        <f aca="false">$V526</f>
        <v>700</v>
      </c>
      <c r="K526" s="71" t="str">
        <f aca="false">IFERROR(INDEX('EOD Data'!G:G, MATCH($A526, 'EOD Data'!B:B,0)), "No TKR Match")</f>
        <v>No TKR Match</v>
      </c>
      <c r="L526" s="71" t="str">
        <f aca="false">IFERROR(ROUND($J526*$K526,0),"Error")</f>
        <v>Error</v>
      </c>
      <c r="M526" s="71" t="str">
        <f aca="false">IFERROR(IF(AND($J526&lt;10000,$L526&lt;200000),"Yes","No"),"Error")</f>
        <v>No</v>
      </c>
      <c r="P526" s="42" t="str">
        <f aca="false">IF($N526="SOLE",$J526,"")</f>
        <v/>
      </c>
      <c r="Q526" s="42" t="str">
        <f aca="false">IFERROR(IF($N526="Sole",0,IF(AND($N526="OTR",$R526=0),$J526-$P526,IF(AND($N526="OTR", $R526&gt;0), $J526-$P526-$Q526, ""))),"")</f>
        <v/>
      </c>
      <c r="R526" s="42" t="str">
        <f aca="false">IF($P526=$J526, "0","")</f>
        <v/>
      </c>
      <c r="S526" s="42" t="str">
        <f aca="false">IF(OR(ISBLANK($B526),ISBLANK($C526), ISBLANK($E526), ISBLANK($F526), AND(ISBLANK($G526),ISBLANK($H526)), ISBLANK($I526), ISBLANK($L526), AND(ISBLANK($N526), ISBLANK($O526)), AND(ISBLANK($P526), ISBLANK($Q526), ISBLANK($R526))), "No", "Yes")</f>
        <v>No</v>
      </c>
      <c r="T526" s="42" t="str">
        <f aca="false">SUBSTITUTE($U526," ","")</f>
        <v>74340W103</v>
      </c>
      <c r="U526" s="42" t="s">
        <v>673</v>
      </c>
      <c r="V526" s="39" t="n">
        <v>700</v>
      </c>
    </row>
    <row r="527" customFormat="false" ht="15" hidden="false" customHeight="false" outlineLevel="0" collapsed="false">
      <c r="B527" s="70" t="s">
        <v>673</v>
      </c>
      <c r="C527" s="71" t="str">
        <f aca="false">IFERROR(INDEX('13F Data'!A:A,MATCH($B527,'13F Data'!A:A,0)),"No CUSIP Match")</f>
        <v>No CUSIP Match</v>
      </c>
      <c r="D527" s="71" t="str">
        <f aca="false">IFERROR(IF($B527=$C527,"Yes","No"),"No CUSIP Match")</f>
        <v>No</v>
      </c>
      <c r="E527" s="71"/>
      <c r="F527" s="71" t="str">
        <f aca="false">IFERROR(INDEX('13F Data'!C:C, MATCH($B527,'13F Data'!A:A,0)),"No CUSIP Match")</f>
        <v>No CUSIP Match</v>
      </c>
      <c r="G527" s="72" t="str">
        <f aca="false">IFERROR(INDEX('13F Data'!D:D,MATCH($B527,'13F Data'!A:A,0)),"No CUSIP Match")</f>
        <v>No CUSIP Match</v>
      </c>
      <c r="J527" s="73" t="n">
        <f aca="false">$V527</f>
        <v>700</v>
      </c>
      <c r="K527" s="71" t="str">
        <f aca="false">IFERROR(INDEX('EOD Data'!G:G, MATCH($A527, 'EOD Data'!B:B,0)), "No TKR Match")</f>
        <v>No TKR Match</v>
      </c>
      <c r="L527" s="71" t="str">
        <f aca="false">IFERROR(ROUND($J527*$K527,0),"Error")</f>
        <v>Error</v>
      </c>
      <c r="M527" s="71" t="str">
        <f aca="false">IFERROR(IF(AND($J527&lt;10000,$L527&lt;200000),"Yes","No"),"Error")</f>
        <v>No</v>
      </c>
      <c r="P527" s="42" t="str">
        <f aca="false">IF($N527="SOLE",$J527,"")</f>
        <v/>
      </c>
      <c r="Q527" s="42" t="str">
        <f aca="false">IFERROR(IF($N527="Sole",0,IF(AND($N527="OTR",$R527=0),$J527-$P527,IF(AND($N527="OTR", $R527&gt;0), $J527-$P527-$Q527, ""))),"")</f>
        <v/>
      </c>
      <c r="R527" s="42" t="str">
        <f aca="false">IF($P527=$J527, "0","")</f>
        <v/>
      </c>
      <c r="S527" s="42" t="str">
        <f aca="false">IF(OR(ISBLANK($B527),ISBLANK($C527), ISBLANK($E527), ISBLANK($F527), AND(ISBLANK($G527),ISBLANK($H527)), ISBLANK($I527), ISBLANK($L527), AND(ISBLANK($N527), ISBLANK($O527)), AND(ISBLANK($P527), ISBLANK($Q527), ISBLANK($R527))), "No", "Yes")</f>
        <v>No</v>
      </c>
      <c r="T527" s="42" t="str">
        <f aca="false">SUBSTITUTE($U527," ","")</f>
        <v>74340W103</v>
      </c>
      <c r="U527" s="42" t="s">
        <v>673</v>
      </c>
      <c r="V527" s="39" t="n">
        <v>700</v>
      </c>
    </row>
    <row r="528" customFormat="false" ht="15" hidden="false" customHeight="false" outlineLevel="0" collapsed="false">
      <c r="B528" s="70" t="s">
        <v>675</v>
      </c>
      <c r="C528" s="71" t="str">
        <f aca="false">IFERROR(INDEX('13F Data'!A:A,MATCH($B528,'13F Data'!A:A,0)),"No CUSIP Match")</f>
        <v>No CUSIP Match</v>
      </c>
      <c r="D528" s="71" t="str">
        <f aca="false">IFERROR(IF($B528=$C528,"Yes","No"),"No CUSIP Match")</f>
        <v>No</v>
      </c>
      <c r="E528" s="71"/>
      <c r="F528" s="71" t="str">
        <f aca="false">IFERROR(INDEX('13F Data'!C:C, MATCH($B528,'13F Data'!A:A,0)),"No CUSIP Match")</f>
        <v>No CUSIP Match</v>
      </c>
      <c r="G528" s="72" t="str">
        <f aca="false">IFERROR(INDEX('13F Data'!D:D,MATCH($B528,'13F Data'!A:A,0)),"No CUSIP Match")</f>
        <v>No CUSIP Match</v>
      </c>
      <c r="J528" s="73" t="n">
        <f aca="false">$V528</f>
        <v>25500000</v>
      </c>
      <c r="K528" s="71" t="str">
        <f aca="false">IFERROR(INDEX('EOD Data'!G:G, MATCH($A528, 'EOD Data'!B:B,0)), "No TKR Match")</f>
        <v>No TKR Match</v>
      </c>
      <c r="L528" s="71" t="str">
        <f aca="false">IFERROR(ROUND($J528*$K528,0),"Error")</f>
        <v>Error</v>
      </c>
      <c r="M528" s="71" t="str">
        <f aca="false">IFERROR(IF(AND($J528&lt;10000,$L528&lt;200000),"Yes","No"),"Error")</f>
        <v>No</v>
      </c>
      <c r="P528" s="42" t="str">
        <f aca="false">IF($N528="SOLE",$J528,"")</f>
        <v/>
      </c>
      <c r="Q528" s="42" t="str">
        <f aca="false">IFERROR(IF($N528="Sole",0,IF(AND($N528="OTR",$R528=0),$J528-$P528,IF(AND($N528="OTR", $R528&gt;0), $J528-$P528-$Q528, ""))),"")</f>
        <v/>
      </c>
      <c r="R528" s="42" t="str">
        <f aca="false">IF($P528=$J528, "0","")</f>
        <v/>
      </c>
      <c r="S528" s="42" t="str">
        <f aca="false">IF(OR(ISBLANK($B528),ISBLANK($C528), ISBLANK($E528), ISBLANK($F528), AND(ISBLANK($G528),ISBLANK($H528)), ISBLANK($I528), ISBLANK($L528), AND(ISBLANK($N528), ISBLANK($O528)), AND(ISBLANK($P528), ISBLANK($Q528), ISBLANK($R528))), "No", "Yes")</f>
        <v>No</v>
      </c>
      <c r="T528" s="42" t="str">
        <f aca="false">SUBSTITUTE($U528," ","")</f>
        <v>74346YAG8</v>
      </c>
      <c r="U528" s="42" t="s">
        <v>675</v>
      </c>
      <c r="V528" s="39" t="n">
        <v>25500000</v>
      </c>
    </row>
    <row r="529" customFormat="false" ht="15" hidden="false" customHeight="false" outlineLevel="0" collapsed="false">
      <c r="B529" s="70" t="s">
        <v>677</v>
      </c>
      <c r="C529" s="71" t="str">
        <f aca="false">IFERROR(INDEX('13F Data'!A:A,MATCH($B529,'13F Data'!A:A,0)),"No CUSIP Match")</f>
        <v>No CUSIP Match</v>
      </c>
      <c r="D529" s="71" t="str">
        <f aca="false">IFERROR(IF($B529=$C529,"Yes","No"),"No CUSIP Match")</f>
        <v>No</v>
      </c>
      <c r="E529" s="71"/>
      <c r="F529" s="71" t="str">
        <f aca="false">IFERROR(INDEX('13F Data'!C:C, MATCH($B529,'13F Data'!A:A,0)),"No CUSIP Match")</f>
        <v>No CUSIP Match</v>
      </c>
      <c r="G529" s="72" t="str">
        <f aca="false">IFERROR(INDEX('13F Data'!D:D,MATCH($B529,'13F Data'!A:A,0)),"No CUSIP Match")</f>
        <v>No CUSIP Match</v>
      </c>
      <c r="J529" s="73" t="n">
        <f aca="false">$V529</f>
        <v>57206</v>
      </c>
      <c r="K529" s="71" t="str">
        <f aca="false">IFERROR(INDEX('EOD Data'!G:G, MATCH($A529, 'EOD Data'!B:B,0)), "No TKR Match")</f>
        <v>No TKR Match</v>
      </c>
      <c r="L529" s="71" t="str">
        <f aca="false">IFERROR(ROUND($J529*$K529,0),"Error")</f>
        <v>Error</v>
      </c>
      <c r="M529" s="71" t="str">
        <f aca="false">IFERROR(IF(AND($J529&lt;10000,$L529&lt;200000),"Yes","No"),"Error")</f>
        <v>No</v>
      </c>
      <c r="P529" s="42" t="str">
        <f aca="false">IF($N529="SOLE",$J529,"")</f>
        <v/>
      </c>
      <c r="Q529" s="42" t="str">
        <f aca="false">IFERROR(IF($N529="Sole",0,IF(AND($N529="OTR",$R529=0),$J529-$P529,IF(AND($N529="OTR", $R529&gt;0), $J529-$P529-$Q529, ""))),"")</f>
        <v/>
      </c>
      <c r="R529" s="42" t="str">
        <f aca="false">IF($P529=$J529, "0","")</f>
        <v/>
      </c>
      <c r="S529" s="42" t="str">
        <f aca="false">IF(OR(ISBLANK($B529),ISBLANK($C529), ISBLANK($E529), ISBLANK($F529), AND(ISBLANK($G529),ISBLANK($H529)), ISBLANK($I529), ISBLANK($L529), AND(ISBLANK($N529), ISBLANK($O529)), AND(ISBLANK($P529), ISBLANK($Q529), ISBLANK($R529))), "No", "Yes")</f>
        <v>No</v>
      </c>
      <c r="T529" s="42" t="str">
        <f aca="false">SUBSTITUTE($U529," ","")</f>
        <v>74366E102</v>
      </c>
      <c r="U529" s="42" t="s">
        <v>677</v>
      </c>
      <c r="V529" s="39" t="n">
        <v>57206</v>
      </c>
    </row>
    <row r="530" customFormat="false" ht="15" hidden="false" customHeight="false" outlineLevel="0" collapsed="false">
      <c r="B530" s="70" t="s">
        <v>679</v>
      </c>
      <c r="C530" s="71" t="str">
        <f aca="false">IFERROR(INDEX('13F Data'!A:A,MATCH($B530,'13F Data'!A:A,0)),"No CUSIP Match")</f>
        <v>No CUSIP Match</v>
      </c>
      <c r="D530" s="71" t="str">
        <f aca="false">IFERROR(IF($B530=$C530,"Yes","No"),"No CUSIP Match")</f>
        <v>No</v>
      </c>
      <c r="E530" s="71"/>
      <c r="F530" s="71" t="str">
        <f aca="false">IFERROR(INDEX('13F Data'!C:C, MATCH($B530,'13F Data'!A:A,0)),"No CUSIP Match")</f>
        <v>No CUSIP Match</v>
      </c>
      <c r="G530" s="72" t="str">
        <f aca="false">IFERROR(INDEX('13F Data'!D:D,MATCH($B530,'13F Data'!A:A,0)),"No CUSIP Match")</f>
        <v>No CUSIP Match</v>
      </c>
      <c r="J530" s="73" t="n">
        <f aca="false">$V530</f>
        <v>8227000</v>
      </c>
      <c r="K530" s="71" t="str">
        <f aca="false">IFERROR(INDEX('EOD Data'!G:G, MATCH($A530, 'EOD Data'!B:B,0)), "No TKR Match")</f>
        <v>No TKR Match</v>
      </c>
      <c r="L530" s="71" t="str">
        <f aca="false">IFERROR(ROUND($J530*$K530,0),"Error")</f>
        <v>Error</v>
      </c>
      <c r="M530" s="71" t="str">
        <f aca="false">IFERROR(IF(AND($J530&lt;10000,$L530&lt;200000),"Yes","No"),"Error")</f>
        <v>No</v>
      </c>
      <c r="P530" s="42" t="str">
        <f aca="false">IF($N530="SOLE",$J530,"")</f>
        <v/>
      </c>
      <c r="Q530" s="42" t="str">
        <f aca="false">IFERROR(IF($N530="Sole",0,IF(AND($N530="OTR",$R530=0),$J530-$P530,IF(AND($N530="OTR", $R530&gt;0), $J530-$P530-$Q530, ""))),"")</f>
        <v/>
      </c>
      <c r="R530" s="42" t="str">
        <f aca="false">IF($P530=$J530, "0","")</f>
        <v/>
      </c>
      <c r="S530" s="42" t="str">
        <f aca="false">IF(OR(ISBLANK($B530),ISBLANK($C530), ISBLANK($E530), ISBLANK($F530), AND(ISBLANK($G530),ISBLANK($H530)), ISBLANK($I530), ISBLANK($L530), AND(ISBLANK($N530), ISBLANK($O530)), AND(ISBLANK($P530), ISBLANK($Q530), ISBLANK($R530))), "No", "Yes")</f>
        <v>No</v>
      </c>
      <c r="T530" s="42" t="str">
        <f aca="false">SUBSTITUTE($U530," ","")</f>
        <v>69366JAD3</v>
      </c>
      <c r="U530" s="42" t="s">
        <v>679</v>
      </c>
      <c r="V530" s="39" t="n">
        <v>8227000</v>
      </c>
    </row>
    <row r="531" customFormat="false" ht="15" hidden="false" customHeight="false" outlineLevel="0" collapsed="false">
      <c r="B531" s="70" t="s">
        <v>681</v>
      </c>
      <c r="C531" s="71" t="str">
        <f aca="false">IFERROR(INDEX('13F Data'!A:A,MATCH($B531,'13F Data'!A:A,0)),"No CUSIP Match")</f>
        <v>No CUSIP Match</v>
      </c>
      <c r="D531" s="71" t="str">
        <f aca="false">IFERROR(IF($B531=$C531,"Yes","No"),"No CUSIP Match")</f>
        <v>No</v>
      </c>
      <c r="E531" s="71"/>
      <c r="F531" s="71" t="str">
        <f aca="false">IFERROR(INDEX('13F Data'!C:C, MATCH($B531,'13F Data'!A:A,0)),"No CUSIP Match")</f>
        <v>No CUSIP Match</v>
      </c>
      <c r="G531" s="72" t="str">
        <f aca="false">IFERROR(INDEX('13F Data'!D:D,MATCH($B531,'13F Data'!A:A,0)),"No CUSIP Match")</f>
        <v>No CUSIP Match</v>
      </c>
      <c r="J531" s="73" t="n">
        <f aca="false">$V531</f>
        <v>6700</v>
      </c>
      <c r="K531" s="71" t="str">
        <f aca="false">IFERROR(INDEX('EOD Data'!G:G, MATCH($A531, 'EOD Data'!B:B,0)), "No TKR Match")</f>
        <v>No TKR Match</v>
      </c>
      <c r="L531" s="71" t="str">
        <f aca="false">IFERROR(ROUND($J531*$K531,0),"Error")</f>
        <v>Error</v>
      </c>
      <c r="M531" s="71" t="str">
        <f aca="false">IFERROR(IF(AND($J531&lt;10000,$L531&lt;200000),"Yes","No"),"Error")</f>
        <v>No</v>
      </c>
      <c r="P531" s="42" t="str">
        <f aca="false">IF($N531="SOLE",$J531,"")</f>
        <v/>
      </c>
      <c r="Q531" s="42" t="str">
        <f aca="false">IFERROR(IF($N531="Sole",0,IF(AND($N531="OTR",$R531=0),$J531-$P531,IF(AND($N531="OTR", $R531&gt;0), $J531-$P531-$Q531, ""))),"")</f>
        <v/>
      </c>
      <c r="R531" s="42" t="str">
        <f aca="false">IF($P531=$J531, "0","")</f>
        <v/>
      </c>
      <c r="S531" s="42" t="str">
        <f aca="false">IF(OR(ISBLANK($B531),ISBLANK($C531), ISBLANK($E531), ISBLANK($F531), AND(ISBLANK($G531),ISBLANK($H531)), ISBLANK($I531), ISBLANK($L531), AND(ISBLANK($N531), ISBLANK($O531)), AND(ISBLANK($P531), ISBLANK($Q531), ISBLANK($R531))), "No", "Yes")</f>
        <v>No</v>
      </c>
      <c r="T531" s="42" t="str">
        <f aca="false">SUBSTITUTE($U531," ","")</f>
        <v>74460D109</v>
      </c>
      <c r="U531" s="42" t="s">
        <v>681</v>
      </c>
      <c r="V531" s="39" t="n">
        <v>6700</v>
      </c>
    </row>
    <row r="532" customFormat="false" ht="15" hidden="false" customHeight="false" outlineLevel="0" collapsed="false">
      <c r="B532" s="70" t="s">
        <v>681</v>
      </c>
      <c r="C532" s="71" t="str">
        <f aca="false">IFERROR(INDEX('13F Data'!A:A,MATCH($B532,'13F Data'!A:A,0)),"No CUSIP Match")</f>
        <v>No CUSIP Match</v>
      </c>
      <c r="D532" s="71" t="str">
        <f aca="false">IFERROR(IF($B532=$C532,"Yes","No"),"No CUSIP Match")</f>
        <v>No</v>
      </c>
      <c r="E532" s="71"/>
      <c r="F532" s="71" t="str">
        <f aca="false">IFERROR(INDEX('13F Data'!C:C, MATCH($B532,'13F Data'!A:A,0)),"No CUSIP Match")</f>
        <v>No CUSIP Match</v>
      </c>
      <c r="G532" s="72" t="str">
        <f aca="false">IFERROR(INDEX('13F Data'!D:D,MATCH($B532,'13F Data'!A:A,0)),"No CUSIP Match")</f>
        <v>No CUSIP Match</v>
      </c>
      <c r="J532" s="73" t="n">
        <f aca="false">$V532</f>
        <v>6700</v>
      </c>
      <c r="K532" s="71" t="str">
        <f aca="false">IFERROR(INDEX('EOD Data'!G:G, MATCH($A532, 'EOD Data'!B:B,0)), "No TKR Match")</f>
        <v>No TKR Match</v>
      </c>
      <c r="L532" s="71" t="str">
        <f aca="false">IFERROR(ROUND($J532*$K532,0),"Error")</f>
        <v>Error</v>
      </c>
      <c r="M532" s="71" t="str">
        <f aca="false">IFERROR(IF(AND($J532&lt;10000,$L532&lt;200000),"Yes","No"),"Error")</f>
        <v>No</v>
      </c>
      <c r="P532" s="42" t="str">
        <f aca="false">IF($N532="SOLE",$J532,"")</f>
        <v/>
      </c>
      <c r="Q532" s="42" t="str">
        <f aca="false">IFERROR(IF($N532="Sole",0,IF(AND($N532="OTR",$R532=0),$J532-$P532,IF(AND($N532="OTR", $R532&gt;0), $J532-$P532-$Q532, ""))),"")</f>
        <v/>
      </c>
      <c r="R532" s="42" t="str">
        <f aca="false">IF($P532=$J532, "0","")</f>
        <v/>
      </c>
      <c r="S532" s="42" t="str">
        <f aca="false">IF(OR(ISBLANK($B532),ISBLANK($C532), ISBLANK($E532), ISBLANK($F532), AND(ISBLANK($G532),ISBLANK($H532)), ISBLANK($I532), ISBLANK($L532), AND(ISBLANK($N532), ISBLANK($O532)), AND(ISBLANK($P532), ISBLANK($Q532), ISBLANK($R532))), "No", "Yes")</f>
        <v>No</v>
      </c>
      <c r="T532" s="42" t="str">
        <f aca="false">SUBSTITUTE($U532," ","")</f>
        <v>74460D109</v>
      </c>
      <c r="U532" s="42" t="s">
        <v>681</v>
      </c>
      <c r="V532" s="39" t="n">
        <v>6700</v>
      </c>
    </row>
    <row r="533" customFormat="false" ht="15" hidden="false" customHeight="false" outlineLevel="0" collapsed="false">
      <c r="B533" s="70" t="s">
        <v>683</v>
      </c>
      <c r="C533" s="71" t="str">
        <f aca="false">IFERROR(INDEX('13F Data'!A:A,MATCH($B533,'13F Data'!A:A,0)),"No CUSIP Match")</f>
        <v>No CUSIP Match</v>
      </c>
      <c r="D533" s="71" t="str">
        <f aca="false">IFERROR(IF($B533=$C533,"Yes","No"),"No CUSIP Match")</f>
        <v>No</v>
      </c>
      <c r="E533" s="71"/>
      <c r="F533" s="71" t="str">
        <f aca="false">IFERROR(INDEX('13F Data'!C:C, MATCH($B533,'13F Data'!A:A,0)),"No CUSIP Match")</f>
        <v>No CUSIP Match</v>
      </c>
      <c r="G533" s="72" t="str">
        <f aca="false">IFERROR(INDEX('13F Data'!D:D,MATCH($B533,'13F Data'!A:A,0)),"No CUSIP Match")</f>
        <v>No CUSIP Match</v>
      </c>
      <c r="J533" s="73" t="n">
        <f aca="false">$V533</f>
        <v>4800</v>
      </c>
      <c r="K533" s="71" t="str">
        <f aca="false">IFERROR(INDEX('EOD Data'!G:G, MATCH($A533, 'EOD Data'!B:B,0)), "No TKR Match")</f>
        <v>No TKR Match</v>
      </c>
      <c r="L533" s="71" t="str">
        <f aca="false">IFERROR(ROUND($J533*$K533,0),"Error")</f>
        <v>Error</v>
      </c>
      <c r="M533" s="71" t="str">
        <f aca="false">IFERROR(IF(AND($J533&lt;10000,$L533&lt;200000),"Yes","No"),"Error")</f>
        <v>No</v>
      </c>
      <c r="P533" s="42" t="str">
        <f aca="false">IF($N533="SOLE",$J533,"")</f>
        <v/>
      </c>
      <c r="Q533" s="42" t="str">
        <f aca="false">IFERROR(IF($N533="Sole",0,IF(AND($N533="OTR",$R533=0),$J533-$P533,IF(AND($N533="OTR", $R533&gt;0), $J533-$P533-$Q533, ""))),"")</f>
        <v/>
      </c>
      <c r="R533" s="42" t="str">
        <f aca="false">IF($P533=$J533, "0","")</f>
        <v/>
      </c>
      <c r="S533" s="42" t="str">
        <f aca="false">IF(OR(ISBLANK($B533),ISBLANK($C533), ISBLANK($E533), ISBLANK($F533), AND(ISBLANK($G533),ISBLANK($H533)), ISBLANK($I533), ISBLANK($L533), AND(ISBLANK($N533), ISBLANK($O533)), AND(ISBLANK($P533), ISBLANK($Q533), ISBLANK($R533))), "No", "Yes")</f>
        <v>No</v>
      </c>
      <c r="T533" s="42" t="str">
        <f aca="false">SUBSTITUTE($U533," ","")</f>
        <v>745867101</v>
      </c>
      <c r="U533" s="42" t="s">
        <v>683</v>
      </c>
      <c r="V533" s="39" t="n">
        <v>4800</v>
      </c>
    </row>
    <row r="534" customFormat="false" ht="15" hidden="false" customHeight="false" outlineLevel="0" collapsed="false">
      <c r="B534" s="70" t="s">
        <v>683</v>
      </c>
      <c r="C534" s="71" t="str">
        <f aca="false">IFERROR(INDEX('13F Data'!A:A,MATCH($B534,'13F Data'!A:A,0)),"No CUSIP Match")</f>
        <v>No CUSIP Match</v>
      </c>
      <c r="D534" s="71" t="str">
        <f aca="false">IFERROR(IF($B534=$C534,"Yes","No"),"No CUSIP Match")</f>
        <v>No</v>
      </c>
      <c r="E534" s="71"/>
      <c r="F534" s="71" t="str">
        <f aca="false">IFERROR(INDEX('13F Data'!C:C, MATCH($B534,'13F Data'!A:A,0)),"No CUSIP Match")</f>
        <v>No CUSIP Match</v>
      </c>
      <c r="G534" s="72" t="str">
        <f aca="false">IFERROR(INDEX('13F Data'!D:D,MATCH($B534,'13F Data'!A:A,0)),"No CUSIP Match")</f>
        <v>No CUSIP Match</v>
      </c>
      <c r="J534" s="73" t="n">
        <f aca="false">$V534</f>
        <v>4800</v>
      </c>
      <c r="K534" s="71" t="str">
        <f aca="false">IFERROR(INDEX('EOD Data'!G:G, MATCH($A534, 'EOD Data'!B:B,0)), "No TKR Match")</f>
        <v>No TKR Match</v>
      </c>
      <c r="L534" s="71" t="str">
        <f aca="false">IFERROR(ROUND($J534*$K534,0),"Error")</f>
        <v>Error</v>
      </c>
      <c r="M534" s="71" t="str">
        <f aca="false">IFERROR(IF(AND($J534&lt;10000,$L534&lt;200000),"Yes","No"),"Error")</f>
        <v>No</v>
      </c>
      <c r="P534" s="42" t="str">
        <f aca="false">IF($N534="SOLE",$J534,"")</f>
        <v/>
      </c>
      <c r="Q534" s="42" t="str">
        <f aca="false">IFERROR(IF($N534="Sole",0,IF(AND($N534="OTR",$R534=0),$J534-$P534,IF(AND($N534="OTR", $R534&gt;0), $J534-$P534-$Q534, ""))),"")</f>
        <v/>
      </c>
      <c r="R534" s="42" t="str">
        <f aca="false">IF($P534=$J534, "0","")</f>
        <v/>
      </c>
      <c r="S534" s="42" t="str">
        <f aca="false">IF(OR(ISBLANK($B534),ISBLANK($C534), ISBLANK($E534), ISBLANK($F534), AND(ISBLANK($G534),ISBLANK($H534)), ISBLANK($I534), ISBLANK($L534), AND(ISBLANK($N534), ISBLANK($O534)), AND(ISBLANK($P534), ISBLANK($Q534), ISBLANK($R534))), "No", "Yes")</f>
        <v>No</v>
      </c>
      <c r="T534" s="42" t="str">
        <f aca="false">SUBSTITUTE($U534," ","")</f>
        <v>745867101</v>
      </c>
      <c r="U534" s="42" t="s">
        <v>683</v>
      </c>
      <c r="V534" s="39" t="n">
        <v>4800</v>
      </c>
    </row>
    <row r="535" customFormat="false" ht="15" hidden="false" customHeight="false" outlineLevel="0" collapsed="false">
      <c r="B535" s="70" t="s">
        <v>685</v>
      </c>
      <c r="C535" s="71" t="str">
        <f aca="false">IFERROR(INDEX('13F Data'!A:A,MATCH($B535,'13F Data'!A:A,0)),"No CUSIP Match")</f>
        <v>No CUSIP Match</v>
      </c>
      <c r="D535" s="71" t="str">
        <f aca="false">IFERROR(IF($B535=$C535,"Yes","No"),"No CUSIP Match")</f>
        <v>No</v>
      </c>
      <c r="E535" s="71"/>
      <c r="F535" s="71" t="str">
        <f aca="false">IFERROR(INDEX('13F Data'!C:C, MATCH($B535,'13F Data'!A:A,0)),"No CUSIP Match")</f>
        <v>No CUSIP Match</v>
      </c>
      <c r="G535" s="72" t="str">
        <f aca="false">IFERROR(INDEX('13F Data'!D:D,MATCH($B535,'13F Data'!A:A,0)),"No CUSIP Match")</f>
        <v>No CUSIP Match</v>
      </c>
      <c r="J535" s="73" t="n">
        <f aca="false">$V535</f>
        <v>34700</v>
      </c>
      <c r="K535" s="71" t="str">
        <f aca="false">IFERROR(INDEX('EOD Data'!G:G, MATCH($A535, 'EOD Data'!B:B,0)), "No TKR Match")</f>
        <v>No TKR Match</v>
      </c>
      <c r="L535" s="71" t="str">
        <f aca="false">IFERROR(ROUND($J535*$K535,0),"Error")</f>
        <v>Error</v>
      </c>
      <c r="M535" s="71" t="str">
        <f aca="false">IFERROR(IF(AND($J535&lt;10000,$L535&lt;200000),"Yes","No"),"Error")</f>
        <v>No</v>
      </c>
      <c r="P535" s="42" t="str">
        <f aca="false">IF($N535="SOLE",$J535,"")</f>
        <v/>
      </c>
      <c r="Q535" s="42" t="str">
        <f aca="false">IFERROR(IF($N535="Sole",0,IF(AND($N535="OTR",$R535=0),$J535-$P535,IF(AND($N535="OTR", $R535&gt;0), $J535-$P535-$Q535, ""))),"")</f>
        <v/>
      </c>
      <c r="R535" s="42" t="str">
        <f aca="false">IF($P535=$J535, "0","")</f>
        <v/>
      </c>
      <c r="S535" s="42" t="str">
        <f aca="false">IF(OR(ISBLANK($B535),ISBLANK($C535), ISBLANK($E535), ISBLANK($F535), AND(ISBLANK($G535),ISBLANK($H535)), ISBLANK($I535), ISBLANK($L535), AND(ISBLANK($N535), ISBLANK($O535)), AND(ISBLANK($P535), ISBLANK($Q535), ISBLANK($R535))), "No", "Yes")</f>
        <v>No</v>
      </c>
      <c r="T535" s="42" t="str">
        <f aca="false">SUBSTITUTE($U535," ","")</f>
        <v>747525103</v>
      </c>
      <c r="U535" s="42" t="s">
        <v>685</v>
      </c>
      <c r="V535" s="39" t="n">
        <v>34700</v>
      </c>
    </row>
    <row r="536" customFormat="false" ht="15" hidden="false" customHeight="false" outlineLevel="0" collapsed="false">
      <c r="B536" s="70" t="s">
        <v>685</v>
      </c>
      <c r="C536" s="71" t="str">
        <f aca="false">IFERROR(INDEX('13F Data'!A:A,MATCH($B536,'13F Data'!A:A,0)),"No CUSIP Match")</f>
        <v>No CUSIP Match</v>
      </c>
      <c r="D536" s="71" t="str">
        <f aca="false">IFERROR(IF($B536=$C536,"Yes","No"),"No CUSIP Match")</f>
        <v>No</v>
      </c>
      <c r="E536" s="71"/>
      <c r="F536" s="71" t="str">
        <f aca="false">IFERROR(INDEX('13F Data'!C:C, MATCH($B536,'13F Data'!A:A,0)),"No CUSIP Match")</f>
        <v>No CUSIP Match</v>
      </c>
      <c r="G536" s="72" t="str">
        <f aca="false">IFERROR(INDEX('13F Data'!D:D,MATCH($B536,'13F Data'!A:A,0)),"No CUSIP Match")</f>
        <v>No CUSIP Match</v>
      </c>
      <c r="J536" s="73" t="n">
        <f aca="false">$V536</f>
        <v>34700</v>
      </c>
      <c r="K536" s="71" t="str">
        <f aca="false">IFERROR(INDEX('EOD Data'!G:G, MATCH($A536, 'EOD Data'!B:B,0)), "No TKR Match")</f>
        <v>No TKR Match</v>
      </c>
      <c r="L536" s="71" t="str">
        <f aca="false">IFERROR(ROUND($J536*$K536,0),"Error")</f>
        <v>Error</v>
      </c>
      <c r="M536" s="71" t="str">
        <f aca="false">IFERROR(IF(AND($J536&lt;10000,$L536&lt;200000),"Yes","No"),"Error")</f>
        <v>No</v>
      </c>
      <c r="P536" s="42" t="str">
        <f aca="false">IF($N536="SOLE",$J536,"")</f>
        <v/>
      </c>
      <c r="Q536" s="42" t="str">
        <f aca="false">IFERROR(IF($N536="Sole",0,IF(AND($N536="OTR",$R536=0),$J536-$P536,IF(AND($N536="OTR", $R536&gt;0), $J536-$P536-$Q536, ""))),"")</f>
        <v/>
      </c>
      <c r="R536" s="42" t="str">
        <f aca="false">IF($P536=$J536, "0","")</f>
        <v/>
      </c>
      <c r="S536" s="42" t="str">
        <f aca="false">IF(OR(ISBLANK($B536),ISBLANK($C536), ISBLANK($E536), ISBLANK($F536), AND(ISBLANK($G536),ISBLANK($H536)), ISBLANK($I536), ISBLANK($L536), AND(ISBLANK($N536), ISBLANK($O536)), AND(ISBLANK($P536), ISBLANK($Q536), ISBLANK($R536))), "No", "Yes")</f>
        <v>No</v>
      </c>
      <c r="T536" s="42" t="str">
        <f aca="false">SUBSTITUTE($U536," ","")</f>
        <v>747525103</v>
      </c>
      <c r="U536" s="42" t="s">
        <v>685</v>
      </c>
      <c r="V536" s="39" t="n">
        <v>34700</v>
      </c>
    </row>
    <row r="537" customFormat="false" ht="15" hidden="false" customHeight="false" outlineLevel="0" collapsed="false">
      <c r="B537" s="70" t="s">
        <v>687</v>
      </c>
      <c r="C537" s="71" t="str">
        <f aca="false">IFERROR(INDEX('13F Data'!A:A,MATCH($B537,'13F Data'!A:A,0)),"No CUSIP Match")</f>
        <v>No CUSIP Match</v>
      </c>
      <c r="D537" s="71" t="str">
        <f aca="false">IFERROR(IF($B537=$C537,"Yes","No"),"No CUSIP Match")</f>
        <v>No</v>
      </c>
      <c r="E537" s="71"/>
      <c r="F537" s="71" t="str">
        <f aca="false">IFERROR(INDEX('13F Data'!C:C, MATCH($B537,'13F Data'!A:A,0)),"No CUSIP Match")</f>
        <v>No CUSIP Match</v>
      </c>
      <c r="G537" s="72" t="str">
        <f aca="false">IFERROR(INDEX('13F Data'!D:D,MATCH($B537,'13F Data'!A:A,0)),"No CUSIP Match")</f>
        <v>No CUSIP Match</v>
      </c>
      <c r="J537" s="73" t="n">
        <f aca="false">$V537</f>
        <v>23825</v>
      </c>
      <c r="K537" s="71" t="str">
        <f aca="false">IFERROR(INDEX('EOD Data'!G:G, MATCH($A537, 'EOD Data'!B:B,0)), "No TKR Match")</f>
        <v>No TKR Match</v>
      </c>
      <c r="L537" s="71" t="str">
        <f aca="false">IFERROR(ROUND($J537*$K537,0),"Error")</f>
        <v>Error</v>
      </c>
      <c r="M537" s="71" t="str">
        <f aca="false">IFERROR(IF(AND($J537&lt;10000,$L537&lt;200000),"Yes","No"),"Error")</f>
        <v>No</v>
      </c>
      <c r="P537" s="42" t="str">
        <f aca="false">IF($N537="SOLE",$J537,"")</f>
        <v/>
      </c>
      <c r="Q537" s="42" t="str">
        <f aca="false">IFERROR(IF($N537="Sole",0,IF(AND($N537="OTR",$R537=0),$J537-$P537,IF(AND($N537="OTR", $R537&gt;0), $J537-$P537-$Q537, ""))),"")</f>
        <v/>
      </c>
      <c r="R537" s="42" t="str">
        <f aca="false">IF($P537=$J537, "0","")</f>
        <v/>
      </c>
      <c r="S537" s="42" t="str">
        <f aca="false">IF(OR(ISBLANK($B537),ISBLANK($C537), ISBLANK($E537), ISBLANK($F537), AND(ISBLANK($G537),ISBLANK($H537)), ISBLANK($I537), ISBLANK($L537), AND(ISBLANK($N537), ISBLANK($O537)), AND(ISBLANK($P537), ISBLANK($Q537), ISBLANK($R537))), "No", "Yes")</f>
        <v>No</v>
      </c>
      <c r="T537" s="42" t="str">
        <f aca="false">SUBSTITUTE($U537," ","")</f>
        <v>75281A109</v>
      </c>
      <c r="U537" s="42" t="s">
        <v>687</v>
      </c>
      <c r="V537" s="39" t="n">
        <v>23825</v>
      </c>
    </row>
    <row r="538" customFormat="false" ht="15" hidden="false" customHeight="false" outlineLevel="0" collapsed="false">
      <c r="B538" s="70" t="s">
        <v>687</v>
      </c>
      <c r="C538" s="71" t="str">
        <f aca="false">IFERROR(INDEX('13F Data'!A:A,MATCH($B538,'13F Data'!A:A,0)),"No CUSIP Match")</f>
        <v>No CUSIP Match</v>
      </c>
      <c r="D538" s="71" t="str">
        <f aca="false">IFERROR(IF($B538=$C538,"Yes","No"),"No CUSIP Match")</f>
        <v>No</v>
      </c>
      <c r="E538" s="71"/>
      <c r="F538" s="71" t="str">
        <f aca="false">IFERROR(INDEX('13F Data'!C:C, MATCH($B538,'13F Data'!A:A,0)),"No CUSIP Match")</f>
        <v>No CUSIP Match</v>
      </c>
      <c r="G538" s="72" t="str">
        <f aca="false">IFERROR(INDEX('13F Data'!D:D,MATCH($B538,'13F Data'!A:A,0)),"No CUSIP Match")</f>
        <v>No CUSIP Match</v>
      </c>
      <c r="J538" s="73" t="n">
        <f aca="false">$V538</f>
        <v>49500</v>
      </c>
      <c r="K538" s="71" t="str">
        <f aca="false">IFERROR(INDEX('EOD Data'!G:G, MATCH($A538, 'EOD Data'!B:B,0)), "No TKR Match")</f>
        <v>No TKR Match</v>
      </c>
      <c r="L538" s="71" t="str">
        <f aca="false">IFERROR(ROUND($J538*$K538,0),"Error")</f>
        <v>Error</v>
      </c>
      <c r="M538" s="71" t="str">
        <f aca="false">IFERROR(IF(AND($J538&lt;10000,$L538&lt;200000),"Yes","No"),"Error")</f>
        <v>No</v>
      </c>
      <c r="P538" s="42" t="str">
        <f aca="false">IF($N538="SOLE",$J538,"")</f>
        <v/>
      </c>
      <c r="Q538" s="42" t="str">
        <f aca="false">IFERROR(IF($N538="Sole",0,IF(AND($N538="OTR",$R538=0),$J538-$P538,IF(AND($N538="OTR", $R538&gt;0), $J538-$P538-$Q538, ""))),"")</f>
        <v/>
      </c>
      <c r="R538" s="42" t="str">
        <f aca="false">IF($P538=$J538, "0","")</f>
        <v/>
      </c>
      <c r="S538" s="42" t="str">
        <f aca="false">IF(OR(ISBLANK($B538),ISBLANK($C538), ISBLANK($E538), ISBLANK($F538), AND(ISBLANK($G538),ISBLANK($H538)), ISBLANK($I538), ISBLANK($L538), AND(ISBLANK($N538), ISBLANK($O538)), AND(ISBLANK($P538), ISBLANK($Q538), ISBLANK($R538))), "No", "Yes")</f>
        <v>No</v>
      </c>
      <c r="T538" s="42" t="str">
        <f aca="false">SUBSTITUTE($U538," ","")</f>
        <v>75281A109</v>
      </c>
      <c r="U538" s="42" t="s">
        <v>687</v>
      </c>
      <c r="V538" s="39" t="n">
        <v>49500</v>
      </c>
    </row>
    <row r="539" customFormat="false" ht="15" hidden="false" customHeight="false" outlineLevel="0" collapsed="false">
      <c r="B539" s="70" t="s">
        <v>687</v>
      </c>
      <c r="C539" s="71" t="str">
        <f aca="false">IFERROR(INDEX('13F Data'!A:A,MATCH($B539,'13F Data'!A:A,0)),"No CUSIP Match")</f>
        <v>No CUSIP Match</v>
      </c>
      <c r="D539" s="71" t="str">
        <f aca="false">IFERROR(IF($B539=$C539,"Yes","No"),"No CUSIP Match")</f>
        <v>No</v>
      </c>
      <c r="E539" s="71"/>
      <c r="F539" s="71" t="str">
        <f aca="false">IFERROR(INDEX('13F Data'!C:C, MATCH($B539,'13F Data'!A:A,0)),"No CUSIP Match")</f>
        <v>No CUSIP Match</v>
      </c>
      <c r="G539" s="72" t="str">
        <f aca="false">IFERROR(INDEX('13F Data'!D:D,MATCH($B539,'13F Data'!A:A,0)),"No CUSIP Match")</f>
        <v>No CUSIP Match</v>
      </c>
      <c r="J539" s="73" t="n">
        <f aca="false">$V539</f>
        <v>49500</v>
      </c>
      <c r="K539" s="71" t="str">
        <f aca="false">IFERROR(INDEX('EOD Data'!G:G, MATCH($A539, 'EOD Data'!B:B,0)), "No TKR Match")</f>
        <v>No TKR Match</v>
      </c>
      <c r="L539" s="71" t="str">
        <f aca="false">IFERROR(ROUND($J539*$K539,0),"Error")</f>
        <v>Error</v>
      </c>
      <c r="M539" s="71" t="str">
        <f aca="false">IFERROR(IF(AND($J539&lt;10000,$L539&lt;200000),"Yes","No"),"Error")</f>
        <v>No</v>
      </c>
      <c r="P539" s="42" t="str">
        <f aca="false">IF($N539="SOLE",$J539,"")</f>
        <v/>
      </c>
      <c r="Q539" s="42" t="str">
        <f aca="false">IFERROR(IF($N539="Sole",0,IF(AND($N539="OTR",$R539=0),$J539-$P539,IF(AND($N539="OTR", $R539&gt;0), $J539-$P539-$Q539, ""))),"")</f>
        <v/>
      </c>
      <c r="R539" s="42" t="str">
        <f aca="false">IF($P539=$J539, "0","")</f>
        <v/>
      </c>
      <c r="S539" s="42" t="str">
        <f aca="false">IF(OR(ISBLANK($B539),ISBLANK($C539), ISBLANK($E539), ISBLANK($F539), AND(ISBLANK($G539),ISBLANK($H539)), ISBLANK($I539), ISBLANK($L539), AND(ISBLANK($N539), ISBLANK($O539)), AND(ISBLANK($P539), ISBLANK($Q539), ISBLANK($R539))), "No", "Yes")</f>
        <v>No</v>
      </c>
      <c r="T539" s="42" t="str">
        <f aca="false">SUBSTITUTE($U539," ","")</f>
        <v>75281A109</v>
      </c>
      <c r="U539" s="42" t="s">
        <v>687</v>
      </c>
      <c r="V539" s="39" t="n">
        <v>49500</v>
      </c>
    </row>
    <row r="540" customFormat="false" ht="15" hidden="false" customHeight="false" outlineLevel="0" collapsed="false">
      <c r="B540" s="70" t="s">
        <v>689</v>
      </c>
      <c r="C540" s="71" t="str">
        <f aca="false">IFERROR(INDEX('13F Data'!A:A,MATCH($B540,'13F Data'!A:A,0)),"No CUSIP Match")</f>
        <v>No CUSIP Match</v>
      </c>
      <c r="D540" s="71" t="str">
        <f aca="false">IFERROR(IF($B540=$C540,"Yes","No"),"No CUSIP Match")</f>
        <v>No</v>
      </c>
      <c r="E540" s="71"/>
      <c r="F540" s="71" t="str">
        <f aca="false">IFERROR(INDEX('13F Data'!C:C, MATCH($B540,'13F Data'!A:A,0)),"No CUSIP Match")</f>
        <v>No CUSIP Match</v>
      </c>
      <c r="G540" s="72" t="str">
        <f aca="false">IFERROR(INDEX('13F Data'!D:D,MATCH($B540,'13F Data'!A:A,0)),"No CUSIP Match")</f>
        <v>No CUSIP Match</v>
      </c>
      <c r="J540" s="73" t="n">
        <f aca="false">$V540</f>
        <v>39000000</v>
      </c>
      <c r="K540" s="71" t="str">
        <f aca="false">IFERROR(INDEX('EOD Data'!G:G, MATCH($A540, 'EOD Data'!B:B,0)), "No TKR Match")</f>
        <v>No TKR Match</v>
      </c>
      <c r="L540" s="71" t="str">
        <f aca="false">IFERROR(ROUND($J540*$K540,0),"Error")</f>
        <v>Error</v>
      </c>
      <c r="M540" s="71" t="str">
        <f aca="false">IFERROR(IF(AND($J540&lt;10000,$L540&lt;200000),"Yes","No"),"Error")</f>
        <v>No</v>
      </c>
      <c r="P540" s="42" t="str">
        <f aca="false">IF($N540="SOLE",$J540,"")</f>
        <v/>
      </c>
      <c r="Q540" s="42" t="str">
        <f aca="false">IFERROR(IF($N540="Sole",0,IF(AND($N540="OTR",$R540=0),$J540-$P540,IF(AND($N540="OTR", $R540&gt;0), $J540-$P540-$Q540, ""))),"")</f>
        <v/>
      </c>
      <c r="R540" s="42" t="str">
        <f aca="false">IF($P540=$J540, "0","")</f>
        <v/>
      </c>
      <c r="S540" s="42" t="str">
        <f aca="false">IF(OR(ISBLANK($B540),ISBLANK($C540), ISBLANK($E540), ISBLANK($F540), AND(ISBLANK($G540),ISBLANK($H540)), ISBLANK($I540), ISBLANK($L540), AND(ISBLANK($N540), ISBLANK($O540)), AND(ISBLANK($P540), ISBLANK($Q540), ISBLANK($R540))), "No", "Yes")</f>
        <v>No</v>
      </c>
      <c r="T540" s="42" t="str">
        <f aca="false">SUBSTITUTE($U540," ","")</f>
        <v>753422AG9</v>
      </c>
      <c r="U540" s="42" t="s">
        <v>689</v>
      </c>
      <c r="V540" s="39" t="n">
        <v>39000000</v>
      </c>
    </row>
    <row r="541" customFormat="false" ht="15" hidden="false" customHeight="false" outlineLevel="0" collapsed="false">
      <c r="B541" s="70" t="s">
        <v>691</v>
      </c>
      <c r="C541" s="71" t="str">
        <f aca="false">IFERROR(INDEX('13F Data'!A:A,MATCH($B541,'13F Data'!A:A,0)),"No CUSIP Match")</f>
        <v>No CUSIP Match</v>
      </c>
      <c r="D541" s="71" t="str">
        <f aca="false">IFERROR(IF($B541=$C541,"Yes","No"),"No CUSIP Match")</f>
        <v>No</v>
      </c>
      <c r="E541" s="71"/>
      <c r="F541" s="71" t="str">
        <f aca="false">IFERROR(INDEX('13F Data'!C:C, MATCH($B541,'13F Data'!A:A,0)),"No CUSIP Match")</f>
        <v>No CUSIP Match</v>
      </c>
      <c r="G541" s="72" t="str">
        <f aca="false">IFERROR(INDEX('13F Data'!D:D,MATCH($B541,'13F Data'!A:A,0)),"No CUSIP Match")</f>
        <v>No CUSIP Match</v>
      </c>
      <c r="J541" s="73" t="n">
        <f aca="false">$V541</f>
        <v>400</v>
      </c>
      <c r="K541" s="71" t="str">
        <f aca="false">IFERROR(INDEX('EOD Data'!G:G, MATCH($A541, 'EOD Data'!B:B,0)), "No TKR Match")</f>
        <v>No TKR Match</v>
      </c>
      <c r="L541" s="71" t="str">
        <f aca="false">IFERROR(ROUND($J541*$K541,0),"Error")</f>
        <v>Error</v>
      </c>
      <c r="M541" s="71" t="str">
        <f aca="false">IFERROR(IF(AND($J541&lt;10000,$L541&lt;200000),"Yes","No"),"Error")</f>
        <v>No</v>
      </c>
      <c r="P541" s="42" t="str">
        <f aca="false">IF($N541="SOLE",$J541,"")</f>
        <v/>
      </c>
      <c r="Q541" s="42" t="str">
        <f aca="false">IFERROR(IF($N541="Sole",0,IF(AND($N541="OTR",$R541=0),$J541-$P541,IF(AND($N541="OTR", $R541&gt;0), $J541-$P541-$Q541, ""))),"")</f>
        <v/>
      </c>
      <c r="R541" s="42" t="str">
        <f aca="false">IF($P541=$J541, "0","")</f>
        <v/>
      </c>
      <c r="S541" s="42" t="str">
        <f aca="false">IF(OR(ISBLANK($B541),ISBLANK($C541), ISBLANK($E541), ISBLANK($F541), AND(ISBLANK($G541),ISBLANK($H541)), ISBLANK($I541), ISBLANK($L541), AND(ISBLANK($N541), ISBLANK($O541)), AND(ISBLANK($P541), ISBLANK($Q541), ISBLANK($R541))), "No", "Yes")</f>
        <v>No</v>
      </c>
      <c r="T541" s="42" t="str">
        <f aca="false">SUBSTITUTE($U541," ","")</f>
        <v>75886F107</v>
      </c>
      <c r="U541" s="42" t="s">
        <v>691</v>
      </c>
      <c r="V541" s="39" t="n">
        <v>400</v>
      </c>
    </row>
    <row r="542" customFormat="false" ht="15" hidden="false" customHeight="false" outlineLevel="0" collapsed="false">
      <c r="B542" s="70" t="s">
        <v>691</v>
      </c>
      <c r="C542" s="71" t="str">
        <f aca="false">IFERROR(INDEX('13F Data'!A:A,MATCH($B542,'13F Data'!A:A,0)),"No CUSIP Match")</f>
        <v>No CUSIP Match</v>
      </c>
      <c r="D542" s="71" t="str">
        <f aca="false">IFERROR(IF($B542=$C542,"Yes","No"),"No CUSIP Match")</f>
        <v>No</v>
      </c>
      <c r="E542" s="71"/>
      <c r="F542" s="71" t="str">
        <f aca="false">IFERROR(INDEX('13F Data'!C:C, MATCH($B542,'13F Data'!A:A,0)),"No CUSIP Match")</f>
        <v>No CUSIP Match</v>
      </c>
      <c r="G542" s="72" t="str">
        <f aca="false">IFERROR(INDEX('13F Data'!D:D,MATCH($B542,'13F Data'!A:A,0)),"No CUSIP Match")</f>
        <v>No CUSIP Match</v>
      </c>
      <c r="J542" s="73" t="n">
        <f aca="false">$V542</f>
        <v>400</v>
      </c>
      <c r="K542" s="71" t="str">
        <f aca="false">IFERROR(INDEX('EOD Data'!G:G, MATCH($A542, 'EOD Data'!B:B,0)), "No TKR Match")</f>
        <v>No TKR Match</v>
      </c>
      <c r="L542" s="71" t="str">
        <f aca="false">IFERROR(ROUND($J542*$K542,0),"Error")</f>
        <v>Error</v>
      </c>
      <c r="M542" s="71" t="str">
        <f aca="false">IFERROR(IF(AND($J542&lt;10000,$L542&lt;200000),"Yes","No"),"Error")</f>
        <v>No</v>
      </c>
      <c r="P542" s="42" t="str">
        <f aca="false">IF($N542="SOLE",$J542,"")</f>
        <v/>
      </c>
      <c r="Q542" s="42" t="str">
        <f aca="false">IFERROR(IF($N542="Sole",0,IF(AND($N542="OTR",$R542=0),$J542-$P542,IF(AND($N542="OTR", $R542&gt;0), $J542-$P542-$Q542, ""))),"")</f>
        <v/>
      </c>
      <c r="R542" s="42" t="str">
        <f aca="false">IF($P542=$J542, "0","")</f>
        <v/>
      </c>
      <c r="S542" s="42" t="str">
        <f aca="false">IF(OR(ISBLANK($B542),ISBLANK($C542), ISBLANK($E542), ISBLANK($F542), AND(ISBLANK($G542),ISBLANK($H542)), ISBLANK($I542), ISBLANK($L542), AND(ISBLANK($N542), ISBLANK($O542)), AND(ISBLANK($P542), ISBLANK($Q542), ISBLANK($R542))), "No", "Yes")</f>
        <v>No</v>
      </c>
      <c r="T542" s="42" t="str">
        <f aca="false">SUBSTITUTE($U542," ","")</f>
        <v>75886F107</v>
      </c>
      <c r="U542" s="42" t="s">
        <v>691</v>
      </c>
      <c r="V542" s="39" t="n">
        <v>400</v>
      </c>
    </row>
    <row r="543" customFormat="false" ht="15" hidden="false" customHeight="false" outlineLevel="0" collapsed="false">
      <c r="B543" s="70" t="s">
        <v>693</v>
      </c>
      <c r="C543" s="71" t="str">
        <f aca="false">IFERROR(INDEX('13F Data'!A:A,MATCH($B543,'13F Data'!A:A,0)),"No CUSIP Match")</f>
        <v>No CUSIP Match</v>
      </c>
      <c r="D543" s="71" t="str">
        <f aca="false">IFERROR(IF($B543=$C543,"Yes","No"),"No CUSIP Match")</f>
        <v>No</v>
      </c>
      <c r="E543" s="71"/>
      <c r="F543" s="71" t="str">
        <f aca="false">IFERROR(INDEX('13F Data'!C:C, MATCH($B543,'13F Data'!A:A,0)),"No CUSIP Match")</f>
        <v>No CUSIP Match</v>
      </c>
      <c r="G543" s="72" t="str">
        <f aca="false">IFERROR(INDEX('13F Data'!D:D,MATCH($B543,'13F Data'!A:A,0)),"No CUSIP Match")</f>
        <v>No CUSIP Match</v>
      </c>
      <c r="J543" s="73" t="n">
        <f aca="false">$V543</f>
        <v>16500000</v>
      </c>
      <c r="K543" s="71" t="str">
        <f aca="false">IFERROR(INDEX('EOD Data'!G:G, MATCH($A543, 'EOD Data'!B:B,0)), "No TKR Match")</f>
        <v>No TKR Match</v>
      </c>
      <c r="L543" s="71" t="str">
        <f aca="false">IFERROR(ROUND($J543*$K543,0),"Error")</f>
        <v>Error</v>
      </c>
      <c r="M543" s="71" t="str">
        <f aca="false">IFERROR(IF(AND($J543&lt;10000,$L543&lt;200000),"Yes","No"),"Error")</f>
        <v>No</v>
      </c>
      <c r="P543" s="42" t="str">
        <f aca="false">IF($N543="SOLE",$J543,"")</f>
        <v/>
      </c>
      <c r="Q543" s="42" t="str">
        <f aca="false">IFERROR(IF($N543="Sole",0,IF(AND($N543="OTR",$R543=0),$J543-$P543,IF(AND($N543="OTR", $R543&gt;0), $J543-$P543-$Q543, ""))),"")</f>
        <v/>
      </c>
      <c r="R543" s="42" t="str">
        <f aca="false">IF($P543=$J543, "0","")</f>
        <v/>
      </c>
      <c r="S543" s="42" t="str">
        <f aca="false">IF(OR(ISBLANK($B543),ISBLANK($C543), ISBLANK($E543), ISBLANK($F543), AND(ISBLANK($G543),ISBLANK($H543)), ISBLANK($I543), ISBLANK($L543), AND(ISBLANK($N543), ISBLANK($O543)), AND(ISBLANK($P543), ISBLANK($Q543), ISBLANK($R543))), "No", "Yes")</f>
        <v>No</v>
      </c>
      <c r="T543" s="42" t="str">
        <f aca="false">SUBSTITUTE($U543," ","")</f>
        <v>759916AC3</v>
      </c>
      <c r="U543" s="42" t="s">
        <v>693</v>
      </c>
      <c r="V543" s="39" t="n">
        <v>16500000</v>
      </c>
    </row>
    <row r="544" customFormat="false" ht="15" hidden="false" customHeight="false" outlineLevel="0" collapsed="false">
      <c r="B544" s="70" t="s">
        <v>695</v>
      </c>
      <c r="C544" s="71" t="str">
        <f aca="false">IFERROR(INDEX('13F Data'!A:A,MATCH($B544,'13F Data'!A:A,0)),"No CUSIP Match")</f>
        <v>No CUSIP Match</v>
      </c>
      <c r="D544" s="71" t="str">
        <f aca="false">IFERROR(IF($B544=$C544,"Yes","No"),"No CUSIP Match")</f>
        <v>No</v>
      </c>
      <c r="E544" s="71"/>
      <c r="F544" s="71" t="str">
        <f aca="false">IFERROR(INDEX('13F Data'!C:C, MATCH($B544,'13F Data'!A:A,0)),"No CUSIP Match")</f>
        <v>No CUSIP Match</v>
      </c>
      <c r="G544" s="72" t="str">
        <f aca="false">IFERROR(INDEX('13F Data'!D:D,MATCH($B544,'13F Data'!A:A,0)),"No CUSIP Match")</f>
        <v>No CUSIP Match</v>
      </c>
      <c r="J544" s="73" t="n">
        <f aca="false">$V544</f>
        <v>228810</v>
      </c>
      <c r="K544" s="71" t="str">
        <f aca="false">IFERROR(INDEX('EOD Data'!G:G, MATCH($A544, 'EOD Data'!B:B,0)), "No TKR Match")</f>
        <v>No TKR Match</v>
      </c>
      <c r="L544" s="71" t="str">
        <f aca="false">IFERROR(ROUND($J544*$K544,0),"Error")</f>
        <v>Error</v>
      </c>
      <c r="M544" s="71" t="str">
        <f aca="false">IFERROR(IF(AND($J544&lt;10000,$L544&lt;200000),"Yes","No"),"Error")</f>
        <v>No</v>
      </c>
      <c r="P544" s="42" t="str">
        <f aca="false">IF($N544="SOLE",$J544,"")</f>
        <v/>
      </c>
      <c r="Q544" s="42" t="str">
        <f aca="false">IFERROR(IF($N544="Sole",0,IF(AND($N544="OTR",$R544=0),$J544-$P544,IF(AND($N544="OTR", $R544&gt;0), $J544-$P544-$Q544, ""))),"")</f>
        <v/>
      </c>
      <c r="R544" s="42" t="str">
        <f aca="false">IF($P544=$J544, "0","")</f>
        <v/>
      </c>
      <c r="S544" s="42" t="str">
        <f aca="false">IF(OR(ISBLANK($B544),ISBLANK($C544), ISBLANK($E544), ISBLANK($F544), AND(ISBLANK($G544),ISBLANK($H544)), ISBLANK($I544), ISBLANK($L544), AND(ISBLANK($N544), ISBLANK($O544)), AND(ISBLANK($P544), ISBLANK($Q544), ISBLANK($R544))), "No", "Yes")</f>
        <v>No</v>
      </c>
      <c r="T544" s="42" t="str">
        <f aca="false">SUBSTITUTE($U544," ","")</f>
        <v>76680R206</v>
      </c>
      <c r="U544" s="42" t="s">
        <v>695</v>
      </c>
      <c r="V544" s="39" t="n">
        <v>228810</v>
      </c>
    </row>
    <row r="545" customFormat="false" ht="15" hidden="false" customHeight="false" outlineLevel="0" collapsed="false">
      <c r="B545" s="70" t="s">
        <v>697</v>
      </c>
      <c r="C545" s="71" t="str">
        <f aca="false">IFERROR(INDEX('13F Data'!A:A,MATCH($B545,'13F Data'!A:A,0)),"No CUSIP Match")</f>
        <v>No CUSIP Match</v>
      </c>
      <c r="D545" s="71" t="str">
        <f aca="false">IFERROR(IF($B545=$C545,"Yes","No"),"No CUSIP Match")</f>
        <v>No</v>
      </c>
      <c r="E545" s="71"/>
      <c r="F545" s="71" t="str">
        <f aca="false">IFERROR(INDEX('13F Data'!C:C, MATCH($B545,'13F Data'!A:A,0)),"No CUSIP Match")</f>
        <v>No CUSIP Match</v>
      </c>
      <c r="G545" s="72" t="str">
        <f aca="false">IFERROR(INDEX('13F Data'!D:D,MATCH($B545,'13F Data'!A:A,0)),"No CUSIP Match")</f>
        <v>No CUSIP Match</v>
      </c>
      <c r="J545" s="73" t="n">
        <f aca="false">$V545</f>
        <v>27000000</v>
      </c>
      <c r="K545" s="71" t="str">
        <f aca="false">IFERROR(INDEX('EOD Data'!G:G, MATCH($A545, 'EOD Data'!B:B,0)), "No TKR Match")</f>
        <v>No TKR Match</v>
      </c>
      <c r="L545" s="71" t="str">
        <f aca="false">IFERROR(ROUND($J545*$K545,0),"Error")</f>
        <v>Error</v>
      </c>
      <c r="M545" s="71" t="str">
        <f aca="false">IFERROR(IF(AND($J545&lt;10000,$L545&lt;200000),"Yes","No"),"Error")</f>
        <v>No</v>
      </c>
      <c r="P545" s="42" t="str">
        <f aca="false">IF($N545="SOLE",$J545,"")</f>
        <v/>
      </c>
      <c r="Q545" s="42" t="str">
        <f aca="false">IFERROR(IF($N545="Sole",0,IF(AND($N545="OTR",$R545=0),$J545-$P545,IF(AND($N545="OTR", $R545&gt;0), $J545-$P545-$Q545, ""))),"")</f>
        <v/>
      </c>
      <c r="R545" s="42" t="str">
        <f aca="false">IF($P545=$J545, "0","")</f>
        <v/>
      </c>
      <c r="S545" s="42" t="str">
        <f aca="false">IF(OR(ISBLANK($B545),ISBLANK($C545), ISBLANK($E545), ISBLANK($F545), AND(ISBLANK($G545),ISBLANK($H545)), ISBLANK($I545), ISBLANK($L545), AND(ISBLANK($N545), ISBLANK($O545)), AND(ISBLANK($P545), ISBLANK($Q545), ISBLANK($R545))), "No", "Yes")</f>
        <v>No</v>
      </c>
      <c r="T545" s="42" t="str">
        <f aca="false">SUBSTITUTE($U545," ","")</f>
        <v>76954AAA1</v>
      </c>
      <c r="U545" s="42" t="s">
        <v>697</v>
      </c>
      <c r="V545" s="39" t="n">
        <v>27000000</v>
      </c>
    </row>
    <row r="546" customFormat="false" ht="15" hidden="false" customHeight="false" outlineLevel="0" collapsed="false">
      <c r="B546" s="70" t="s">
        <v>698</v>
      </c>
      <c r="C546" s="71" t="str">
        <f aca="false">IFERROR(INDEX('13F Data'!A:A,MATCH($B546,'13F Data'!A:A,0)),"No CUSIP Match")</f>
        <v>No CUSIP Match</v>
      </c>
      <c r="D546" s="71" t="str">
        <f aca="false">IFERROR(IF($B546=$C546,"Yes","No"),"No CUSIP Match")</f>
        <v>No</v>
      </c>
      <c r="E546" s="71"/>
      <c r="F546" s="71" t="str">
        <f aca="false">IFERROR(INDEX('13F Data'!C:C, MATCH($B546,'13F Data'!A:A,0)),"No CUSIP Match")</f>
        <v>No CUSIP Match</v>
      </c>
      <c r="G546" s="72" t="str">
        <f aca="false">IFERROR(INDEX('13F Data'!D:D,MATCH($B546,'13F Data'!A:A,0)),"No CUSIP Match")</f>
        <v>No CUSIP Match</v>
      </c>
      <c r="J546" s="73" t="n">
        <f aca="false">$V546</f>
        <v>28500000</v>
      </c>
      <c r="K546" s="71" t="str">
        <f aca="false">IFERROR(INDEX('EOD Data'!G:G, MATCH($A546, 'EOD Data'!B:B,0)), "No TKR Match")</f>
        <v>No TKR Match</v>
      </c>
      <c r="L546" s="71" t="str">
        <f aca="false">IFERROR(ROUND($J546*$K546,0),"Error")</f>
        <v>Error</v>
      </c>
      <c r="M546" s="71" t="str">
        <f aca="false">IFERROR(IF(AND($J546&lt;10000,$L546&lt;200000),"Yes","No"),"Error")</f>
        <v>No</v>
      </c>
      <c r="P546" s="42" t="str">
        <f aca="false">IF($N546="SOLE",$J546,"")</f>
        <v/>
      </c>
      <c r="Q546" s="42" t="str">
        <f aca="false">IFERROR(IF($N546="Sole",0,IF(AND($N546="OTR",$R546=0),$J546-$P546,IF(AND($N546="OTR", $R546&gt;0), $J546-$P546-$Q546, ""))),"")</f>
        <v/>
      </c>
      <c r="R546" s="42" t="str">
        <f aca="false">IF($P546=$J546, "0","")</f>
        <v/>
      </c>
      <c r="S546" s="42" t="str">
        <f aca="false">IF(OR(ISBLANK($B546),ISBLANK($C546), ISBLANK($E546), ISBLANK($F546), AND(ISBLANK($G546),ISBLANK($H546)), ISBLANK($I546), ISBLANK($L546), AND(ISBLANK($N546), ISBLANK($O546)), AND(ISBLANK($P546), ISBLANK($Q546), ISBLANK($R546))), "No", "Yes")</f>
        <v>No</v>
      </c>
      <c r="T546" s="42" t="str">
        <f aca="false">SUBSTITUTE($U546," ","")</f>
        <v>76954AAC7</v>
      </c>
      <c r="U546" s="42" t="s">
        <v>698</v>
      </c>
      <c r="V546" s="39" t="n">
        <v>28500000</v>
      </c>
    </row>
    <row r="547" customFormat="false" ht="15" hidden="false" customHeight="false" outlineLevel="0" collapsed="false">
      <c r="B547" s="70" t="s">
        <v>700</v>
      </c>
      <c r="C547" s="71" t="str">
        <f aca="false">IFERROR(INDEX('13F Data'!A:A,MATCH($B547,'13F Data'!A:A,0)),"No CUSIP Match")</f>
        <v>No CUSIP Match</v>
      </c>
      <c r="D547" s="71" t="str">
        <f aca="false">IFERROR(IF($B547=$C547,"Yes","No"),"No CUSIP Match")</f>
        <v>No</v>
      </c>
      <c r="E547" s="71"/>
      <c r="F547" s="71" t="str">
        <f aca="false">IFERROR(INDEX('13F Data'!C:C, MATCH($B547,'13F Data'!A:A,0)),"No CUSIP Match")</f>
        <v>No CUSIP Match</v>
      </c>
      <c r="G547" s="72" t="str">
        <f aca="false">IFERROR(INDEX('13F Data'!D:D,MATCH($B547,'13F Data'!A:A,0)),"No CUSIP Match")</f>
        <v>No CUSIP Match</v>
      </c>
      <c r="J547" s="73" t="n">
        <f aca="false">$V547</f>
        <v>17098</v>
      </c>
      <c r="K547" s="71" t="str">
        <f aca="false">IFERROR(INDEX('EOD Data'!G:G, MATCH($A547, 'EOD Data'!B:B,0)), "No TKR Match")</f>
        <v>No TKR Match</v>
      </c>
      <c r="L547" s="71" t="str">
        <f aca="false">IFERROR(ROUND($J547*$K547,0),"Error")</f>
        <v>Error</v>
      </c>
      <c r="M547" s="71" t="str">
        <f aca="false">IFERROR(IF(AND($J547&lt;10000,$L547&lt;200000),"Yes","No"),"Error")</f>
        <v>No</v>
      </c>
      <c r="P547" s="42" t="str">
        <f aca="false">IF($N547="SOLE",$J547,"")</f>
        <v/>
      </c>
      <c r="Q547" s="42" t="str">
        <f aca="false">IFERROR(IF($N547="Sole",0,IF(AND($N547="OTR",$R547=0),$J547-$P547,IF(AND($N547="OTR", $R547&gt;0), $J547-$P547-$Q547, ""))),"")</f>
        <v/>
      </c>
      <c r="R547" s="42" t="str">
        <f aca="false">IF($P547=$J547, "0","")</f>
        <v/>
      </c>
      <c r="S547" s="42" t="str">
        <f aca="false">IF(OR(ISBLANK($B547),ISBLANK($C547), ISBLANK($E547), ISBLANK($F547), AND(ISBLANK($G547),ISBLANK($H547)), ISBLANK($I547), ISBLANK($L547), AND(ISBLANK($N547), ISBLANK($O547)), AND(ISBLANK($P547), ISBLANK($Q547), ISBLANK($R547))), "No", "Yes")</f>
        <v>No</v>
      </c>
      <c r="T547" s="42" t="str">
        <f aca="false">SUBSTITUTE($U547," ","")</f>
        <v>770323103</v>
      </c>
      <c r="U547" s="42" t="s">
        <v>700</v>
      </c>
      <c r="V547" s="39" t="n">
        <v>17098</v>
      </c>
    </row>
    <row r="548" customFormat="false" ht="15" hidden="false" customHeight="false" outlineLevel="0" collapsed="false">
      <c r="B548" s="70" t="s">
        <v>702</v>
      </c>
      <c r="C548" s="71" t="str">
        <f aca="false">IFERROR(INDEX('13F Data'!A:A,MATCH($B548,'13F Data'!A:A,0)),"No CUSIP Match")</f>
        <v>No CUSIP Match</v>
      </c>
      <c r="D548" s="71" t="str">
        <f aca="false">IFERROR(IF($B548=$C548,"Yes","No"),"No CUSIP Match")</f>
        <v>No</v>
      </c>
      <c r="E548" s="71"/>
      <c r="F548" s="71" t="str">
        <f aca="false">IFERROR(INDEX('13F Data'!C:C, MATCH($B548,'13F Data'!A:A,0)),"No CUSIP Match")</f>
        <v>No CUSIP Match</v>
      </c>
      <c r="G548" s="72" t="str">
        <f aca="false">IFERROR(INDEX('13F Data'!D:D,MATCH($B548,'13F Data'!A:A,0)),"No CUSIP Match")</f>
        <v>No CUSIP Match</v>
      </c>
      <c r="J548" s="73" t="n">
        <f aca="false">$V548</f>
        <v>353380</v>
      </c>
      <c r="K548" s="71" t="str">
        <f aca="false">IFERROR(INDEX('EOD Data'!G:G, MATCH($A548, 'EOD Data'!B:B,0)), "No TKR Match")</f>
        <v>No TKR Match</v>
      </c>
      <c r="L548" s="71" t="str">
        <f aca="false">IFERROR(ROUND($J548*$K548,0),"Error")</f>
        <v>Error</v>
      </c>
      <c r="M548" s="71" t="str">
        <f aca="false">IFERROR(IF(AND($J548&lt;10000,$L548&lt;200000),"Yes","No"),"Error")</f>
        <v>No</v>
      </c>
      <c r="P548" s="42" t="str">
        <f aca="false">IF($N548="SOLE",$J548,"")</f>
        <v/>
      </c>
      <c r="Q548" s="42" t="str">
        <f aca="false">IFERROR(IF($N548="Sole",0,IF(AND($N548="OTR",$R548=0),$J548-$P548,IF(AND($N548="OTR", $R548&gt;0), $J548-$P548-$Q548, ""))),"")</f>
        <v/>
      </c>
      <c r="R548" s="42" t="str">
        <f aca="false">IF($P548=$J548, "0","")</f>
        <v/>
      </c>
      <c r="S548" s="42" t="str">
        <f aca="false">IF(OR(ISBLANK($B548),ISBLANK($C548), ISBLANK($E548), ISBLANK($F548), AND(ISBLANK($G548),ISBLANK($H548)), ISBLANK($I548), ISBLANK($L548), AND(ISBLANK($N548), ISBLANK($O548)), AND(ISBLANK($P548), ISBLANK($Q548), ISBLANK($R548))), "No", "Yes")</f>
        <v>No</v>
      </c>
      <c r="T548" s="42" t="str">
        <f aca="false">SUBSTITUTE($U548," ","")</f>
        <v>771049103</v>
      </c>
      <c r="U548" s="42" t="s">
        <v>702</v>
      </c>
      <c r="V548" s="39" t="n">
        <v>353380</v>
      </c>
    </row>
    <row r="549" customFormat="false" ht="15" hidden="false" customHeight="false" outlineLevel="0" collapsed="false">
      <c r="B549" s="70" t="s">
        <v>704</v>
      </c>
      <c r="C549" s="71" t="str">
        <f aca="false">IFERROR(INDEX('13F Data'!A:A,MATCH($B549,'13F Data'!A:A,0)),"No CUSIP Match")</f>
        <v>No CUSIP Match</v>
      </c>
      <c r="D549" s="71" t="str">
        <f aca="false">IFERROR(IF($B549=$C549,"Yes","No"),"No CUSIP Match")</f>
        <v>No</v>
      </c>
      <c r="E549" s="71"/>
      <c r="F549" s="71" t="str">
        <f aca="false">IFERROR(INDEX('13F Data'!C:C, MATCH($B549,'13F Data'!A:A,0)),"No CUSIP Match")</f>
        <v>No CUSIP Match</v>
      </c>
      <c r="G549" s="72" t="str">
        <f aca="false">IFERROR(INDEX('13F Data'!D:D,MATCH($B549,'13F Data'!A:A,0)),"No CUSIP Match")</f>
        <v>No CUSIP Match</v>
      </c>
      <c r="J549" s="73" t="n">
        <f aca="false">$V549</f>
        <v>3900</v>
      </c>
      <c r="K549" s="71" t="str">
        <f aca="false">IFERROR(INDEX('EOD Data'!G:G, MATCH($A549, 'EOD Data'!B:B,0)), "No TKR Match")</f>
        <v>No TKR Match</v>
      </c>
      <c r="L549" s="71" t="str">
        <f aca="false">IFERROR(ROUND($J549*$K549,0),"Error")</f>
        <v>Error</v>
      </c>
      <c r="M549" s="71" t="str">
        <f aca="false">IFERROR(IF(AND($J549&lt;10000,$L549&lt;200000),"Yes","No"),"Error")</f>
        <v>No</v>
      </c>
      <c r="P549" s="42" t="str">
        <f aca="false">IF($N549="SOLE",$J549,"")</f>
        <v/>
      </c>
      <c r="Q549" s="42" t="str">
        <f aca="false">IFERROR(IF($N549="Sole",0,IF(AND($N549="OTR",$R549=0),$J549-$P549,IF(AND($N549="OTR", $R549&gt;0), $J549-$P549-$Q549, ""))),"")</f>
        <v/>
      </c>
      <c r="R549" s="42" t="str">
        <f aca="false">IF($P549=$J549, "0","")</f>
        <v/>
      </c>
      <c r="S549" s="42" t="str">
        <f aca="false">IF(OR(ISBLANK($B549),ISBLANK($C549), ISBLANK($E549), ISBLANK($F549), AND(ISBLANK($G549),ISBLANK($H549)), ISBLANK($I549), ISBLANK($L549), AND(ISBLANK($N549), ISBLANK($O549)), AND(ISBLANK($P549), ISBLANK($Q549), ISBLANK($R549))), "No", "Yes")</f>
        <v>No</v>
      </c>
      <c r="T549" s="42" t="str">
        <f aca="false">SUBSTITUTE($U549," ","")</f>
        <v>778296103</v>
      </c>
      <c r="U549" s="42" t="s">
        <v>704</v>
      </c>
      <c r="V549" s="39" t="n">
        <v>3900</v>
      </c>
    </row>
    <row r="550" customFormat="false" ht="15" hidden="false" customHeight="false" outlineLevel="0" collapsed="false">
      <c r="B550" s="70" t="s">
        <v>704</v>
      </c>
      <c r="C550" s="71" t="str">
        <f aca="false">IFERROR(INDEX('13F Data'!A:A,MATCH($B550,'13F Data'!A:A,0)),"No CUSIP Match")</f>
        <v>No CUSIP Match</v>
      </c>
      <c r="D550" s="71" t="str">
        <f aca="false">IFERROR(IF($B550=$C550,"Yes","No"),"No CUSIP Match")</f>
        <v>No</v>
      </c>
      <c r="E550" s="71"/>
      <c r="F550" s="71" t="str">
        <f aca="false">IFERROR(INDEX('13F Data'!C:C, MATCH($B550,'13F Data'!A:A,0)),"No CUSIP Match")</f>
        <v>No CUSIP Match</v>
      </c>
      <c r="G550" s="72" t="str">
        <f aca="false">IFERROR(INDEX('13F Data'!D:D,MATCH($B550,'13F Data'!A:A,0)),"No CUSIP Match")</f>
        <v>No CUSIP Match</v>
      </c>
      <c r="J550" s="73" t="n">
        <f aca="false">$V550</f>
        <v>3900</v>
      </c>
      <c r="K550" s="71" t="str">
        <f aca="false">IFERROR(INDEX('EOD Data'!G:G, MATCH($A550, 'EOD Data'!B:B,0)), "No TKR Match")</f>
        <v>No TKR Match</v>
      </c>
      <c r="L550" s="71" t="str">
        <f aca="false">IFERROR(ROUND($J550*$K550,0),"Error")</f>
        <v>Error</v>
      </c>
      <c r="M550" s="71" t="str">
        <f aca="false">IFERROR(IF(AND($J550&lt;10000,$L550&lt;200000),"Yes","No"),"Error")</f>
        <v>No</v>
      </c>
      <c r="P550" s="42" t="str">
        <f aca="false">IF($N550="SOLE",$J550,"")</f>
        <v/>
      </c>
      <c r="Q550" s="42" t="str">
        <f aca="false">IFERROR(IF($N550="Sole",0,IF(AND($N550="OTR",$R550=0),$J550-$P550,IF(AND($N550="OTR", $R550&gt;0), $J550-$P550-$Q550, ""))),"")</f>
        <v/>
      </c>
      <c r="R550" s="42" t="str">
        <f aca="false">IF($P550=$J550, "0","")</f>
        <v/>
      </c>
      <c r="S550" s="42" t="str">
        <f aca="false">IF(OR(ISBLANK($B550),ISBLANK($C550), ISBLANK($E550), ISBLANK($F550), AND(ISBLANK($G550),ISBLANK($H550)), ISBLANK($I550), ISBLANK($L550), AND(ISBLANK($N550), ISBLANK($O550)), AND(ISBLANK($P550), ISBLANK($Q550), ISBLANK($R550))), "No", "Yes")</f>
        <v>No</v>
      </c>
      <c r="T550" s="42" t="str">
        <f aca="false">SUBSTITUTE($U550," ","")</f>
        <v>778296103</v>
      </c>
      <c r="U550" s="42" t="s">
        <v>704</v>
      </c>
      <c r="V550" s="39" t="n">
        <v>3900</v>
      </c>
    </row>
    <row r="551" customFormat="false" ht="15" hidden="false" customHeight="false" outlineLevel="0" collapsed="false">
      <c r="B551" s="70" t="s">
        <v>706</v>
      </c>
      <c r="C551" s="71" t="str">
        <f aca="false">IFERROR(INDEX('13F Data'!A:A,MATCH($B551,'13F Data'!A:A,0)),"No CUSIP Match")</f>
        <v>No CUSIP Match</v>
      </c>
      <c r="D551" s="71" t="str">
        <f aca="false">IFERROR(IF($B551=$C551,"Yes","No"),"No CUSIP Match")</f>
        <v>No</v>
      </c>
      <c r="E551" s="71"/>
      <c r="F551" s="71" t="str">
        <f aca="false">IFERROR(INDEX('13F Data'!C:C, MATCH($B551,'13F Data'!A:A,0)),"No CUSIP Match")</f>
        <v>No CUSIP Match</v>
      </c>
      <c r="G551" s="72" t="str">
        <f aca="false">IFERROR(INDEX('13F Data'!D:D,MATCH($B551,'13F Data'!A:A,0)),"No CUSIP Match")</f>
        <v>No CUSIP Match</v>
      </c>
      <c r="J551" s="73" t="n">
        <f aca="false">$V551</f>
        <v>4200</v>
      </c>
      <c r="K551" s="71" t="str">
        <f aca="false">IFERROR(INDEX('EOD Data'!G:G, MATCH($A551, 'EOD Data'!B:B,0)), "No TKR Match")</f>
        <v>No TKR Match</v>
      </c>
      <c r="L551" s="71" t="str">
        <f aca="false">IFERROR(ROUND($J551*$K551,0),"Error")</f>
        <v>Error</v>
      </c>
      <c r="M551" s="71" t="str">
        <f aca="false">IFERROR(IF(AND($J551&lt;10000,$L551&lt;200000),"Yes","No"),"Error")</f>
        <v>No</v>
      </c>
      <c r="P551" s="42" t="str">
        <f aca="false">IF($N551="SOLE",$J551,"")</f>
        <v/>
      </c>
      <c r="Q551" s="42" t="str">
        <f aca="false">IFERROR(IF($N551="Sole",0,IF(AND($N551="OTR",$R551=0),$J551-$P551,IF(AND($N551="OTR", $R551&gt;0), $J551-$P551-$Q551, ""))),"")</f>
        <v/>
      </c>
      <c r="R551" s="42" t="str">
        <f aca="false">IF($P551=$J551, "0","")</f>
        <v/>
      </c>
      <c r="S551" s="42" t="str">
        <f aca="false">IF(OR(ISBLANK($B551),ISBLANK($C551), ISBLANK($E551), ISBLANK($F551), AND(ISBLANK($G551),ISBLANK($H551)), ISBLANK($I551), ISBLANK($L551), AND(ISBLANK($N551), ISBLANK($O551)), AND(ISBLANK($P551), ISBLANK($Q551), ISBLANK($R551))), "No", "Yes")</f>
        <v>No</v>
      </c>
      <c r="T551" s="42" t="str">
        <f aca="false">SUBSTITUTE($U551," ","")</f>
        <v>000886286</v>
      </c>
      <c r="U551" s="42" t="s">
        <v>706</v>
      </c>
      <c r="V551" s="39" t="n">
        <v>4200</v>
      </c>
    </row>
    <row r="552" customFormat="false" ht="15" hidden="false" customHeight="false" outlineLevel="0" collapsed="false">
      <c r="B552" s="70" t="s">
        <v>706</v>
      </c>
      <c r="C552" s="71" t="str">
        <f aca="false">IFERROR(INDEX('13F Data'!A:A,MATCH($B552,'13F Data'!A:A,0)),"No CUSIP Match")</f>
        <v>No CUSIP Match</v>
      </c>
      <c r="D552" s="71" t="str">
        <f aca="false">IFERROR(IF($B552=$C552,"Yes","No"),"No CUSIP Match")</f>
        <v>No</v>
      </c>
      <c r="E552" s="71"/>
      <c r="F552" s="71" t="str">
        <f aca="false">IFERROR(INDEX('13F Data'!C:C, MATCH($B552,'13F Data'!A:A,0)),"No CUSIP Match")</f>
        <v>No CUSIP Match</v>
      </c>
      <c r="G552" s="72" t="str">
        <f aca="false">IFERROR(INDEX('13F Data'!D:D,MATCH($B552,'13F Data'!A:A,0)),"No CUSIP Match")</f>
        <v>No CUSIP Match</v>
      </c>
      <c r="J552" s="73" t="n">
        <f aca="false">$V552</f>
        <v>4200</v>
      </c>
      <c r="K552" s="71" t="str">
        <f aca="false">IFERROR(INDEX('EOD Data'!G:G, MATCH($A552, 'EOD Data'!B:B,0)), "No TKR Match")</f>
        <v>No TKR Match</v>
      </c>
      <c r="L552" s="71" t="str">
        <f aca="false">IFERROR(ROUND($J552*$K552,0),"Error")</f>
        <v>Error</v>
      </c>
      <c r="M552" s="71" t="str">
        <f aca="false">IFERROR(IF(AND($J552&lt;10000,$L552&lt;200000),"Yes","No"),"Error")</f>
        <v>No</v>
      </c>
      <c r="P552" s="42" t="str">
        <f aca="false">IF($N552="SOLE",$J552,"")</f>
        <v/>
      </c>
      <c r="Q552" s="42" t="str">
        <f aca="false">IFERROR(IF($N552="Sole",0,IF(AND($N552="OTR",$R552=0),$J552-$P552,IF(AND($N552="OTR", $R552&gt;0), $J552-$P552-$Q552, ""))),"")</f>
        <v/>
      </c>
      <c r="R552" s="42" t="str">
        <f aca="false">IF($P552=$J552, "0","")</f>
        <v/>
      </c>
      <c r="S552" s="42" t="str">
        <f aca="false">IF(OR(ISBLANK($B552),ISBLANK($C552), ISBLANK($E552), ISBLANK($F552), AND(ISBLANK($G552),ISBLANK($H552)), ISBLANK($I552), ISBLANK($L552), AND(ISBLANK($N552), ISBLANK($O552)), AND(ISBLANK($P552), ISBLANK($Q552), ISBLANK($R552))), "No", "Yes")</f>
        <v>No</v>
      </c>
      <c r="T552" s="42" t="str">
        <f aca="false">SUBSTITUTE($U552," ","")</f>
        <v>000886286</v>
      </c>
      <c r="U552" s="42" t="s">
        <v>706</v>
      </c>
      <c r="V552" s="39" t="n">
        <v>4200</v>
      </c>
    </row>
    <row r="553" customFormat="false" ht="15" hidden="false" customHeight="false" outlineLevel="0" collapsed="false">
      <c r="B553" s="70" t="s">
        <v>708</v>
      </c>
      <c r="C553" s="71" t="str">
        <f aca="false">IFERROR(INDEX('13F Data'!A:A,MATCH($B553,'13F Data'!A:A,0)),"No CUSIP Match")</f>
        <v>No CUSIP Match</v>
      </c>
      <c r="D553" s="71" t="str">
        <f aca="false">IFERROR(IF($B553=$C553,"Yes","No"),"No CUSIP Match")</f>
        <v>No</v>
      </c>
      <c r="E553" s="71"/>
      <c r="F553" s="71" t="str">
        <f aca="false">IFERROR(INDEX('13F Data'!C:C, MATCH($B553,'13F Data'!A:A,0)),"No CUSIP Match")</f>
        <v>No CUSIP Match</v>
      </c>
      <c r="G553" s="72" t="str">
        <f aca="false">IFERROR(INDEX('13F Data'!D:D,MATCH($B553,'13F Data'!A:A,0)),"No CUSIP Match")</f>
        <v>No CUSIP Match</v>
      </c>
      <c r="J553" s="73" t="n">
        <f aca="false">$V553</f>
        <v>1300</v>
      </c>
      <c r="K553" s="71" t="str">
        <f aca="false">IFERROR(INDEX('EOD Data'!G:G, MATCH($A553, 'EOD Data'!B:B,0)), "No TKR Match")</f>
        <v>No TKR Match</v>
      </c>
      <c r="L553" s="71" t="str">
        <f aca="false">IFERROR(ROUND($J553*$K553,0),"Error")</f>
        <v>Error</v>
      </c>
      <c r="M553" s="71" t="str">
        <f aca="false">IFERROR(IF(AND($J553&lt;10000,$L553&lt;200000),"Yes","No"),"Error")</f>
        <v>No</v>
      </c>
      <c r="P553" s="42" t="str">
        <f aca="false">IF($N553="SOLE",$J553,"")</f>
        <v/>
      </c>
      <c r="Q553" s="42" t="str">
        <f aca="false">IFERROR(IF($N553="Sole",0,IF(AND($N553="OTR",$R553=0),$J553-$P553,IF(AND($N553="OTR", $R553&gt;0), $J553-$P553-$Q553, ""))),"")</f>
        <v/>
      </c>
      <c r="R553" s="42" t="str">
        <f aca="false">IF($P553=$J553, "0","")</f>
        <v/>
      </c>
      <c r="S553" s="42" t="str">
        <f aca="false">IF(OR(ISBLANK($B553),ISBLANK($C553), ISBLANK($E553), ISBLANK($F553), AND(ISBLANK($G553),ISBLANK($H553)), ISBLANK($I553), ISBLANK($L553), AND(ISBLANK($N553), ISBLANK($O553)), AND(ISBLANK($P553), ISBLANK($Q553), ISBLANK($R553))), "No", "Yes")</f>
        <v>No</v>
      </c>
      <c r="T553" s="42" t="str">
        <f aca="false">SUBSTITUTE($U553," ","")</f>
        <v>75513E101</v>
      </c>
      <c r="U553" s="42" t="s">
        <v>708</v>
      </c>
      <c r="V553" s="39" t="n">
        <v>1300</v>
      </c>
    </row>
    <row r="554" customFormat="false" ht="15" hidden="false" customHeight="false" outlineLevel="0" collapsed="false">
      <c r="B554" s="70" t="s">
        <v>708</v>
      </c>
      <c r="C554" s="71" t="str">
        <f aca="false">IFERROR(INDEX('13F Data'!A:A,MATCH($B554,'13F Data'!A:A,0)),"No CUSIP Match")</f>
        <v>No CUSIP Match</v>
      </c>
      <c r="D554" s="71" t="str">
        <f aca="false">IFERROR(IF($B554=$C554,"Yes","No"),"No CUSIP Match")</f>
        <v>No</v>
      </c>
      <c r="E554" s="71"/>
      <c r="F554" s="71" t="str">
        <f aca="false">IFERROR(INDEX('13F Data'!C:C, MATCH($B554,'13F Data'!A:A,0)),"No CUSIP Match")</f>
        <v>No CUSIP Match</v>
      </c>
      <c r="G554" s="72" t="str">
        <f aca="false">IFERROR(INDEX('13F Data'!D:D,MATCH($B554,'13F Data'!A:A,0)),"No CUSIP Match")</f>
        <v>No CUSIP Match</v>
      </c>
      <c r="J554" s="73" t="n">
        <f aca="false">$V554</f>
        <v>1300</v>
      </c>
      <c r="K554" s="71" t="str">
        <f aca="false">IFERROR(INDEX('EOD Data'!G:G, MATCH($A554, 'EOD Data'!B:B,0)), "No TKR Match")</f>
        <v>No TKR Match</v>
      </c>
      <c r="L554" s="71" t="str">
        <f aca="false">IFERROR(ROUND($J554*$K554,0),"Error")</f>
        <v>Error</v>
      </c>
      <c r="M554" s="71" t="str">
        <f aca="false">IFERROR(IF(AND($J554&lt;10000,$L554&lt;200000),"Yes","No"),"Error")</f>
        <v>No</v>
      </c>
      <c r="P554" s="42" t="str">
        <f aca="false">IF($N554="SOLE",$J554,"")</f>
        <v/>
      </c>
      <c r="Q554" s="42" t="str">
        <f aca="false">IFERROR(IF($N554="Sole",0,IF(AND($N554="OTR",$R554=0),$J554-$P554,IF(AND($N554="OTR", $R554&gt;0), $J554-$P554-$Q554, ""))),"")</f>
        <v/>
      </c>
      <c r="R554" s="42" t="str">
        <f aca="false">IF($P554=$J554, "0","")</f>
        <v/>
      </c>
      <c r="S554" s="42" t="str">
        <f aca="false">IF(OR(ISBLANK($B554),ISBLANK($C554), ISBLANK($E554), ISBLANK($F554), AND(ISBLANK($G554),ISBLANK($H554)), ISBLANK($I554), ISBLANK($L554), AND(ISBLANK($N554), ISBLANK($O554)), AND(ISBLANK($P554), ISBLANK($Q554), ISBLANK($R554))), "No", "Yes")</f>
        <v>No</v>
      </c>
      <c r="T554" s="42" t="str">
        <f aca="false">SUBSTITUTE($U554," ","")</f>
        <v>75513E101</v>
      </c>
      <c r="U554" s="42" t="s">
        <v>708</v>
      </c>
      <c r="V554" s="39" t="n">
        <v>1300</v>
      </c>
    </row>
    <row r="555" customFormat="false" ht="15" hidden="false" customHeight="false" outlineLevel="0" collapsed="false">
      <c r="B555" s="70" t="s">
        <v>710</v>
      </c>
      <c r="C555" s="71" t="str">
        <f aca="false">IFERROR(INDEX('13F Data'!A:A,MATCH($B555,'13F Data'!A:A,0)),"No CUSIP Match")</f>
        <v>No CUSIP Match</v>
      </c>
      <c r="D555" s="71" t="str">
        <f aca="false">IFERROR(IF($B555=$C555,"Yes","No"),"No CUSIP Match")</f>
        <v>No</v>
      </c>
      <c r="E555" s="71"/>
      <c r="F555" s="71" t="str">
        <f aca="false">IFERROR(INDEX('13F Data'!C:C, MATCH($B555,'13F Data'!A:A,0)),"No CUSIP Match")</f>
        <v>No CUSIP Match</v>
      </c>
      <c r="G555" s="72" t="str">
        <f aca="false">IFERROR(INDEX('13F Data'!D:D,MATCH($B555,'13F Data'!A:A,0)),"No CUSIP Match")</f>
        <v>No CUSIP Match</v>
      </c>
      <c r="J555" s="73" t="n">
        <f aca="false">$V555</f>
        <v>18060</v>
      </c>
      <c r="K555" s="71" t="str">
        <f aca="false">IFERROR(INDEX('EOD Data'!G:G, MATCH($A555, 'EOD Data'!B:B,0)), "No TKR Match")</f>
        <v>No TKR Match</v>
      </c>
      <c r="L555" s="71" t="str">
        <f aca="false">IFERROR(ROUND($J555*$K555,0),"Error")</f>
        <v>Error</v>
      </c>
      <c r="M555" s="71" t="str">
        <f aca="false">IFERROR(IF(AND($J555&lt;10000,$L555&lt;200000),"Yes","No"),"Error")</f>
        <v>No</v>
      </c>
      <c r="P555" s="42" t="str">
        <f aca="false">IF($N555="SOLE",$J555,"")</f>
        <v/>
      </c>
      <c r="Q555" s="42" t="str">
        <f aca="false">IFERROR(IF($N555="Sole",0,IF(AND($N555="OTR",$R555=0),$J555-$P555,IF(AND($N555="OTR", $R555&gt;0), $J555-$P555-$Q555, ""))),"")</f>
        <v/>
      </c>
      <c r="R555" s="42" t="str">
        <f aca="false">IF($P555=$J555, "0","")</f>
        <v/>
      </c>
      <c r="S555" s="42" t="str">
        <f aca="false">IF(OR(ISBLANK($B555),ISBLANK($C555), ISBLANK($E555), ISBLANK($F555), AND(ISBLANK($G555),ISBLANK($H555)), ISBLANK($I555), ISBLANK($L555), AND(ISBLANK($N555), ISBLANK($O555)), AND(ISBLANK($P555), ISBLANK($Q555), ISBLANK($R555))), "No", "Yes")</f>
        <v>No</v>
      </c>
      <c r="T555" s="42" t="str">
        <f aca="false">SUBSTITUTE($U555," ","")</f>
        <v>78349D107</v>
      </c>
      <c r="U555" s="42" t="s">
        <v>710</v>
      </c>
      <c r="V555" s="39" t="n">
        <v>18060</v>
      </c>
    </row>
    <row r="556" customFormat="false" ht="15" hidden="false" customHeight="false" outlineLevel="0" collapsed="false">
      <c r="B556" s="70" t="s">
        <v>712</v>
      </c>
      <c r="C556" s="71" t="str">
        <f aca="false">IFERROR(INDEX('13F Data'!A:A,MATCH($B556,'13F Data'!A:A,0)),"No CUSIP Match")</f>
        <v>No CUSIP Match</v>
      </c>
      <c r="D556" s="71" t="str">
        <f aca="false">IFERROR(IF($B556=$C556,"Yes","No"),"No CUSIP Match")</f>
        <v>No</v>
      </c>
      <c r="E556" s="71"/>
      <c r="F556" s="71" t="str">
        <f aca="false">IFERROR(INDEX('13F Data'!C:C, MATCH($B556,'13F Data'!A:A,0)),"No CUSIP Match")</f>
        <v>No CUSIP Match</v>
      </c>
      <c r="G556" s="72" t="str">
        <f aca="false">IFERROR(INDEX('13F Data'!D:D,MATCH($B556,'13F Data'!A:A,0)),"No CUSIP Match")</f>
        <v>No CUSIP Match</v>
      </c>
      <c r="J556" s="73" t="n">
        <f aca="false">$V556</f>
        <v>4200</v>
      </c>
      <c r="K556" s="71" t="str">
        <f aca="false">IFERROR(INDEX('EOD Data'!G:G, MATCH($A556, 'EOD Data'!B:B,0)), "No TKR Match")</f>
        <v>No TKR Match</v>
      </c>
      <c r="L556" s="71" t="str">
        <f aca="false">IFERROR(ROUND($J556*$K556,0),"Error")</f>
        <v>Error</v>
      </c>
      <c r="M556" s="71" t="str">
        <f aca="false">IFERROR(IF(AND($J556&lt;10000,$L556&lt;200000),"Yes","No"),"Error")</f>
        <v>No</v>
      </c>
      <c r="P556" s="42" t="str">
        <f aca="false">IF($N556="SOLE",$J556,"")</f>
        <v/>
      </c>
      <c r="Q556" s="42" t="str">
        <f aca="false">IFERROR(IF($N556="Sole",0,IF(AND($N556="OTR",$R556=0),$J556-$P556,IF(AND($N556="OTR", $R556&gt;0), $J556-$P556-$Q556, ""))),"")</f>
        <v/>
      </c>
      <c r="R556" s="42" t="str">
        <f aca="false">IF($P556=$J556, "0","")</f>
        <v/>
      </c>
      <c r="S556" s="42" t="str">
        <f aca="false">IF(OR(ISBLANK($B556),ISBLANK($C556), ISBLANK($E556), ISBLANK($F556), AND(ISBLANK($G556),ISBLANK($H556)), ISBLANK($I556), ISBLANK($L556), AND(ISBLANK($N556), ISBLANK($O556)), AND(ISBLANK($P556), ISBLANK($Q556), ISBLANK($R556))), "No", "Yes")</f>
        <v>No</v>
      </c>
      <c r="T556" s="42" t="str">
        <f aca="false">SUBSTITUTE($U556," ","")</f>
        <v>78409V104</v>
      </c>
      <c r="U556" s="42" t="s">
        <v>712</v>
      </c>
      <c r="V556" s="39" t="n">
        <v>4200</v>
      </c>
    </row>
    <row r="557" customFormat="false" ht="15" hidden="false" customHeight="false" outlineLevel="0" collapsed="false">
      <c r="B557" s="70" t="s">
        <v>712</v>
      </c>
      <c r="C557" s="71" t="str">
        <f aca="false">IFERROR(INDEX('13F Data'!A:A,MATCH($B557,'13F Data'!A:A,0)),"No CUSIP Match")</f>
        <v>No CUSIP Match</v>
      </c>
      <c r="D557" s="71" t="str">
        <f aca="false">IFERROR(IF($B557=$C557,"Yes","No"),"No CUSIP Match")</f>
        <v>No</v>
      </c>
      <c r="E557" s="71"/>
      <c r="F557" s="71" t="str">
        <f aca="false">IFERROR(INDEX('13F Data'!C:C, MATCH($B557,'13F Data'!A:A,0)),"No CUSIP Match")</f>
        <v>No CUSIP Match</v>
      </c>
      <c r="G557" s="72" t="str">
        <f aca="false">IFERROR(INDEX('13F Data'!D:D,MATCH($B557,'13F Data'!A:A,0)),"No CUSIP Match")</f>
        <v>No CUSIP Match</v>
      </c>
      <c r="J557" s="73" t="n">
        <f aca="false">$V557</f>
        <v>4200</v>
      </c>
      <c r="K557" s="71" t="str">
        <f aca="false">IFERROR(INDEX('EOD Data'!G:G, MATCH($A557, 'EOD Data'!B:B,0)), "No TKR Match")</f>
        <v>No TKR Match</v>
      </c>
      <c r="L557" s="71" t="str">
        <f aca="false">IFERROR(ROUND($J557*$K557,0),"Error")</f>
        <v>Error</v>
      </c>
      <c r="M557" s="71" t="str">
        <f aca="false">IFERROR(IF(AND($J557&lt;10000,$L557&lt;200000),"Yes","No"),"Error")</f>
        <v>No</v>
      </c>
      <c r="P557" s="42" t="str">
        <f aca="false">IF($N557="SOLE",$J557,"")</f>
        <v/>
      </c>
      <c r="Q557" s="42" t="str">
        <f aca="false">IFERROR(IF($N557="Sole",0,IF(AND($N557="OTR",$R557=0),$J557-$P557,IF(AND($N557="OTR", $R557&gt;0), $J557-$P557-$Q557, ""))),"")</f>
        <v/>
      </c>
      <c r="R557" s="42" t="str">
        <f aca="false">IF($P557=$J557, "0","")</f>
        <v/>
      </c>
      <c r="S557" s="42" t="str">
        <f aca="false">IF(OR(ISBLANK($B557),ISBLANK($C557), ISBLANK($E557), ISBLANK($F557), AND(ISBLANK($G557),ISBLANK($H557)), ISBLANK($I557), ISBLANK($L557), AND(ISBLANK($N557), ISBLANK($O557)), AND(ISBLANK($P557), ISBLANK($Q557), ISBLANK($R557))), "No", "Yes")</f>
        <v>No</v>
      </c>
      <c r="T557" s="42" t="str">
        <f aca="false">SUBSTITUTE($U557," ","")</f>
        <v>78409V104</v>
      </c>
      <c r="U557" s="42" t="s">
        <v>712</v>
      </c>
      <c r="V557" s="39" t="n">
        <v>4200</v>
      </c>
    </row>
    <row r="558" customFormat="false" ht="15" hidden="false" customHeight="false" outlineLevel="0" collapsed="false">
      <c r="B558" s="70" t="s">
        <v>714</v>
      </c>
      <c r="C558" s="71" t="str">
        <f aca="false">IFERROR(INDEX('13F Data'!A:A,MATCH($B558,'13F Data'!A:A,0)),"No CUSIP Match")</f>
        <v>No CUSIP Match</v>
      </c>
      <c r="D558" s="71" t="str">
        <f aca="false">IFERROR(IF($B558=$C558,"Yes","No"),"No CUSIP Match")</f>
        <v>No</v>
      </c>
      <c r="E558" s="71"/>
      <c r="F558" s="71" t="str">
        <f aca="false">IFERROR(INDEX('13F Data'!C:C, MATCH($B558,'13F Data'!A:A,0)),"No CUSIP Match")</f>
        <v>No CUSIP Match</v>
      </c>
      <c r="G558" s="72" t="str">
        <f aca="false">IFERROR(INDEX('13F Data'!D:D,MATCH($B558,'13F Data'!A:A,0)),"No CUSIP Match")</f>
        <v>No CUSIP Match</v>
      </c>
      <c r="J558" s="73" t="n">
        <f aca="false">$V558</f>
        <v>15100</v>
      </c>
      <c r="K558" s="71" t="str">
        <f aca="false">IFERROR(INDEX('EOD Data'!G:G, MATCH($A558, 'EOD Data'!B:B,0)), "No TKR Match")</f>
        <v>No TKR Match</v>
      </c>
      <c r="L558" s="71" t="str">
        <f aca="false">IFERROR(ROUND($J558*$K558,0),"Error")</f>
        <v>Error</v>
      </c>
      <c r="M558" s="71" t="str">
        <f aca="false">IFERROR(IF(AND($J558&lt;10000,$L558&lt;200000),"Yes","No"),"Error")</f>
        <v>No</v>
      </c>
      <c r="P558" s="42" t="str">
        <f aca="false">IF($N558="SOLE",$J558,"")</f>
        <v/>
      </c>
      <c r="Q558" s="42" t="str">
        <f aca="false">IFERROR(IF($N558="Sole",0,IF(AND($N558="OTR",$R558=0),$J558-$P558,IF(AND($N558="OTR", $R558&gt;0), $J558-$P558-$Q558, ""))),"")</f>
        <v/>
      </c>
      <c r="R558" s="42" t="str">
        <f aca="false">IF($P558=$J558, "0","")</f>
        <v/>
      </c>
      <c r="S558" s="42" t="str">
        <f aca="false">IF(OR(ISBLANK($B558),ISBLANK($C558), ISBLANK($E558), ISBLANK($F558), AND(ISBLANK($G558),ISBLANK($H558)), ISBLANK($I558), ISBLANK($L558), AND(ISBLANK($N558), ISBLANK($O558)), AND(ISBLANK($P558), ISBLANK($Q558), ISBLANK($R558))), "No", "Yes")</f>
        <v>No</v>
      </c>
      <c r="T558" s="42" t="str">
        <f aca="false">SUBSTITUTE($U558," ","")</f>
        <v>79466L302</v>
      </c>
      <c r="U558" s="42" t="s">
        <v>714</v>
      </c>
      <c r="V558" s="39" t="n">
        <v>15100</v>
      </c>
    </row>
    <row r="559" customFormat="false" ht="15" hidden="false" customHeight="false" outlineLevel="0" collapsed="false">
      <c r="B559" s="70" t="s">
        <v>714</v>
      </c>
      <c r="C559" s="71" t="str">
        <f aca="false">IFERROR(INDEX('13F Data'!A:A,MATCH($B559,'13F Data'!A:A,0)),"No CUSIP Match")</f>
        <v>No CUSIP Match</v>
      </c>
      <c r="D559" s="71" t="str">
        <f aca="false">IFERROR(IF($B559=$C559,"Yes","No"),"No CUSIP Match")</f>
        <v>No</v>
      </c>
      <c r="E559" s="71"/>
      <c r="F559" s="71" t="str">
        <f aca="false">IFERROR(INDEX('13F Data'!C:C, MATCH($B559,'13F Data'!A:A,0)),"No CUSIP Match")</f>
        <v>No CUSIP Match</v>
      </c>
      <c r="G559" s="72" t="str">
        <f aca="false">IFERROR(INDEX('13F Data'!D:D,MATCH($B559,'13F Data'!A:A,0)),"No CUSIP Match")</f>
        <v>No CUSIP Match</v>
      </c>
      <c r="J559" s="73" t="n">
        <f aca="false">$V559</f>
        <v>15100</v>
      </c>
      <c r="K559" s="71" t="str">
        <f aca="false">IFERROR(INDEX('EOD Data'!G:G, MATCH($A559, 'EOD Data'!B:B,0)), "No TKR Match")</f>
        <v>No TKR Match</v>
      </c>
      <c r="L559" s="71" t="str">
        <f aca="false">IFERROR(ROUND($J559*$K559,0),"Error")</f>
        <v>Error</v>
      </c>
      <c r="M559" s="71" t="str">
        <f aca="false">IFERROR(IF(AND($J559&lt;10000,$L559&lt;200000),"Yes","No"),"Error")</f>
        <v>No</v>
      </c>
      <c r="P559" s="42" t="str">
        <f aca="false">IF($N559="SOLE",$J559,"")</f>
        <v/>
      </c>
      <c r="Q559" s="42" t="str">
        <f aca="false">IFERROR(IF($N559="Sole",0,IF(AND($N559="OTR",$R559=0),$J559-$P559,IF(AND($N559="OTR", $R559&gt;0), $J559-$P559-$Q559, ""))),"")</f>
        <v/>
      </c>
      <c r="R559" s="42" t="str">
        <f aca="false">IF($P559=$J559, "0","")</f>
        <v/>
      </c>
      <c r="S559" s="42" t="str">
        <f aca="false">IF(OR(ISBLANK($B559),ISBLANK($C559), ISBLANK($E559), ISBLANK($F559), AND(ISBLANK($G559),ISBLANK($H559)), ISBLANK($I559), ISBLANK($L559), AND(ISBLANK($N559), ISBLANK($O559)), AND(ISBLANK($P559), ISBLANK($Q559), ISBLANK($R559))), "No", "Yes")</f>
        <v>No</v>
      </c>
      <c r="T559" s="42" t="str">
        <f aca="false">SUBSTITUTE($U559," ","")</f>
        <v>79466L302</v>
      </c>
      <c r="U559" s="42" t="s">
        <v>714</v>
      </c>
      <c r="V559" s="39" t="n">
        <v>15100</v>
      </c>
    </row>
    <row r="560" customFormat="false" ht="15" hidden="false" customHeight="false" outlineLevel="0" collapsed="false">
      <c r="B560" s="70" t="s">
        <v>716</v>
      </c>
      <c r="C560" s="71" t="str">
        <f aca="false">IFERROR(INDEX('13F Data'!A:A,MATCH($B560,'13F Data'!A:A,0)),"No CUSIP Match")</f>
        <v>No CUSIP Match</v>
      </c>
      <c r="D560" s="71" t="str">
        <f aca="false">IFERROR(IF($B560=$C560,"Yes","No"),"No CUSIP Match")</f>
        <v>No</v>
      </c>
      <c r="E560" s="71"/>
      <c r="F560" s="71" t="str">
        <f aca="false">IFERROR(INDEX('13F Data'!C:C, MATCH($B560,'13F Data'!A:A,0)),"No CUSIP Match")</f>
        <v>No CUSIP Match</v>
      </c>
      <c r="G560" s="72" t="str">
        <f aca="false">IFERROR(INDEX('13F Data'!D:D,MATCH($B560,'13F Data'!A:A,0)),"No CUSIP Match")</f>
        <v>No CUSIP Match</v>
      </c>
      <c r="J560" s="73" t="n">
        <f aca="false">$V560</f>
        <v>29910</v>
      </c>
      <c r="K560" s="71" t="str">
        <f aca="false">IFERROR(INDEX('EOD Data'!G:G, MATCH($A560, 'EOD Data'!B:B,0)), "No TKR Match")</f>
        <v>No TKR Match</v>
      </c>
      <c r="L560" s="71" t="str">
        <f aca="false">IFERROR(ROUND($J560*$K560,0),"Error")</f>
        <v>Error</v>
      </c>
      <c r="M560" s="71" t="str">
        <f aca="false">IFERROR(IF(AND($J560&lt;10000,$L560&lt;200000),"Yes","No"),"Error")</f>
        <v>No</v>
      </c>
      <c r="P560" s="42" t="str">
        <f aca="false">IF($N560="SOLE",$J560,"")</f>
        <v/>
      </c>
      <c r="Q560" s="42" t="str">
        <f aca="false">IFERROR(IF($N560="Sole",0,IF(AND($N560="OTR",$R560=0),$J560-$P560,IF(AND($N560="OTR", $R560&gt;0), $J560-$P560-$Q560, ""))),"")</f>
        <v/>
      </c>
      <c r="R560" s="42" t="str">
        <f aca="false">IF($P560=$J560, "0","")</f>
        <v/>
      </c>
      <c r="S560" s="42" t="str">
        <f aca="false">IF(OR(ISBLANK($B560),ISBLANK($C560), ISBLANK($E560), ISBLANK($F560), AND(ISBLANK($G560),ISBLANK($H560)), ISBLANK($I560), ISBLANK($L560), AND(ISBLANK($N560), ISBLANK($O560)), AND(ISBLANK($P560), ISBLANK($Q560), ISBLANK($R560))), "No", "Yes")</f>
        <v>No</v>
      </c>
      <c r="T560" s="42" t="str">
        <f aca="false">SUBSTITUTE($U560," ","")</f>
        <v>79589L106</v>
      </c>
      <c r="U560" s="42" t="s">
        <v>716</v>
      </c>
      <c r="V560" s="39" t="n">
        <v>29910</v>
      </c>
    </row>
    <row r="561" customFormat="false" ht="15" hidden="false" customHeight="false" outlineLevel="0" collapsed="false">
      <c r="B561" s="70" t="s">
        <v>718</v>
      </c>
      <c r="C561" s="71" t="str">
        <f aca="false">IFERROR(INDEX('13F Data'!A:A,MATCH($B561,'13F Data'!A:A,0)),"No CUSIP Match")</f>
        <v>No CUSIP Match</v>
      </c>
      <c r="D561" s="71" t="str">
        <f aca="false">IFERROR(IF($B561=$C561,"Yes","No"),"No CUSIP Match")</f>
        <v>No</v>
      </c>
      <c r="E561" s="71"/>
      <c r="F561" s="71" t="str">
        <f aca="false">IFERROR(INDEX('13F Data'!C:C, MATCH($B561,'13F Data'!A:A,0)),"No CUSIP Match")</f>
        <v>No CUSIP Match</v>
      </c>
      <c r="G561" s="72" t="str">
        <f aca="false">IFERROR(INDEX('13F Data'!D:D,MATCH($B561,'13F Data'!A:A,0)),"No CUSIP Match")</f>
        <v>No CUSIP Match</v>
      </c>
      <c r="J561" s="73" t="n">
        <f aca="false">$V561</f>
        <v>43000000</v>
      </c>
      <c r="K561" s="71" t="str">
        <f aca="false">IFERROR(INDEX('EOD Data'!G:G, MATCH($A561, 'EOD Data'!B:B,0)), "No TKR Match")</f>
        <v>No TKR Match</v>
      </c>
      <c r="L561" s="71" t="str">
        <f aca="false">IFERROR(ROUND($J561*$K561,0),"Error")</f>
        <v>Error</v>
      </c>
      <c r="M561" s="71" t="str">
        <f aca="false">IFERROR(IF(AND($J561&lt;10000,$L561&lt;200000),"Yes","No"),"Error")</f>
        <v>No</v>
      </c>
      <c r="P561" s="42" t="str">
        <f aca="false">IF($N561="SOLE",$J561,"")</f>
        <v/>
      </c>
      <c r="Q561" s="42" t="str">
        <f aca="false">IFERROR(IF($N561="Sole",0,IF(AND($N561="OTR",$R561=0),$J561-$P561,IF(AND($N561="OTR", $R561&gt;0), $J561-$P561-$Q561, ""))),"")</f>
        <v/>
      </c>
      <c r="R561" s="42" t="str">
        <f aca="false">IF($P561=$J561, "0","")</f>
        <v/>
      </c>
      <c r="S561" s="42" t="str">
        <f aca="false">IF(OR(ISBLANK($B561),ISBLANK($C561), ISBLANK($E561), ISBLANK($F561), AND(ISBLANK($G561),ISBLANK($H561)), ISBLANK($I561), ISBLANK($L561), AND(ISBLANK($N561), ISBLANK($O561)), AND(ISBLANK($P561), ISBLANK($Q561), ISBLANK($R561))), "No", "Yes")</f>
        <v>No</v>
      </c>
      <c r="T561" s="42" t="str">
        <f aca="false">SUBSTITUTE($U561," ","")</f>
        <v>803607AD2</v>
      </c>
      <c r="U561" s="42" t="s">
        <v>718</v>
      </c>
      <c r="V561" s="39" t="n">
        <v>43000000</v>
      </c>
    </row>
    <row r="562" customFormat="false" ht="15" hidden="false" customHeight="false" outlineLevel="0" collapsed="false">
      <c r="B562" s="70" t="s">
        <v>720</v>
      </c>
      <c r="C562" s="71" t="str">
        <f aca="false">IFERROR(INDEX('13F Data'!A:A,MATCH($B562,'13F Data'!A:A,0)),"No CUSIP Match")</f>
        <v>No CUSIP Match</v>
      </c>
      <c r="D562" s="71" t="str">
        <f aca="false">IFERROR(IF($B562=$C562,"Yes","No"),"No CUSIP Match")</f>
        <v>No</v>
      </c>
      <c r="E562" s="71"/>
      <c r="F562" s="71" t="str">
        <f aca="false">IFERROR(INDEX('13F Data'!C:C, MATCH($B562,'13F Data'!A:A,0)),"No CUSIP Match")</f>
        <v>No CUSIP Match</v>
      </c>
      <c r="G562" s="72" t="str">
        <f aca="false">IFERROR(INDEX('13F Data'!D:D,MATCH($B562,'13F Data'!A:A,0)),"No CUSIP Match")</f>
        <v>No CUSIP Match</v>
      </c>
      <c r="J562" s="73" t="n">
        <f aca="false">$V562</f>
        <v>1588</v>
      </c>
      <c r="K562" s="71" t="str">
        <f aca="false">IFERROR(INDEX('EOD Data'!G:G, MATCH($A562, 'EOD Data'!B:B,0)), "No TKR Match")</f>
        <v>No TKR Match</v>
      </c>
      <c r="L562" s="71" t="str">
        <f aca="false">IFERROR(ROUND($J562*$K562,0),"Error")</f>
        <v>Error</v>
      </c>
      <c r="M562" s="71" t="str">
        <f aca="false">IFERROR(IF(AND($J562&lt;10000,$L562&lt;200000),"Yes","No"),"Error")</f>
        <v>No</v>
      </c>
      <c r="P562" s="42" t="str">
        <f aca="false">IF($N562="SOLE",$J562,"")</f>
        <v/>
      </c>
      <c r="Q562" s="42" t="str">
        <f aca="false">IFERROR(IF($N562="Sole",0,IF(AND($N562="OTR",$R562=0),$J562-$P562,IF(AND($N562="OTR", $R562&gt;0), $J562-$P562-$Q562, ""))),"")</f>
        <v/>
      </c>
      <c r="R562" s="42" t="str">
        <f aca="false">IF($P562=$J562, "0","")</f>
        <v/>
      </c>
      <c r="S562" s="42" t="str">
        <f aca="false">IF(OR(ISBLANK($B562),ISBLANK($C562), ISBLANK($E562), ISBLANK($F562), AND(ISBLANK($G562),ISBLANK($H562)), ISBLANK($I562), ISBLANK($L562), AND(ISBLANK($N562), ISBLANK($O562)), AND(ISBLANK($P562), ISBLANK($Q562), ISBLANK($R562))), "No", "Yes")</f>
        <v>No</v>
      </c>
      <c r="T562" s="42" t="str">
        <f aca="false">SUBSTITUTE($U562," ","")</f>
        <v>806857108</v>
      </c>
      <c r="U562" s="42" t="s">
        <v>720</v>
      </c>
      <c r="V562" s="39" t="n">
        <v>1588</v>
      </c>
    </row>
    <row r="563" customFormat="false" ht="15" hidden="false" customHeight="false" outlineLevel="0" collapsed="false">
      <c r="B563" s="70" t="s">
        <v>720</v>
      </c>
      <c r="C563" s="71" t="str">
        <f aca="false">IFERROR(INDEX('13F Data'!A:A,MATCH($B563,'13F Data'!A:A,0)),"No CUSIP Match")</f>
        <v>No CUSIP Match</v>
      </c>
      <c r="D563" s="71" t="str">
        <f aca="false">IFERROR(IF($B563=$C563,"Yes","No"),"No CUSIP Match")</f>
        <v>No</v>
      </c>
      <c r="E563" s="71"/>
      <c r="F563" s="71" t="str">
        <f aca="false">IFERROR(INDEX('13F Data'!C:C, MATCH($B563,'13F Data'!A:A,0)),"No CUSIP Match")</f>
        <v>No CUSIP Match</v>
      </c>
      <c r="G563" s="72" t="str">
        <f aca="false">IFERROR(INDEX('13F Data'!D:D,MATCH($B563,'13F Data'!A:A,0)),"No CUSIP Match")</f>
        <v>No CUSIP Match</v>
      </c>
      <c r="J563" s="73" t="n">
        <f aca="false">$V563</f>
        <v>170600</v>
      </c>
      <c r="K563" s="71" t="str">
        <f aca="false">IFERROR(INDEX('EOD Data'!G:G, MATCH($A563, 'EOD Data'!B:B,0)), "No TKR Match")</f>
        <v>No TKR Match</v>
      </c>
      <c r="L563" s="71" t="str">
        <f aca="false">IFERROR(ROUND($J563*$K563,0),"Error")</f>
        <v>Error</v>
      </c>
      <c r="M563" s="71" t="str">
        <f aca="false">IFERROR(IF(AND($J563&lt;10000,$L563&lt;200000),"Yes","No"),"Error")</f>
        <v>No</v>
      </c>
      <c r="P563" s="42" t="str">
        <f aca="false">IF($N563="SOLE",$J563,"")</f>
        <v/>
      </c>
      <c r="Q563" s="42" t="str">
        <f aca="false">IFERROR(IF($N563="Sole",0,IF(AND($N563="OTR",$R563=0),$J563-$P563,IF(AND($N563="OTR", $R563&gt;0), $J563-$P563-$Q563, ""))),"")</f>
        <v/>
      </c>
      <c r="R563" s="42" t="str">
        <f aca="false">IF($P563=$J563, "0","")</f>
        <v/>
      </c>
      <c r="S563" s="42" t="str">
        <f aca="false">IF(OR(ISBLANK($B563),ISBLANK($C563), ISBLANK($E563), ISBLANK($F563), AND(ISBLANK($G563),ISBLANK($H563)), ISBLANK($I563), ISBLANK($L563), AND(ISBLANK($N563), ISBLANK($O563)), AND(ISBLANK($P563), ISBLANK($Q563), ISBLANK($R563))), "No", "Yes")</f>
        <v>No</v>
      </c>
      <c r="T563" s="42" t="str">
        <f aca="false">SUBSTITUTE($U563," ","")</f>
        <v>806857108</v>
      </c>
      <c r="U563" s="42" t="s">
        <v>720</v>
      </c>
      <c r="V563" s="39" t="n">
        <v>170600</v>
      </c>
    </row>
    <row r="564" customFormat="false" ht="15" hidden="false" customHeight="false" outlineLevel="0" collapsed="false">
      <c r="B564" s="70" t="s">
        <v>720</v>
      </c>
      <c r="C564" s="71" t="str">
        <f aca="false">IFERROR(INDEX('13F Data'!A:A,MATCH($B564,'13F Data'!A:A,0)),"No CUSIP Match")</f>
        <v>No CUSIP Match</v>
      </c>
      <c r="D564" s="71" t="str">
        <f aca="false">IFERROR(IF($B564=$C564,"Yes","No"),"No CUSIP Match")</f>
        <v>No</v>
      </c>
      <c r="E564" s="71"/>
      <c r="F564" s="71" t="str">
        <f aca="false">IFERROR(INDEX('13F Data'!C:C, MATCH($B564,'13F Data'!A:A,0)),"No CUSIP Match")</f>
        <v>No CUSIP Match</v>
      </c>
      <c r="G564" s="72" t="str">
        <f aca="false">IFERROR(INDEX('13F Data'!D:D,MATCH($B564,'13F Data'!A:A,0)),"No CUSIP Match")</f>
        <v>No CUSIP Match</v>
      </c>
      <c r="J564" s="73" t="n">
        <f aca="false">$V564</f>
        <v>71600</v>
      </c>
      <c r="K564" s="71" t="str">
        <f aca="false">IFERROR(INDEX('EOD Data'!G:G, MATCH($A564, 'EOD Data'!B:B,0)), "No TKR Match")</f>
        <v>No TKR Match</v>
      </c>
      <c r="L564" s="71" t="str">
        <f aca="false">IFERROR(ROUND($J564*$K564,0),"Error")</f>
        <v>Error</v>
      </c>
      <c r="M564" s="71" t="str">
        <f aca="false">IFERROR(IF(AND($J564&lt;10000,$L564&lt;200000),"Yes","No"),"Error")</f>
        <v>No</v>
      </c>
      <c r="P564" s="42" t="str">
        <f aca="false">IF($N564="SOLE",$J564,"")</f>
        <v/>
      </c>
      <c r="Q564" s="42" t="str">
        <f aca="false">IFERROR(IF($N564="Sole",0,IF(AND($N564="OTR",$R564=0),$J564-$P564,IF(AND($N564="OTR", $R564&gt;0), $J564-$P564-$Q564, ""))),"")</f>
        <v/>
      </c>
      <c r="R564" s="42" t="str">
        <f aca="false">IF($P564=$J564, "0","")</f>
        <v/>
      </c>
      <c r="S564" s="42" t="str">
        <f aca="false">IF(OR(ISBLANK($B564),ISBLANK($C564), ISBLANK($E564), ISBLANK($F564), AND(ISBLANK($G564),ISBLANK($H564)), ISBLANK($I564), ISBLANK($L564), AND(ISBLANK($N564), ISBLANK($O564)), AND(ISBLANK($P564), ISBLANK($Q564), ISBLANK($R564))), "No", "Yes")</f>
        <v>No</v>
      </c>
      <c r="T564" s="42" t="str">
        <f aca="false">SUBSTITUTE($U564," ","")</f>
        <v>806857108</v>
      </c>
      <c r="U564" s="42" t="s">
        <v>720</v>
      </c>
      <c r="V564" s="39" t="n">
        <v>71600</v>
      </c>
    </row>
    <row r="565" customFormat="false" ht="15" hidden="false" customHeight="false" outlineLevel="0" collapsed="false">
      <c r="B565" s="70" t="s">
        <v>722</v>
      </c>
      <c r="C565" s="71" t="str">
        <f aca="false">IFERROR(INDEX('13F Data'!A:A,MATCH($B565,'13F Data'!A:A,0)),"No CUSIP Match")</f>
        <v>No CUSIP Match</v>
      </c>
      <c r="D565" s="71" t="str">
        <f aca="false">IFERROR(IF($B565=$C565,"Yes","No"),"No CUSIP Match")</f>
        <v>No</v>
      </c>
      <c r="E565" s="71"/>
      <c r="F565" s="71" t="str">
        <f aca="false">IFERROR(INDEX('13F Data'!C:C, MATCH($B565,'13F Data'!A:A,0)),"No CUSIP Match")</f>
        <v>No CUSIP Match</v>
      </c>
      <c r="G565" s="72" t="str">
        <f aca="false">IFERROR(INDEX('13F Data'!D:D,MATCH($B565,'13F Data'!A:A,0)),"No CUSIP Match")</f>
        <v>No CUSIP Match</v>
      </c>
      <c r="J565" s="73" t="n">
        <f aca="false">$V565</f>
        <v>18000000</v>
      </c>
      <c r="K565" s="71" t="str">
        <f aca="false">IFERROR(INDEX('EOD Data'!G:G, MATCH($A565, 'EOD Data'!B:B,0)), "No TKR Match")</f>
        <v>No TKR Match</v>
      </c>
      <c r="L565" s="71" t="str">
        <f aca="false">IFERROR(ROUND($J565*$K565,0),"Error")</f>
        <v>Error</v>
      </c>
      <c r="M565" s="71" t="str">
        <f aca="false">IFERROR(IF(AND($J565&lt;10000,$L565&lt;200000),"Yes","No"),"Error")</f>
        <v>No</v>
      </c>
      <c r="P565" s="42" t="str">
        <f aca="false">IF($N565="SOLE",$J565,"")</f>
        <v/>
      </c>
      <c r="Q565" s="42" t="str">
        <f aca="false">IFERROR(IF($N565="Sole",0,IF(AND($N565="OTR",$R565=0),$J565-$P565,IF(AND($N565="OTR", $R565&gt;0), $J565-$P565-$Q565, ""))),"")</f>
        <v/>
      </c>
      <c r="R565" s="42" t="str">
        <f aca="false">IF($P565=$J565, "0","")</f>
        <v/>
      </c>
      <c r="S565" s="42" t="str">
        <f aca="false">IF(OR(ISBLANK($B565),ISBLANK($C565), ISBLANK($E565), ISBLANK($F565), AND(ISBLANK($G565),ISBLANK($H565)), ISBLANK($I565), ISBLANK($L565), AND(ISBLANK($N565), ISBLANK($O565)), AND(ISBLANK($P565), ISBLANK($Q565), ISBLANK($R565))), "No", "Yes")</f>
        <v>No</v>
      </c>
      <c r="T565" s="42" t="str">
        <f aca="false">SUBSTITUTE($U565," ","")</f>
        <v>816850AG6</v>
      </c>
      <c r="U565" s="42" t="s">
        <v>722</v>
      </c>
      <c r="V565" s="39" t="n">
        <v>18000000</v>
      </c>
    </row>
    <row r="566" customFormat="false" ht="15" hidden="false" customHeight="false" outlineLevel="0" collapsed="false">
      <c r="B566" s="70" t="s">
        <v>724</v>
      </c>
      <c r="C566" s="71" t="str">
        <f aca="false">IFERROR(INDEX('13F Data'!A:A,MATCH($B566,'13F Data'!A:A,0)),"No CUSIP Match")</f>
        <v>No CUSIP Match</v>
      </c>
      <c r="D566" s="71" t="str">
        <f aca="false">IFERROR(IF($B566=$C566,"Yes","No"),"No CUSIP Match")</f>
        <v>No</v>
      </c>
      <c r="E566" s="71"/>
      <c r="F566" s="71" t="str">
        <f aca="false">IFERROR(INDEX('13F Data'!C:C, MATCH($B566,'13F Data'!A:A,0)),"No CUSIP Match")</f>
        <v>No CUSIP Match</v>
      </c>
      <c r="G566" s="72" t="str">
        <f aca="false">IFERROR(INDEX('13F Data'!D:D,MATCH($B566,'13F Data'!A:A,0)),"No CUSIP Match")</f>
        <v>No CUSIP Match</v>
      </c>
      <c r="J566" s="73" t="n">
        <f aca="false">$V566</f>
        <v>190900</v>
      </c>
      <c r="K566" s="71" t="str">
        <f aca="false">IFERROR(INDEX('EOD Data'!G:G, MATCH($A566, 'EOD Data'!B:B,0)), "No TKR Match")</f>
        <v>No TKR Match</v>
      </c>
      <c r="L566" s="71" t="str">
        <f aca="false">IFERROR(ROUND($J566*$K566,0),"Error")</f>
        <v>Error</v>
      </c>
      <c r="M566" s="71" t="str">
        <f aca="false">IFERROR(IF(AND($J566&lt;10000,$L566&lt;200000),"Yes","No"),"Error")</f>
        <v>No</v>
      </c>
      <c r="P566" s="42" t="str">
        <f aca="false">IF($N566="SOLE",$J566,"")</f>
        <v/>
      </c>
      <c r="Q566" s="42" t="str">
        <f aca="false">IFERROR(IF($N566="Sole",0,IF(AND($N566="OTR",$R566=0),$J566-$P566,IF(AND($N566="OTR", $R566&gt;0), $J566-$P566-$Q566, ""))),"")</f>
        <v/>
      </c>
      <c r="R566" s="42" t="str">
        <f aca="false">IF($P566=$J566, "0","")</f>
        <v/>
      </c>
      <c r="S566" s="42" t="str">
        <f aca="false">IF(OR(ISBLANK($B566),ISBLANK($C566), ISBLANK($E566), ISBLANK($F566), AND(ISBLANK($G566),ISBLANK($H566)), ISBLANK($I566), ISBLANK($L566), AND(ISBLANK($N566), ISBLANK($O566)), AND(ISBLANK($P566), ISBLANK($Q566), ISBLANK($R566))), "No", "Yes")</f>
        <v>No</v>
      </c>
      <c r="T566" s="42" t="str">
        <f aca="false">SUBSTITUTE($U566," ","")</f>
        <v>81730H109</v>
      </c>
      <c r="U566" s="42" t="s">
        <v>724</v>
      </c>
      <c r="V566" s="39" t="n">
        <v>190900</v>
      </c>
    </row>
    <row r="567" customFormat="false" ht="15" hidden="false" customHeight="false" outlineLevel="0" collapsed="false">
      <c r="B567" s="70" t="s">
        <v>726</v>
      </c>
      <c r="C567" s="71" t="str">
        <f aca="false">IFERROR(INDEX('13F Data'!A:A,MATCH($B567,'13F Data'!A:A,0)),"No CUSIP Match")</f>
        <v>No CUSIP Match</v>
      </c>
      <c r="D567" s="71" t="str">
        <f aca="false">IFERROR(IF($B567=$C567,"Yes","No"),"No CUSIP Match")</f>
        <v>No</v>
      </c>
      <c r="E567" s="71"/>
      <c r="F567" s="71" t="str">
        <f aca="false">IFERROR(INDEX('13F Data'!C:C, MATCH($B567,'13F Data'!A:A,0)),"No CUSIP Match")</f>
        <v>No CUSIP Match</v>
      </c>
      <c r="G567" s="72" t="str">
        <f aca="false">IFERROR(INDEX('13F Data'!D:D,MATCH($B567,'13F Data'!A:A,0)),"No CUSIP Match")</f>
        <v>No CUSIP Match</v>
      </c>
      <c r="J567" s="73" t="n">
        <f aca="false">$V567</f>
        <v>12500</v>
      </c>
      <c r="K567" s="71" t="str">
        <f aca="false">IFERROR(INDEX('EOD Data'!G:G, MATCH($A567, 'EOD Data'!B:B,0)), "No TKR Match")</f>
        <v>No TKR Match</v>
      </c>
      <c r="L567" s="71" t="str">
        <f aca="false">IFERROR(ROUND($J567*$K567,0),"Error")</f>
        <v>Error</v>
      </c>
      <c r="M567" s="71" t="str">
        <f aca="false">IFERROR(IF(AND($J567&lt;10000,$L567&lt;200000),"Yes","No"),"Error")</f>
        <v>No</v>
      </c>
      <c r="P567" s="42" t="str">
        <f aca="false">IF($N567="SOLE",$J567,"")</f>
        <v/>
      </c>
      <c r="Q567" s="42" t="str">
        <f aca="false">IFERROR(IF($N567="Sole",0,IF(AND($N567="OTR",$R567=0),$J567-$P567,IF(AND($N567="OTR", $R567&gt;0), $J567-$P567-$Q567, ""))),"")</f>
        <v/>
      </c>
      <c r="R567" s="42" t="str">
        <f aca="false">IF($P567=$J567, "0","")</f>
        <v/>
      </c>
      <c r="S567" s="42" t="str">
        <f aca="false">IF(OR(ISBLANK($B567),ISBLANK($C567), ISBLANK($E567), ISBLANK($F567), AND(ISBLANK($G567),ISBLANK($H567)), ISBLANK($I567), ISBLANK($L567), AND(ISBLANK($N567), ISBLANK($O567)), AND(ISBLANK($P567), ISBLANK($Q567), ISBLANK($R567))), "No", "Yes")</f>
        <v>No</v>
      </c>
      <c r="T567" s="42" t="str">
        <f aca="false">SUBSTITUTE($U567," ","")</f>
        <v>81762P102</v>
      </c>
      <c r="U567" s="42" t="s">
        <v>726</v>
      </c>
      <c r="V567" s="39" t="n">
        <v>12500</v>
      </c>
    </row>
    <row r="568" customFormat="false" ht="15" hidden="false" customHeight="false" outlineLevel="0" collapsed="false">
      <c r="B568" s="70" t="s">
        <v>726</v>
      </c>
      <c r="C568" s="71" t="str">
        <f aca="false">IFERROR(INDEX('13F Data'!A:A,MATCH($B568,'13F Data'!A:A,0)),"No CUSIP Match")</f>
        <v>No CUSIP Match</v>
      </c>
      <c r="D568" s="71" t="str">
        <f aca="false">IFERROR(IF($B568=$C568,"Yes","No"),"No CUSIP Match")</f>
        <v>No</v>
      </c>
      <c r="E568" s="71"/>
      <c r="F568" s="71" t="str">
        <f aca="false">IFERROR(INDEX('13F Data'!C:C, MATCH($B568,'13F Data'!A:A,0)),"No CUSIP Match")</f>
        <v>No CUSIP Match</v>
      </c>
      <c r="G568" s="72" t="str">
        <f aca="false">IFERROR(INDEX('13F Data'!D:D,MATCH($B568,'13F Data'!A:A,0)),"No CUSIP Match")</f>
        <v>No CUSIP Match</v>
      </c>
      <c r="J568" s="73" t="n">
        <f aca="false">$V568</f>
        <v>12500</v>
      </c>
      <c r="K568" s="71" t="str">
        <f aca="false">IFERROR(INDEX('EOD Data'!G:G, MATCH($A568, 'EOD Data'!B:B,0)), "No TKR Match")</f>
        <v>No TKR Match</v>
      </c>
      <c r="L568" s="71" t="str">
        <f aca="false">IFERROR(ROUND($J568*$K568,0),"Error")</f>
        <v>Error</v>
      </c>
      <c r="M568" s="71" t="str">
        <f aca="false">IFERROR(IF(AND($J568&lt;10000,$L568&lt;200000),"Yes","No"),"Error")</f>
        <v>No</v>
      </c>
      <c r="P568" s="42" t="str">
        <f aca="false">IF($N568="SOLE",$J568,"")</f>
        <v/>
      </c>
      <c r="Q568" s="42" t="str">
        <f aca="false">IFERROR(IF($N568="Sole",0,IF(AND($N568="OTR",$R568=0),$J568-$P568,IF(AND($N568="OTR", $R568&gt;0), $J568-$P568-$Q568, ""))),"")</f>
        <v/>
      </c>
      <c r="R568" s="42" t="str">
        <f aca="false">IF($P568=$J568, "0","")</f>
        <v/>
      </c>
      <c r="S568" s="42" t="str">
        <f aca="false">IF(OR(ISBLANK($B568),ISBLANK($C568), ISBLANK($E568), ISBLANK($F568), AND(ISBLANK($G568),ISBLANK($H568)), ISBLANK($I568), ISBLANK($L568), AND(ISBLANK($N568), ISBLANK($O568)), AND(ISBLANK($P568), ISBLANK($Q568), ISBLANK($R568))), "No", "Yes")</f>
        <v>No</v>
      </c>
      <c r="T568" s="42" t="str">
        <f aca="false">SUBSTITUTE($U568," ","")</f>
        <v>81762P102</v>
      </c>
      <c r="U568" s="42" t="s">
        <v>726</v>
      </c>
      <c r="V568" s="39" t="n">
        <v>12500</v>
      </c>
    </row>
    <row r="569" customFormat="false" ht="15" hidden="false" customHeight="false" outlineLevel="0" collapsed="false">
      <c r="B569" s="70" t="s">
        <v>728</v>
      </c>
      <c r="C569" s="71" t="str">
        <f aca="false">IFERROR(INDEX('13F Data'!A:A,MATCH($B569,'13F Data'!A:A,0)),"No CUSIP Match")</f>
        <v>No CUSIP Match</v>
      </c>
      <c r="D569" s="71" t="str">
        <f aca="false">IFERROR(IF($B569=$C569,"Yes","No"),"No CUSIP Match")</f>
        <v>No</v>
      </c>
      <c r="E569" s="71"/>
      <c r="F569" s="71" t="str">
        <f aca="false">IFERROR(INDEX('13F Data'!C:C, MATCH($B569,'13F Data'!A:A,0)),"No CUSIP Match")</f>
        <v>No CUSIP Match</v>
      </c>
      <c r="G569" s="72" t="str">
        <f aca="false">IFERROR(INDEX('13F Data'!D:D,MATCH($B569,'13F Data'!A:A,0)),"No CUSIP Match")</f>
        <v>No CUSIP Match</v>
      </c>
      <c r="J569" s="73" t="n">
        <f aca="false">$V569</f>
        <v>15000000</v>
      </c>
      <c r="K569" s="71" t="str">
        <f aca="false">IFERROR(INDEX('EOD Data'!G:G, MATCH($A569, 'EOD Data'!B:B,0)), "No TKR Match")</f>
        <v>No TKR Match</v>
      </c>
      <c r="L569" s="71" t="str">
        <f aca="false">IFERROR(ROUND($J569*$K569,0),"Error")</f>
        <v>Error</v>
      </c>
      <c r="M569" s="71" t="str">
        <f aca="false">IFERROR(IF(AND($J569&lt;10000,$L569&lt;200000),"Yes","No"),"Error")</f>
        <v>No</v>
      </c>
      <c r="P569" s="42" t="str">
        <f aca="false">IF($N569="SOLE",$J569,"")</f>
        <v/>
      </c>
      <c r="Q569" s="42" t="str">
        <f aca="false">IFERROR(IF($N569="Sole",0,IF(AND($N569="OTR",$R569=0),$J569-$P569,IF(AND($N569="OTR", $R569&gt;0), $J569-$P569-$Q569, ""))),"")</f>
        <v/>
      </c>
      <c r="R569" s="42" t="str">
        <f aca="false">IF($P569=$J569, "0","")</f>
        <v/>
      </c>
      <c r="S569" s="42" t="str">
        <f aca="false">IF(OR(ISBLANK($B569),ISBLANK($C569), ISBLANK($E569), ISBLANK($F569), AND(ISBLANK($G569),ISBLANK($H569)), ISBLANK($I569), ISBLANK($L569), AND(ISBLANK($N569), ISBLANK($O569)), AND(ISBLANK($P569), ISBLANK($Q569), ISBLANK($R569))), "No", "Yes")</f>
        <v>No</v>
      </c>
      <c r="T569" s="42" t="str">
        <f aca="false">SUBSTITUTE($U569," ","")</f>
        <v>819047AB7</v>
      </c>
      <c r="U569" s="42" t="s">
        <v>728</v>
      </c>
      <c r="V569" s="39" t="n">
        <v>15000000</v>
      </c>
    </row>
    <row r="570" customFormat="false" ht="15" hidden="false" customHeight="false" outlineLevel="0" collapsed="false">
      <c r="B570" s="70" t="s">
        <v>730</v>
      </c>
      <c r="C570" s="71" t="str">
        <f aca="false">IFERROR(INDEX('13F Data'!A:A,MATCH($B570,'13F Data'!A:A,0)),"No CUSIP Match")</f>
        <v>No CUSIP Match</v>
      </c>
      <c r="D570" s="71" t="str">
        <f aca="false">IFERROR(IF($B570=$C570,"Yes","No"),"No CUSIP Match")</f>
        <v>No</v>
      </c>
      <c r="E570" s="71"/>
      <c r="F570" s="71" t="str">
        <f aca="false">IFERROR(INDEX('13F Data'!C:C, MATCH($B570,'13F Data'!A:A,0)),"No CUSIP Match")</f>
        <v>No CUSIP Match</v>
      </c>
      <c r="G570" s="72" t="str">
        <f aca="false">IFERROR(INDEX('13F Data'!D:D,MATCH($B570,'13F Data'!A:A,0)),"No CUSIP Match")</f>
        <v>No CUSIP Match</v>
      </c>
      <c r="J570" s="73" t="n">
        <f aca="false">$V570</f>
        <v>40000000</v>
      </c>
      <c r="K570" s="71" t="str">
        <f aca="false">IFERROR(INDEX('EOD Data'!G:G, MATCH($A570, 'EOD Data'!B:B,0)), "No TKR Match")</f>
        <v>No TKR Match</v>
      </c>
      <c r="L570" s="71" t="str">
        <f aca="false">IFERROR(ROUND($J570*$K570,0),"Error")</f>
        <v>Error</v>
      </c>
      <c r="M570" s="71" t="str">
        <f aca="false">IFERROR(IF(AND($J570&lt;10000,$L570&lt;200000),"Yes","No"),"Error")</f>
        <v>No</v>
      </c>
      <c r="P570" s="42" t="str">
        <f aca="false">IF($N570="SOLE",$J570,"")</f>
        <v/>
      </c>
      <c r="Q570" s="42" t="str">
        <f aca="false">IFERROR(IF($N570="Sole",0,IF(AND($N570="OTR",$R570=0),$J570-$P570,IF(AND($N570="OTR", $R570&gt;0), $J570-$P570-$Q570, ""))),"")</f>
        <v/>
      </c>
      <c r="R570" s="42" t="str">
        <f aca="false">IF($P570=$J570, "0","")</f>
        <v/>
      </c>
      <c r="S570" s="42" t="str">
        <f aca="false">IF(OR(ISBLANK($B570),ISBLANK($C570), ISBLANK($E570), ISBLANK($F570), AND(ISBLANK($G570),ISBLANK($H570)), ISBLANK($I570), ISBLANK($L570), AND(ISBLANK($N570), ISBLANK($O570)), AND(ISBLANK($P570), ISBLANK($Q570), ISBLANK($R570))), "No", "Yes")</f>
        <v>No</v>
      </c>
      <c r="T570" s="42" t="str">
        <f aca="false">SUBSTITUTE($U570," ","")</f>
        <v>82489TAA2</v>
      </c>
      <c r="U570" s="42" t="s">
        <v>730</v>
      </c>
      <c r="V570" s="39" t="n">
        <v>40000000</v>
      </c>
    </row>
    <row r="571" customFormat="false" ht="15" hidden="false" customHeight="false" outlineLevel="0" collapsed="false">
      <c r="B571" s="70" t="s">
        <v>732</v>
      </c>
      <c r="C571" s="71" t="str">
        <f aca="false">IFERROR(INDEX('13F Data'!A:A,MATCH($B571,'13F Data'!A:A,0)),"No CUSIP Match")</f>
        <v>No CUSIP Match</v>
      </c>
      <c r="D571" s="71" t="str">
        <f aca="false">IFERROR(IF($B571=$C571,"Yes","No"),"No CUSIP Match")</f>
        <v>No</v>
      </c>
      <c r="E571" s="71"/>
      <c r="F571" s="71" t="str">
        <f aca="false">IFERROR(INDEX('13F Data'!C:C, MATCH($B571,'13F Data'!A:A,0)),"No CUSIP Match")</f>
        <v>No CUSIP Match</v>
      </c>
      <c r="G571" s="72" t="str">
        <f aca="false">IFERROR(INDEX('13F Data'!D:D,MATCH($B571,'13F Data'!A:A,0)),"No CUSIP Match")</f>
        <v>No CUSIP Match</v>
      </c>
      <c r="J571" s="73" t="n">
        <f aca="false">$V571</f>
        <v>755948</v>
      </c>
      <c r="K571" s="71" t="str">
        <f aca="false">IFERROR(INDEX('EOD Data'!G:G, MATCH($A571, 'EOD Data'!B:B,0)), "No TKR Match")</f>
        <v>No TKR Match</v>
      </c>
      <c r="L571" s="71" t="str">
        <f aca="false">IFERROR(ROUND($J571*$K571,0),"Error")</f>
        <v>Error</v>
      </c>
      <c r="M571" s="71" t="str">
        <f aca="false">IFERROR(IF(AND($J571&lt;10000,$L571&lt;200000),"Yes","No"),"Error")</f>
        <v>No</v>
      </c>
      <c r="P571" s="42" t="str">
        <f aca="false">IF($N571="SOLE",$J571,"")</f>
        <v/>
      </c>
      <c r="Q571" s="42" t="str">
        <f aca="false">IFERROR(IF($N571="Sole",0,IF(AND($N571="OTR",$R571=0),$J571-$P571,IF(AND($N571="OTR", $R571&gt;0), $J571-$P571-$Q571, ""))),"")</f>
        <v/>
      </c>
      <c r="R571" s="42" t="str">
        <f aca="false">IF($P571=$J571, "0","")</f>
        <v/>
      </c>
      <c r="S571" s="42" t="str">
        <f aca="false">IF(OR(ISBLANK($B571),ISBLANK($C571), ISBLANK($E571), ISBLANK($F571), AND(ISBLANK($G571),ISBLANK($H571)), ISBLANK($I571), ISBLANK($L571), AND(ISBLANK($N571), ISBLANK($O571)), AND(ISBLANK($P571), ISBLANK($Q571), ISBLANK($R571))), "No", "Yes")</f>
        <v>No</v>
      </c>
      <c r="T571" s="42" t="str">
        <f aca="false">SUBSTITUTE($U571," ","")</f>
        <v>82968B103</v>
      </c>
      <c r="U571" s="42" t="s">
        <v>732</v>
      </c>
      <c r="V571" s="39" t="n">
        <v>755948</v>
      </c>
    </row>
    <row r="572" customFormat="false" ht="15" hidden="false" customHeight="false" outlineLevel="0" collapsed="false">
      <c r="B572" s="70" t="s">
        <v>734</v>
      </c>
      <c r="C572" s="71" t="str">
        <f aca="false">IFERROR(INDEX('13F Data'!A:A,MATCH($B572,'13F Data'!A:A,0)),"No CUSIP Match")</f>
        <v>No CUSIP Match</v>
      </c>
      <c r="D572" s="71" t="str">
        <f aca="false">IFERROR(IF($B572=$C572,"Yes","No"),"No CUSIP Match")</f>
        <v>No</v>
      </c>
      <c r="E572" s="71"/>
      <c r="F572" s="71" t="str">
        <f aca="false">IFERROR(INDEX('13F Data'!C:C, MATCH($B572,'13F Data'!A:A,0)),"No CUSIP Match")</f>
        <v>No CUSIP Match</v>
      </c>
      <c r="G572" s="72" t="str">
        <f aca="false">IFERROR(INDEX('13F Data'!D:D,MATCH($B572,'13F Data'!A:A,0)),"No CUSIP Match")</f>
        <v>No CUSIP Match</v>
      </c>
      <c r="J572" s="73" t="n">
        <f aca="false">$V572</f>
        <v>5953</v>
      </c>
      <c r="K572" s="71" t="str">
        <f aca="false">IFERROR(INDEX('EOD Data'!G:G, MATCH($A572, 'EOD Data'!B:B,0)), "No TKR Match")</f>
        <v>No TKR Match</v>
      </c>
      <c r="L572" s="71" t="str">
        <f aca="false">IFERROR(ROUND($J572*$K572,0),"Error")</f>
        <v>Error</v>
      </c>
      <c r="M572" s="71" t="str">
        <f aca="false">IFERROR(IF(AND($J572&lt;10000,$L572&lt;200000),"Yes","No"),"Error")</f>
        <v>No</v>
      </c>
      <c r="P572" s="42" t="str">
        <f aca="false">IF($N572="SOLE",$J572,"")</f>
        <v/>
      </c>
      <c r="Q572" s="42" t="str">
        <f aca="false">IFERROR(IF($N572="Sole",0,IF(AND($N572="OTR",$R572=0),$J572-$P572,IF(AND($N572="OTR", $R572&gt;0), $J572-$P572-$Q572, ""))),"")</f>
        <v/>
      </c>
      <c r="R572" s="42" t="str">
        <f aca="false">IF($P572=$J572, "0","")</f>
        <v/>
      </c>
      <c r="S572" s="42" t="str">
        <f aca="false">IF(OR(ISBLANK($B572),ISBLANK($C572), ISBLANK($E572), ISBLANK($F572), AND(ISBLANK($G572),ISBLANK($H572)), ISBLANK($I572), ISBLANK($L572), AND(ISBLANK($N572), ISBLANK($O572)), AND(ISBLANK($P572), ISBLANK($Q572), ISBLANK($R572))), "No", "Yes")</f>
        <v>No</v>
      </c>
      <c r="T572" s="42" t="str">
        <f aca="false">SUBSTITUTE($U572," ","")</f>
        <v>78454L100</v>
      </c>
      <c r="U572" s="42" t="s">
        <v>734</v>
      </c>
      <c r="V572" s="39" t="n">
        <v>5953</v>
      </c>
    </row>
    <row r="573" customFormat="false" ht="15" hidden="false" customHeight="false" outlineLevel="0" collapsed="false">
      <c r="B573" s="70" t="s">
        <v>736</v>
      </c>
      <c r="C573" s="71" t="str">
        <f aca="false">IFERROR(INDEX('13F Data'!A:A,MATCH($B573,'13F Data'!A:A,0)),"No CUSIP Match")</f>
        <v>No CUSIP Match</v>
      </c>
      <c r="D573" s="71" t="str">
        <f aca="false">IFERROR(IF($B573=$C573,"Yes","No"),"No CUSIP Match")</f>
        <v>No</v>
      </c>
      <c r="E573" s="71"/>
      <c r="F573" s="71" t="str">
        <f aca="false">IFERROR(INDEX('13F Data'!C:C, MATCH($B573,'13F Data'!A:A,0)),"No CUSIP Match")</f>
        <v>No CUSIP Match</v>
      </c>
      <c r="G573" s="72" t="str">
        <f aca="false">IFERROR(INDEX('13F Data'!D:D,MATCH($B573,'13F Data'!A:A,0)),"No CUSIP Match")</f>
        <v>No CUSIP Match</v>
      </c>
      <c r="J573" s="73" t="n">
        <f aca="false">$V573</f>
        <v>18000000</v>
      </c>
      <c r="K573" s="71" t="str">
        <f aca="false">IFERROR(INDEX('EOD Data'!G:G, MATCH($A573, 'EOD Data'!B:B,0)), "No TKR Match")</f>
        <v>No TKR Match</v>
      </c>
      <c r="L573" s="71" t="str">
        <f aca="false">IFERROR(ROUND($J573*$K573,0),"Error")</f>
        <v>Error</v>
      </c>
      <c r="M573" s="71" t="str">
        <f aca="false">IFERROR(IF(AND($J573&lt;10000,$L573&lt;200000),"Yes","No"),"Error")</f>
        <v>No</v>
      </c>
      <c r="P573" s="42" t="str">
        <f aca="false">IF($N573="SOLE",$J573,"")</f>
        <v/>
      </c>
      <c r="Q573" s="42" t="str">
        <f aca="false">IFERROR(IF($N573="Sole",0,IF(AND($N573="OTR",$R573=0),$J573-$P573,IF(AND($N573="OTR", $R573&gt;0), $J573-$P573-$Q573, ""))),"")</f>
        <v/>
      </c>
      <c r="R573" s="42" t="str">
        <f aca="false">IF($P573=$J573, "0","")</f>
        <v/>
      </c>
      <c r="S573" s="42" t="str">
        <f aca="false">IF(OR(ISBLANK($B573),ISBLANK($C573), ISBLANK($E573), ISBLANK($F573), AND(ISBLANK($G573),ISBLANK($H573)), ISBLANK($I573), ISBLANK($L573), AND(ISBLANK($N573), ISBLANK($O573)), AND(ISBLANK($P573), ISBLANK($Q573), ISBLANK($R573))), "No", "Yes")</f>
        <v>No</v>
      </c>
      <c r="T573" s="42" t="str">
        <f aca="false">SUBSTITUTE($U573," ","")</f>
        <v>83304AAH9</v>
      </c>
      <c r="U573" s="42" t="s">
        <v>736</v>
      </c>
      <c r="V573" s="39" t="n">
        <v>18000000</v>
      </c>
    </row>
    <row r="574" customFormat="false" ht="15" hidden="false" customHeight="false" outlineLevel="0" collapsed="false">
      <c r="B574" s="70" t="s">
        <v>738</v>
      </c>
      <c r="C574" s="71" t="str">
        <f aca="false">IFERROR(INDEX('13F Data'!A:A,MATCH($B574,'13F Data'!A:A,0)),"No CUSIP Match")</f>
        <v>No CUSIP Match</v>
      </c>
      <c r="D574" s="71" t="str">
        <f aca="false">IFERROR(IF($B574=$C574,"Yes","No"),"No CUSIP Match")</f>
        <v>No</v>
      </c>
      <c r="E574" s="71"/>
      <c r="F574" s="71" t="str">
        <f aca="false">IFERROR(INDEX('13F Data'!C:C, MATCH($B574,'13F Data'!A:A,0)),"No CUSIP Match")</f>
        <v>No CUSIP Match</v>
      </c>
      <c r="G574" s="72" t="str">
        <f aca="false">IFERROR(INDEX('13F Data'!D:D,MATCH($B574,'13F Data'!A:A,0)),"No CUSIP Match")</f>
        <v>No CUSIP Match</v>
      </c>
      <c r="J574" s="73" t="n">
        <f aca="false">$V574</f>
        <v>7700</v>
      </c>
      <c r="K574" s="71" t="str">
        <f aca="false">IFERROR(INDEX('EOD Data'!G:G, MATCH($A574, 'EOD Data'!B:B,0)), "No TKR Match")</f>
        <v>No TKR Match</v>
      </c>
      <c r="L574" s="71" t="str">
        <f aca="false">IFERROR(ROUND($J574*$K574,0),"Error")</f>
        <v>Error</v>
      </c>
      <c r="M574" s="71" t="str">
        <f aca="false">IFERROR(IF(AND($J574&lt;10000,$L574&lt;200000),"Yes","No"),"Error")</f>
        <v>No</v>
      </c>
      <c r="P574" s="42" t="str">
        <f aca="false">IF($N574="SOLE",$J574,"")</f>
        <v/>
      </c>
      <c r="Q574" s="42" t="str">
        <f aca="false">IFERROR(IF($N574="Sole",0,IF(AND($N574="OTR",$R574=0),$J574-$P574,IF(AND($N574="OTR", $R574&gt;0), $J574-$P574-$Q574, ""))),"")</f>
        <v/>
      </c>
      <c r="R574" s="42" t="str">
        <f aca="false">IF($P574=$J574, "0","")</f>
        <v/>
      </c>
      <c r="S574" s="42" t="str">
        <f aca="false">IF(OR(ISBLANK($B574),ISBLANK($C574), ISBLANK($E574), ISBLANK($F574), AND(ISBLANK($G574),ISBLANK($H574)), ISBLANK($I574), ISBLANK($L574), AND(ISBLANK($N574), ISBLANK($O574)), AND(ISBLANK($P574), ISBLANK($Q574), ISBLANK($R574))), "No", "Yes")</f>
        <v>No</v>
      </c>
      <c r="T574" s="42" t="str">
        <f aca="false">SUBSTITUTE($U574," ","")</f>
        <v>833445109</v>
      </c>
      <c r="U574" s="42" t="s">
        <v>738</v>
      </c>
      <c r="V574" s="39" t="n">
        <v>7700</v>
      </c>
    </row>
    <row r="575" customFormat="false" ht="15" hidden="false" customHeight="false" outlineLevel="0" collapsed="false">
      <c r="B575" s="70" t="s">
        <v>738</v>
      </c>
      <c r="C575" s="71" t="str">
        <f aca="false">IFERROR(INDEX('13F Data'!A:A,MATCH($B575,'13F Data'!A:A,0)),"No CUSIP Match")</f>
        <v>No CUSIP Match</v>
      </c>
      <c r="D575" s="71" t="str">
        <f aca="false">IFERROR(IF($B575=$C575,"Yes","No"),"No CUSIP Match")</f>
        <v>No</v>
      </c>
      <c r="E575" s="71"/>
      <c r="F575" s="71" t="str">
        <f aca="false">IFERROR(INDEX('13F Data'!C:C, MATCH($B575,'13F Data'!A:A,0)),"No CUSIP Match")</f>
        <v>No CUSIP Match</v>
      </c>
      <c r="G575" s="72" t="str">
        <f aca="false">IFERROR(INDEX('13F Data'!D:D,MATCH($B575,'13F Data'!A:A,0)),"No CUSIP Match")</f>
        <v>No CUSIP Match</v>
      </c>
      <c r="J575" s="73" t="n">
        <f aca="false">$V575</f>
        <v>7700</v>
      </c>
      <c r="K575" s="71" t="str">
        <f aca="false">IFERROR(INDEX('EOD Data'!G:G, MATCH($A575, 'EOD Data'!B:B,0)), "No TKR Match")</f>
        <v>No TKR Match</v>
      </c>
      <c r="L575" s="71" t="str">
        <f aca="false">IFERROR(ROUND($J575*$K575,0),"Error")</f>
        <v>Error</v>
      </c>
      <c r="M575" s="71" t="str">
        <f aca="false">IFERROR(IF(AND($J575&lt;10000,$L575&lt;200000),"Yes","No"),"Error")</f>
        <v>No</v>
      </c>
      <c r="P575" s="42" t="str">
        <f aca="false">IF($N575="SOLE",$J575,"")</f>
        <v/>
      </c>
      <c r="Q575" s="42" t="str">
        <f aca="false">IFERROR(IF($N575="Sole",0,IF(AND($N575="OTR",$R575=0),$J575-$P575,IF(AND($N575="OTR", $R575&gt;0), $J575-$P575-$Q575, ""))),"")</f>
        <v/>
      </c>
      <c r="R575" s="42" t="str">
        <f aca="false">IF($P575=$J575, "0","")</f>
        <v/>
      </c>
      <c r="S575" s="42" t="str">
        <f aca="false">IF(OR(ISBLANK($B575),ISBLANK($C575), ISBLANK($E575), ISBLANK($F575), AND(ISBLANK($G575),ISBLANK($H575)), ISBLANK($I575), ISBLANK($L575), AND(ISBLANK($N575), ISBLANK($O575)), AND(ISBLANK($P575), ISBLANK($Q575), ISBLANK($R575))), "No", "Yes")</f>
        <v>No</v>
      </c>
      <c r="T575" s="42" t="str">
        <f aca="false">SUBSTITUTE($U575," ","")</f>
        <v>833445109</v>
      </c>
      <c r="U575" s="42" t="s">
        <v>738</v>
      </c>
      <c r="V575" s="39" t="n">
        <v>7700</v>
      </c>
    </row>
    <row r="576" customFormat="false" ht="15" hidden="false" customHeight="false" outlineLevel="0" collapsed="false">
      <c r="B576" s="70" t="s">
        <v>740</v>
      </c>
      <c r="C576" s="71" t="str">
        <f aca="false">IFERROR(INDEX('13F Data'!A:A,MATCH($B576,'13F Data'!A:A,0)),"No CUSIP Match")</f>
        <v>No CUSIP Match</v>
      </c>
      <c r="D576" s="71" t="str">
        <f aca="false">IFERROR(IF($B576=$C576,"Yes","No"),"No CUSIP Match")</f>
        <v>No</v>
      </c>
      <c r="E576" s="71"/>
      <c r="F576" s="71" t="str">
        <f aca="false">IFERROR(INDEX('13F Data'!C:C, MATCH($B576,'13F Data'!A:A,0)),"No CUSIP Match")</f>
        <v>No CUSIP Match</v>
      </c>
      <c r="G576" s="72" t="str">
        <f aca="false">IFERROR(INDEX('13F Data'!D:D,MATCH($B576,'13F Data'!A:A,0)),"No CUSIP Match")</f>
        <v>No CUSIP Match</v>
      </c>
      <c r="J576" s="73" t="n">
        <f aca="false">$V576</f>
        <v>11000000</v>
      </c>
      <c r="K576" s="71" t="str">
        <f aca="false">IFERROR(INDEX('EOD Data'!G:G, MATCH($A576, 'EOD Data'!B:B,0)), "No TKR Match")</f>
        <v>No TKR Match</v>
      </c>
      <c r="L576" s="71" t="str">
        <f aca="false">IFERROR(ROUND($J576*$K576,0),"Error")</f>
        <v>Error</v>
      </c>
      <c r="M576" s="71" t="str">
        <f aca="false">IFERROR(IF(AND($J576&lt;10000,$L576&lt;200000),"Yes","No"),"Error")</f>
        <v>No</v>
      </c>
      <c r="P576" s="42" t="str">
        <f aca="false">IF($N576="SOLE",$J576,"")</f>
        <v/>
      </c>
      <c r="Q576" s="42" t="str">
        <f aca="false">IFERROR(IF($N576="Sole",0,IF(AND($N576="OTR",$R576=0),$J576-$P576,IF(AND($N576="OTR", $R576&gt;0), $J576-$P576-$Q576, ""))),"")</f>
        <v/>
      </c>
      <c r="R576" s="42" t="str">
        <f aca="false">IF($P576=$J576, "0","")</f>
        <v/>
      </c>
      <c r="S576" s="42" t="str">
        <f aca="false">IF(OR(ISBLANK($B576),ISBLANK($C576), ISBLANK($E576), ISBLANK($F576), AND(ISBLANK($G576),ISBLANK($H576)), ISBLANK($I576), ISBLANK($L576), AND(ISBLANK($N576), ISBLANK($O576)), AND(ISBLANK($P576), ISBLANK($Q576), ISBLANK($R576))), "No", "Yes")</f>
        <v>No</v>
      </c>
      <c r="T576" s="42" t="str">
        <f aca="false">SUBSTITUTE($U576," ","")</f>
        <v>83417MAD6</v>
      </c>
      <c r="U576" s="42" t="s">
        <v>740</v>
      </c>
      <c r="V576" s="39" t="n">
        <v>11000000</v>
      </c>
    </row>
    <row r="577" customFormat="false" ht="15" hidden="false" customHeight="false" outlineLevel="0" collapsed="false">
      <c r="B577" s="70" t="s">
        <v>741</v>
      </c>
      <c r="C577" s="71" t="str">
        <f aca="false">IFERROR(INDEX('13F Data'!A:A,MATCH($B577,'13F Data'!A:A,0)),"No CUSIP Match")</f>
        <v>No CUSIP Match</v>
      </c>
      <c r="D577" s="71" t="str">
        <f aca="false">IFERROR(IF($B577=$C577,"Yes","No"),"No CUSIP Match")</f>
        <v>No</v>
      </c>
      <c r="E577" s="71"/>
      <c r="F577" s="71" t="str">
        <f aca="false">IFERROR(INDEX('13F Data'!C:C, MATCH($B577,'13F Data'!A:A,0)),"No CUSIP Match")</f>
        <v>No CUSIP Match</v>
      </c>
      <c r="G577" s="72" t="str">
        <f aca="false">IFERROR(INDEX('13F Data'!D:D,MATCH($B577,'13F Data'!A:A,0)),"No CUSIP Match")</f>
        <v>No CUSIP Match</v>
      </c>
      <c r="J577" s="73" t="n">
        <f aca="false">$V577</f>
        <v>57</v>
      </c>
      <c r="K577" s="71" t="str">
        <f aca="false">IFERROR(INDEX('EOD Data'!G:G, MATCH($A577, 'EOD Data'!B:B,0)), "No TKR Match")</f>
        <v>No TKR Match</v>
      </c>
      <c r="L577" s="71" t="str">
        <f aca="false">IFERROR(ROUND($J577*$K577,0),"Error")</f>
        <v>Error</v>
      </c>
      <c r="M577" s="71" t="str">
        <f aca="false">IFERROR(IF(AND($J577&lt;10000,$L577&lt;200000),"Yes","No"),"Error")</f>
        <v>No</v>
      </c>
      <c r="P577" s="42" t="str">
        <f aca="false">IF($N577="SOLE",$J577,"")</f>
        <v/>
      </c>
      <c r="Q577" s="42" t="str">
        <f aca="false">IFERROR(IF($N577="Sole",0,IF(AND($N577="OTR",$R577=0),$J577-$P577,IF(AND($N577="OTR", $R577&gt;0), $J577-$P577-$Q577, ""))),"")</f>
        <v/>
      </c>
      <c r="R577" s="42" t="str">
        <f aca="false">IF($P577=$J577, "0","")</f>
        <v/>
      </c>
      <c r="S577" s="42" t="str">
        <f aca="false">IF(OR(ISBLANK($B577),ISBLANK($C577), ISBLANK($E577), ISBLANK($F577), AND(ISBLANK($G577),ISBLANK($H577)), ISBLANK($I577), ISBLANK($L577), AND(ISBLANK($N577), ISBLANK($O577)), AND(ISBLANK($P577), ISBLANK($Q577), ISBLANK($R577))), "No", "Yes")</f>
        <v>No</v>
      </c>
      <c r="T577" s="42" t="str">
        <f aca="false">SUBSTITUTE($U577," ","")</f>
        <v>83417M104</v>
      </c>
      <c r="U577" s="42" t="s">
        <v>741</v>
      </c>
      <c r="V577" s="39" t="n">
        <v>57</v>
      </c>
    </row>
    <row r="578" customFormat="false" ht="15" hidden="false" customHeight="false" outlineLevel="0" collapsed="false">
      <c r="B578" s="70" t="s">
        <v>741</v>
      </c>
      <c r="C578" s="71" t="str">
        <f aca="false">IFERROR(INDEX('13F Data'!A:A,MATCH($B578,'13F Data'!A:A,0)),"No CUSIP Match")</f>
        <v>No CUSIP Match</v>
      </c>
      <c r="D578" s="71" t="str">
        <f aca="false">IFERROR(IF($B578=$C578,"Yes","No"),"No CUSIP Match")</f>
        <v>No</v>
      </c>
      <c r="E578" s="71"/>
      <c r="F578" s="71" t="str">
        <f aca="false">IFERROR(INDEX('13F Data'!C:C, MATCH($B578,'13F Data'!A:A,0)),"No CUSIP Match")</f>
        <v>No CUSIP Match</v>
      </c>
      <c r="G578" s="72" t="str">
        <f aca="false">IFERROR(INDEX('13F Data'!D:D,MATCH($B578,'13F Data'!A:A,0)),"No CUSIP Match")</f>
        <v>No CUSIP Match</v>
      </c>
      <c r="J578" s="73" t="n">
        <f aca="false">$V578</f>
        <v>5400</v>
      </c>
      <c r="K578" s="71" t="str">
        <f aca="false">IFERROR(INDEX('EOD Data'!G:G, MATCH($A578, 'EOD Data'!B:B,0)), "No TKR Match")</f>
        <v>No TKR Match</v>
      </c>
      <c r="L578" s="71" t="str">
        <f aca="false">IFERROR(ROUND($J578*$K578,0),"Error")</f>
        <v>Error</v>
      </c>
      <c r="M578" s="71" t="str">
        <f aca="false">IFERROR(IF(AND($J578&lt;10000,$L578&lt;200000),"Yes","No"),"Error")</f>
        <v>No</v>
      </c>
      <c r="P578" s="42" t="str">
        <f aca="false">IF($N578="SOLE",$J578,"")</f>
        <v/>
      </c>
      <c r="Q578" s="42" t="str">
        <f aca="false">IFERROR(IF($N578="Sole",0,IF(AND($N578="OTR",$R578=0),$J578-$P578,IF(AND($N578="OTR", $R578&gt;0), $J578-$P578-$Q578, ""))),"")</f>
        <v/>
      </c>
      <c r="R578" s="42" t="str">
        <f aca="false">IF($P578=$J578, "0","")</f>
        <v/>
      </c>
      <c r="S578" s="42" t="str">
        <f aca="false">IF(OR(ISBLANK($B578),ISBLANK($C578), ISBLANK($E578), ISBLANK($F578), AND(ISBLANK($G578),ISBLANK($H578)), ISBLANK($I578), ISBLANK($L578), AND(ISBLANK($N578), ISBLANK($O578)), AND(ISBLANK($P578), ISBLANK($Q578), ISBLANK($R578))), "No", "Yes")</f>
        <v>No</v>
      </c>
      <c r="T578" s="42" t="str">
        <f aca="false">SUBSTITUTE($U578," ","")</f>
        <v>83417M104</v>
      </c>
      <c r="U578" s="42" t="s">
        <v>741</v>
      </c>
      <c r="V578" s="39" t="n">
        <v>5400</v>
      </c>
    </row>
    <row r="579" customFormat="false" ht="15" hidden="false" customHeight="false" outlineLevel="0" collapsed="false">
      <c r="B579" s="70" t="s">
        <v>743</v>
      </c>
      <c r="C579" s="71" t="str">
        <f aca="false">IFERROR(INDEX('13F Data'!A:A,MATCH($B579,'13F Data'!A:A,0)),"No CUSIP Match")</f>
        <v>No CUSIP Match</v>
      </c>
      <c r="D579" s="71" t="str">
        <f aca="false">IFERROR(IF($B579=$C579,"Yes","No"),"No CUSIP Match")</f>
        <v>No</v>
      </c>
      <c r="E579" s="71"/>
      <c r="F579" s="71" t="str">
        <f aca="false">IFERROR(INDEX('13F Data'!C:C, MATCH($B579,'13F Data'!A:A,0)),"No CUSIP Match")</f>
        <v>No CUSIP Match</v>
      </c>
      <c r="G579" s="72" t="str">
        <f aca="false">IFERROR(INDEX('13F Data'!D:D,MATCH($B579,'13F Data'!A:A,0)),"No CUSIP Match")</f>
        <v>No CUSIP Match</v>
      </c>
      <c r="J579" s="73" t="n">
        <f aca="false">$V579</f>
        <v>20974</v>
      </c>
      <c r="K579" s="71" t="str">
        <f aca="false">IFERROR(INDEX('EOD Data'!G:G, MATCH($A579, 'EOD Data'!B:B,0)), "No TKR Match")</f>
        <v>No TKR Match</v>
      </c>
      <c r="L579" s="71" t="str">
        <f aca="false">IFERROR(ROUND($J579*$K579,0),"Error")</f>
        <v>Error</v>
      </c>
      <c r="M579" s="71" t="str">
        <f aca="false">IFERROR(IF(AND($J579&lt;10000,$L579&lt;200000),"Yes","No"),"Error")</f>
        <v>No</v>
      </c>
      <c r="P579" s="42" t="str">
        <f aca="false">IF($N579="SOLE",$J579,"")</f>
        <v/>
      </c>
      <c r="Q579" s="42" t="str">
        <f aca="false">IFERROR(IF($N579="Sole",0,IF(AND($N579="OTR",$R579=0),$J579-$P579,IF(AND($N579="OTR", $R579&gt;0), $J579-$P579-$Q579, ""))),"")</f>
        <v/>
      </c>
      <c r="R579" s="42" t="str">
        <f aca="false">IF($P579=$J579, "0","")</f>
        <v/>
      </c>
      <c r="S579" s="42" t="str">
        <f aca="false">IF(OR(ISBLANK($B579),ISBLANK($C579), ISBLANK($E579), ISBLANK($F579), AND(ISBLANK($G579),ISBLANK($H579)), ISBLANK($I579), ISBLANK($L579), AND(ISBLANK($N579), ISBLANK($O579)), AND(ISBLANK($P579), ISBLANK($Q579), ISBLANK($R579))), "No", "Yes")</f>
        <v>No</v>
      </c>
      <c r="T579" s="42" t="str">
        <f aca="false">SUBSTITUTE($U579," ","")</f>
        <v>844741108</v>
      </c>
      <c r="U579" s="42" t="s">
        <v>743</v>
      </c>
      <c r="V579" s="39" t="n">
        <v>20974</v>
      </c>
    </row>
    <row r="580" customFormat="false" ht="15" hidden="false" customHeight="false" outlineLevel="0" collapsed="false">
      <c r="B580" s="70" t="s">
        <v>745</v>
      </c>
      <c r="C580" s="71" t="str">
        <f aca="false">IFERROR(INDEX('13F Data'!A:A,MATCH($B580,'13F Data'!A:A,0)),"No CUSIP Match")</f>
        <v>No CUSIP Match</v>
      </c>
      <c r="D580" s="71" t="str">
        <f aca="false">IFERROR(IF($B580=$C580,"Yes","No"),"No CUSIP Match")</f>
        <v>No</v>
      </c>
      <c r="E580" s="71"/>
      <c r="F580" s="71" t="str">
        <f aca="false">IFERROR(INDEX('13F Data'!C:C, MATCH($B580,'13F Data'!A:A,0)),"No CUSIP Match")</f>
        <v>No CUSIP Match</v>
      </c>
      <c r="G580" s="72" t="str">
        <f aca="false">IFERROR(INDEX('13F Data'!D:D,MATCH($B580,'13F Data'!A:A,0)),"No CUSIP Match")</f>
        <v>No CUSIP Match</v>
      </c>
      <c r="J580" s="73" t="n">
        <f aca="false">$V580</f>
        <v>126072</v>
      </c>
      <c r="K580" s="71" t="str">
        <f aca="false">IFERROR(INDEX('EOD Data'!G:G, MATCH($A580, 'EOD Data'!B:B,0)), "No TKR Match")</f>
        <v>No TKR Match</v>
      </c>
      <c r="L580" s="71" t="str">
        <f aca="false">IFERROR(ROUND($J580*$K580,0),"Error")</f>
        <v>Error</v>
      </c>
      <c r="M580" s="71" t="str">
        <f aca="false">IFERROR(IF(AND($J580&lt;10000,$L580&lt;200000),"Yes","No"),"Error")</f>
        <v>No</v>
      </c>
      <c r="P580" s="42" t="str">
        <f aca="false">IF($N580="SOLE",$J580,"")</f>
        <v/>
      </c>
      <c r="Q580" s="42" t="str">
        <f aca="false">IFERROR(IF($N580="Sole",0,IF(AND($N580="OTR",$R580=0),$J580-$P580,IF(AND($N580="OTR", $R580&gt;0), $J580-$P580-$Q580, ""))),"")</f>
        <v/>
      </c>
      <c r="R580" s="42" t="str">
        <f aca="false">IF($P580=$J580, "0","")</f>
        <v/>
      </c>
      <c r="S580" s="42" t="str">
        <f aca="false">IF(OR(ISBLANK($B580),ISBLANK($C580), ISBLANK($E580), ISBLANK($F580), AND(ISBLANK($G580),ISBLANK($H580)), ISBLANK($I580), ISBLANK($L580), AND(ISBLANK($N580), ISBLANK($O580)), AND(ISBLANK($P580), ISBLANK($Q580), ISBLANK($R580))), "No", "Yes")</f>
        <v>No</v>
      </c>
      <c r="T580" s="42" t="str">
        <f aca="false">SUBSTITUTE($U580," ","")</f>
        <v>845467109</v>
      </c>
      <c r="U580" s="42" t="s">
        <v>745</v>
      </c>
      <c r="V580" s="39" t="n">
        <v>126072</v>
      </c>
    </row>
    <row r="581" customFormat="false" ht="15" hidden="false" customHeight="false" outlineLevel="0" collapsed="false">
      <c r="B581" s="70" t="s">
        <v>747</v>
      </c>
      <c r="C581" s="71" t="str">
        <f aca="false">IFERROR(INDEX('13F Data'!A:A,MATCH($B581,'13F Data'!A:A,0)),"No CUSIP Match")</f>
        <v>No CUSIP Match</v>
      </c>
      <c r="D581" s="71" t="str">
        <f aca="false">IFERROR(IF($B581=$C581,"Yes","No"),"No CUSIP Match")</f>
        <v>No</v>
      </c>
      <c r="E581" s="71"/>
      <c r="F581" s="71" t="str">
        <f aca="false">IFERROR(INDEX('13F Data'!C:C, MATCH($B581,'13F Data'!A:A,0)),"No CUSIP Match")</f>
        <v>No CUSIP Match</v>
      </c>
      <c r="G581" s="72" t="str">
        <f aca="false">IFERROR(INDEX('13F Data'!D:D,MATCH($B581,'13F Data'!A:A,0)),"No CUSIP Match")</f>
        <v>No CUSIP Match</v>
      </c>
      <c r="J581" s="73" t="n">
        <f aca="false">$V581</f>
        <v>81750</v>
      </c>
      <c r="K581" s="71" t="str">
        <f aca="false">IFERROR(INDEX('EOD Data'!G:G, MATCH($A581, 'EOD Data'!B:B,0)), "No TKR Match")</f>
        <v>No TKR Match</v>
      </c>
      <c r="L581" s="71" t="str">
        <f aca="false">IFERROR(ROUND($J581*$K581,0),"Error")</f>
        <v>Error</v>
      </c>
      <c r="M581" s="71" t="str">
        <f aca="false">IFERROR(IF(AND($J581&lt;10000,$L581&lt;200000),"Yes","No"),"Error")</f>
        <v>No</v>
      </c>
      <c r="P581" s="42" t="str">
        <f aca="false">IF($N581="SOLE",$J581,"")</f>
        <v/>
      </c>
      <c r="Q581" s="42" t="str">
        <f aca="false">IFERROR(IF($N581="Sole",0,IF(AND($N581="OTR",$R581=0),$J581-$P581,IF(AND($N581="OTR", $R581&gt;0), $J581-$P581-$Q581, ""))),"")</f>
        <v/>
      </c>
      <c r="R581" s="42" t="str">
        <f aca="false">IF($P581=$J581, "0","")</f>
        <v/>
      </c>
      <c r="S581" s="42" t="str">
        <f aca="false">IF(OR(ISBLANK($B581),ISBLANK($C581), ISBLANK($E581), ISBLANK($F581), AND(ISBLANK($G581),ISBLANK($H581)), ISBLANK($I581), ISBLANK($L581), AND(ISBLANK($N581), ISBLANK($O581)), AND(ISBLANK($P581), ISBLANK($Q581), ISBLANK($R581))), "No", "Yes")</f>
        <v>No</v>
      </c>
      <c r="T581" s="42" t="str">
        <f aca="false">SUBSTITUTE($U581," ","")</f>
        <v>78462F103</v>
      </c>
      <c r="U581" s="42" t="s">
        <v>747</v>
      </c>
      <c r="V581" s="39" t="n">
        <v>81750</v>
      </c>
    </row>
    <row r="582" customFormat="false" ht="15" hidden="false" customHeight="false" outlineLevel="0" collapsed="false">
      <c r="B582" s="70" t="s">
        <v>747</v>
      </c>
      <c r="C582" s="71" t="str">
        <f aca="false">IFERROR(INDEX('13F Data'!A:A,MATCH($B582,'13F Data'!A:A,0)),"No CUSIP Match")</f>
        <v>No CUSIP Match</v>
      </c>
      <c r="D582" s="71" t="str">
        <f aca="false">IFERROR(IF($B582=$C582,"Yes","No"),"No CUSIP Match")</f>
        <v>No</v>
      </c>
      <c r="E582" s="71"/>
      <c r="F582" s="71" t="str">
        <f aca="false">IFERROR(INDEX('13F Data'!C:C, MATCH($B582,'13F Data'!A:A,0)),"No CUSIP Match")</f>
        <v>No CUSIP Match</v>
      </c>
      <c r="G582" s="72" t="str">
        <f aca="false">IFERROR(INDEX('13F Data'!D:D,MATCH($B582,'13F Data'!A:A,0)),"No CUSIP Match")</f>
        <v>No CUSIP Match</v>
      </c>
      <c r="J582" s="73" t="n">
        <f aca="false">$V582</f>
        <v>4000</v>
      </c>
      <c r="K582" s="71" t="str">
        <f aca="false">IFERROR(INDEX('EOD Data'!G:G, MATCH($A582, 'EOD Data'!B:B,0)), "No TKR Match")</f>
        <v>No TKR Match</v>
      </c>
      <c r="L582" s="71" t="str">
        <f aca="false">IFERROR(ROUND($J582*$K582,0),"Error")</f>
        <v>Error</v>
      </c>
      <c r="M582" s="71" t="str">
        <f aca="false">IFERROR(IF(AND($J582&lt;10000,$L582&lt;200000),"Yes","No"),"Error")</f>
        <v>No</v>
      </c>
      <c r="P582" s="42" t="str">
        <f aca="false">IF($N582="SOLE",$J582,"")</f>
        <v/>
      </c>
      <c r="Q582" s="42" t="str">
        <f aca="false">IFERROR(IF($N582="Sole",0,IF(AND($N582="OTR",$R582=0),$J582-$P582,IF(AND($N582="OTR", $R582&gt;0), $J582-$P582-$Q582, ""))),"")</f>
        <v/>
      </c>
      <c r="R582" s="42" t="str">
        <f aca="false">IF($P582=$J582, "0","")</f>
        <v/>
      </c>
      <c r="S582" s="42" t="str">
        <f aca="false">IF(OR(ISBLANK($B582),ISBLANK($C582), ISBLANK($E582), ISBLANK($F582), AND(ISBLANK($G582),ISBLANK($H582)), ISBLANK($I582), ISBLANK($L582), AND(ISBLANK($N582), ISBLANK($O582)), AND(ISBLANK($P582), ISBLANK($Q582), ISBLANK($R582))), "No", "Yes")</f>
        <v>No</v>
      </c>
      <c r="T582" s="42" t="str">
        <f aca="false">SUBSTITUTE($U582," ","")</f>
        <v>78462F103</v>
      </c>
      <c r="U582" s="42" t="s">
        <v>747</v>
      </c>
      <c r="V582" s="39" t="n">
        <v>4000</v>
      </c>
    </row>
    <row r="583" customFormat="false" ht="15" hidden="false" customHeight="false" outlineLevel="0" collapsed="false">
      <c r="B583" s="70" t="s">
        <v>749</v>
      </c>
      <c r="C583" s="71" t="str">
        <f aca="false">IFERROR(INDEX('13F Data'!A:A,MATCH($B583,'13F Data'!A:A,0)),"No CUSIP Match")</f>
        <v>No CUSIP Match</v>
      </c>
      <c r="D583" s="71" t="str">
        <f aca="false">IFERROR(IF($B583=$C583,"Yes","No"),"No CUSIP Match")</f>
        <v>No</v>
      </c>
      <c r="E583" s="71"/>
      <c r="F583" s="71" t="str">
        <f aca="false">IFERROR(INDEX('13F Data'!C:C, MATCH($B583,'13F Data'!A:A,0)),"No CUSIP Match")</f>
        <v>No CUSIP Match</v>
      </c>
      <c r="G583" s="72" t="str">
        <f aca="false">IFERROR(INDEX('13F Data'!D:D,MATCH($B583,'13F Data'!A:A,0)),"No CUSIP Match")</f>
        <v>No CUSIP Match</v>
      </c>
      <c r="J583" s="73" t="n">
        <f aca="false">$V583</f>
        <v>20000000</v>
      </c>
      <c r="K583" s="71" t="str">
        <f aca="false">IFERROR(INDEX('EOD Data'!G:G, MATCH($A583, 'EOD Data'!B:B,0)), "No TKR Match")</f>
        <v>No TKR Match</v>
      </c>
      <c r="L583" s="71" t="str">
        <f aca="false">IFERROR(ROUND($J583*$K583,0),"Error")</f>
        <v>Error</v>
      </c>
      <c r="M583" s="71" t="str">
        <f aca="false">IFERROR(IF(AND($J583&lt;10000,$L583&lt;200000),"Yes","No"),"Error")</f>
        <v>No</v>
      </c>
      <c r="P583" s="42" t="str">
        <f aca="false">IF($N583="SOLE",$J583,"")</f>
        <v/>
      </c>
      <c r="Q583" s="42" t="str">
        <f aca="false">IFERROR(IF($N583="Sole",0,IF(AND($N583="OTR",$R583=0),$J583-$P583,IF(AND($N583="OTR", $R583&gt;0), $J583-$P583-$Q583, ""))),"")</f>
        <v/>
      </c>
      <c r="R583" s="42" t="str">
        <f aca="false">IF($P583=$J583, "0","")</f>
        <v/>
      </c>
      <c r="S583" s="42" t="str">
        <f aca="false">IF(OR(ISBLANK($B583),ISBLANK($C583), ISBLANK($E583), ISBLANK($F583), AND(ISBLANK($G583),ISBLANK($H583)), ISBLANK($I583), ISBLANK($L583), AND(ISBLANK($N583), ISBLANK($O583)), AND(ISBLANK($P583), ISBLANK($Q583), ISBLANK($R583))), "No", "Yes")</f>
        <v>No</v>
      </c>
      <c r="T583" s="42" t="str">
        <f aca="false">SUBSTITUTE($U583," ","")</f>
        <v>55826TAA0</v>
      </c>
      <c r="U583" s="42" t="s">
        <v>749</v>
      </c>
      <c r="V583" s="39" t="n">
        <v>20000000</v>
      </c>
    </row>
    <row r="584" customFormat="false" ht="15" hidden="false" customHeight="false" outlineLevel="0" collapsed="false">
      <c r="B584" s="70" t="s">
        <v>751</v>
      </c>
      <c r="C584" s="71" t="str">
        <f aca="false">IFERROR(INDEX('13F Data'!A:A,MATCH($B584,'13F Data'!A:A,0)),"No CUSIP Match")</f>
        <v>No CUSIP Match</v>
      </c>
      <c r="D584" s="71" t="str">
        <f aca="false">IFERROR(IF($B584=$C584,"Yes","No"),"No CUSIP Match")</f>
        <v>No</v>
      </c>
      <c r="E584" s="71"/>
      <c r="F584" s="71" t="str">
        <f aca="false">IFERROR(INDEX('13F Data'!C:C, MATCH($B584,'13F Data'!A:A,0)),"No CUSIP Match")</f>
        <v>No CUSIP Match</v>
      </c>
      <c r="G584" s="72" t="str">
        <f aca="false">IFERROR(INDEX('13F Data'!D:D,MATCH($B584,'13F Data'!A:A,0)),"No CUSIP Match")</f>
        <v>No CUSIP Match</v>
      </c>
      <c r="J584" s="73" t="n">
        <f aca="false">$V584</f>
        <v>34409</v>
      </c>
      <c r="K584" s="71" t="str">
        <f aca="false">IFERROR(INDEX('EOD Data'!G:G, MATCH($A584, 'EOD Data'!B:B,0)), "No TKR Match")</f>
        <v>No TKR Match</v>
      </c>
      <c r="L584" s="71" t="str">
        <f aca="false">IFERROR(ROUND($J584*$K584,0),"Error")</f>
        <v>Error</v>
      </c>
      <c r="M584" s="71" t="str">
        <f aca="false">IFERROR(IF(AND($J584&lt;10000,$L584&lt;200000),"Yes","No"),"Error")</f>
        <v>No</v>
      </c>
      <c r="P584" s="42" t="str">
        <f aca="false">IF($N584="SOLE",$J584,"")</f>
        <v/>
      </c>
      <c r="Q584" s="42" t="str">
        <f aca="false">IFERROR(IF($N584="Sole",0,IF(AND($N584="OTR",$R584=0),$J584-$P584,IF(AND($N584="OTR", $R584&gt;0), $J584-$P584-$Q584, ""))),"")</f>
        <v/>
      </c>
      <c r="R584" s="42" t="str">
        <f aca="false">IF($P584=$J584, "0","")</f>
        <v/>
      </c>
      <c r="S584" s="42" t="str">
        <f aca="false">IF(OR(ISBLANK($B584),ISBLANK($C584), ISBLANK($E584), ISBLANK($F584), AND(ISBLANK($G584),ISBLANK($H584)), ISBLANK($I584), ISBLANK($L584), AND(ISBLANK($N584), ISBLANK($O584)), AND(ISBLANK($P584), ISBLANK($Q584), ISBLANK($R584))), "No", "Yes")</f>
        <v>No</v>
      </c>
      <c r="T584" s="42" t="str">
        <f aca="false">SUBSTITUTE($U584," ","")</f>
        <v>848574109</v>
      </c>
      <c r="U584" s="42" t="s">
        <v>751</v>
      </c>
      <c r="V584" s="39" t="n">
        <v>34409</v>
      </c>
    </row>
    <row r="585" customFormat="false" ht="15" hidden="false" customHeight="false" outlineLevel="0" collapsed="false">
      <c r="B585" s="70" t="s">
        <v>753</v>
      </c>
      <c r="C585" s="71" t="str">
        <f aca="false">IFERROR(INDEX('13F Data'!A:A,MATCH($B585,'13F Data'!A:A,0)),"No CUSIP Match")</f>
        <v>No CUSIP Match</v>
      </c>
      <c r="D585" s="71" t="str">
        <f aca="false">IFERROR(IF($B585=$C585,"Yes","No"),"No CUSIP Match")</f>
        <v>No</v>
      </c>
      <c r="E585" s="71"/>
      <c r="F585" s="71" t="str">
        <f aca="false">IFERROR(INDEX('13F Data'!C:C, MATCH($B585,'13F Data'!A:A,0)),"No CUSIP Match")</f>
        <v>No CUSIP Match</v>
      </c>
      <c r="G585" s="72" t="str">
        <f aca="false">IFERROR(INDEX('13F Data'!D:D,MATCH($B585,'13F Data'!A:A,0)),"No CUSIP Match")</f>
        <v>No CUSIP Match</v>
      </c>
      <c r="J585" s="73" t="n">
        <f aca="false">$V585</f>
        <v>187420</v>
      </c>
      <c r="K585" s="71" t="str">
        <f aca="false">IFERROR(INDEX('EOD Data'!G:G, MATCH($A585, 'EOD Data'!B:B,0)), "No TKR Match")</f>
        <v>No TKR Match</v>
      </c>
      <c r="L585" s="71" t="str">
        <f aca="false">IFERROR(ROUND($J585*$K585,0),"Error")</f>
        <v>Error</v>
      </c>
      <c r="M585" s="71" t="str">
        <f aca="false">IFERROR(IF(AND($J585&lt;10000,$L585&lt;200000),"Yes","No"),"Error")</f>
        <v>No</v>
      </c>
      <c r="P585" s="42" t="str">
        <f aca="false">IF($N585="SOLE",$J585,"")</f>
        <v/>
      </c>
      <c r="Q585" s="42" t="str">
        <f aca="false">IFERROR(IF($N585="Sole",0,IF(AND($N585="OTR",$R585=0),$J585-$P585,IF(AND($N585="OTR", $R585&gt;0), $J585-$P585-$Q585, ""))),"")</f>
        <v/>
      </c>
      <c r="R585" s="42" t="str">
        <f aca="false">IF($P585=$J585, "0","")</f>
        <v/>
      </c>
      <c r="S585" s="42" t="str">
        <f aca="false">IF(OR(ISBLANK($B585),ISBLANK($C585), ISBLANK($E585), ISBLANK($F585), AND(ISBLANK($G585),ISBLANK($H585)), ISBLANK($I585), ISBLANK($L585), AND(ISBLANK($N585), ISBLANK($O585)), AND(ISBLANK($P585), ISBLANK($Q585), ISBLANK($R585))), "No", "Yes")</f>
        <v>No</v>
      </c>
      <c r="T585" s="42" t="str">
        <f aca="false">SUBSTITUTE($U585," ","")</f>
        <v>848577102</v>
      </c>
      <c r="U585" s="42" t="s">
        <v>753</v>
      </c>
      <c r="V585" s="39" t="n">
        <v>187420</v>
      </c>
    </row>
    <row r="586" customFormat="false" ht="15" hidden="false" customHeight="false" outlineLevel="0" collapsed="false">
      <c r="B586" s="70" t="s">
        <v>755</v>
      </c>
      <c r="C586" s="71" t="str">
        <f aca="false">IFERROR(INDEX('13F Data'!A:A,MATCH($B586,'13F Data'!A:A,0)),"No CUSIP Match")</f>
        <v>No CUSIP Match</v>
      </c>
      <c r="D586" s="71" t="str">
        <f aca="false">IFERROR(IF($B586=$C586,"Yes","No"),"No CUSIP Match")</f>
        <v>No</v>
      </c>
      <c r="E586" s="71"/>
      <c r="F586" s="71" t="str">
        <f aca="false">IFERROR(INDEX('13F Data'!C:C, MATCH($B586,'13F Data'!A:A,0)),"No CUSIP Match")</f>
        <v>No CUSIP Match</v>
      </c>
      <c r="G586" s="72" t="str">
        <f aca="false">IFERROR(INDEX('13F Data'!D:D,MATCH($B586,'13F Data'!A:A,0)),"No CUSIP Match")</f>
        <v>No CUSIP Match</v>
      </c>
      <c r="J586" s="73" t="n">
        <f aca="false">$V586</f>
        <v>52556</v>
      </c>
      <c r="K586" s="71" t="str">
        <f aca="false">IFERROR(INDEX('EOD Data'!G:G, MATCH($A586, 'EOD Data'!B:B,0)), "No TKR Match")</f>
        <v>No TKR Match</v>
      </c>
      <c r="L586" s="71" t="str">
        <f aca="false">IFERROR(ROUND($J586*$K586,0),"Error")</f>
        <v>Error</v>
      </c>
      <c r="M586" s="71" t="str">
        <f aca="false">IFERROR(IF(AND($J586&lt;10000,$L586&lt;200000),"Yes","No"),"Error")</f>
        <v>No</v>
      </c>
      <c r="P586" s="42" t="str">
        <f aca="false">IF($N586="SOLE",$J586,"")</f>
        <v/>
      </c>
      <c r="Q586" s="42" t="str">
        <f aca="false">IFERROR(IF($N586="Sole",0,IF(AND($N586="OTR",$R586=0),$J586-$P586,IF(AND($N586="OTR", $R586&gt;0), $J586-$P586-$Q586, ""))),"")</f>
        <v/>
      </c>
      <c r="R586" s="42" t="str">
        <f aca="false">IF($P586=$J586, "0","")</f>
        <v/>
      </c>
      <c r="S586" s="42" t="str">
        <f aca="false">IF(OR(ISBLANK($B586),ISBLANK($C586), ISBLANK($E586), ISBLANK($F586), AND(ISBLANK($G586),ISBLANK($H586)), ISBLANK($I586), ISBLANK($L586), AND(ISBLANK($N586), ISBLANK($O586)), AND(ISBLANK($P586), ISBLANK($Q586), ISBLANK($R586))), "No", "Yes")</f>
        <v>No</v>
      </c>
      <c r="T586" s="42" t="str">
        <f aca="false">SUBSTITUTE($U586," ","")</f>
        <v>848637104</v>
      </c>
      <c r="U586" s="42" t="s">
        <v>755</v>
      </c>
      <c r="V586" s="39" t="n">
        <v>52556</v>
      </c>
    </row>
    <row r="587" customFormat="false" ht="15" hidden="false" customHeight="false" outlineLevel="0" collapsed="false">
      <c r="B587" s="70" t="s">
        <v>757</v>
      </c>
      <c r="C587" s="71" t="str">
        <f aca="false">IFERROR(INDEX('13F Data'!A:A,MATCH($B587,'13F Data'!A:A,0)),"No CUSIP Match")</f>
        <v>No CUSIP Match</v>
      </c>
      <c r="D587" s="71" t="str">
        <f aca="false">IFERROR(IF($B587=$C587,"Yes","No"),"No CUSIP Match")</f>
        <v>No</v>
      </c>
      <c r="E587" s="71"/>
      <c r="F587" s="71" t="str">
        <f aca="false">IFERROR(INDEX('13F Data'!C:C, MATCH($B587,'13F Data'!A:A,0)),"No CUSIP Match")</f>
        <v>No CUSIP Match</v>
      </c>
      <c r="G587" s="72" t="str">
        <f aca="false">IFERROR(INDEX('13F Data'!D:D,MATCH($B587,'13F Data'!A:A,0)),"No CUSIP Match")</f>
        <v>No CUSIP Match</v>
      </c>
      <c r="J587" s="73" t="n">
        <f aca="false">$V587</f>
        <v>8000000</v>
      </c>
      <c r="K587" s="71" t="str">
        <f aca="false">IFERROR(INDEX('EOD Data'!G:G, MATCH($A587, 'EOD Data'!B:B,0)), "No TKR Match")</f>
        <v>No TKR Match</v>
      </c>
      <c r="L587" s="71" t="str">
        <f aca="false">IFERROR(ROUND($J587*$K587,0),"Error")</f>
        <v>Error</v>
      </c>
      <c r="M587" s="71" t="str">
        <f aca="false">IFERROR(IF(AND($J587&lt;10000,$L587&lt;200000),"Yes","No"),"Error")</f>
        <v>No</v>
      </c>
      <c r="P587" s="42" t="str">
        <f aca="false">IF($N587="SOLE",$J587,"")</f>
        <v/>
      </c>
      <c r="Q587" s="42" t="str">
        <f aca="false">IFERROR(IF($N587="Sole",0,IF(AND($N587="OTR",$R587=0),$J587-$P587,IF(AND($N587="OTR", $R587&gt;0), $J587-$P587-$Q587, ""))),"")</f>
        <v/>
      </c>
      <c r="R587" s="42" t="str">
        <f aca="false">IF($P587=$J587, "0","")</f>
        <v/>
      </c>
      <c r="S587" s="42" t="str">
        <f aca="false">IF(OR(ISBLANK($B587),ISBLANK($C587), ISBLANK($E587), ISBLANK($F587), AND(ISBLANK($G587),ISBLANK($H587)), ISBLANK($I587), ISBLANK($L587), AND(ISBLANK($N587), ISBLANK($O587)), AND(ISBLANK($P587), ISBLANK($Q587), ISBLANK($R587))), "No", "Yes")</f>
        <v>No</v>
      </c>
      <c r="T587" s="42" t="str">
        <f aca="false">SUBSTITUTE($U587," ","")</f>
        <v>84921RAB6</v>
      </c>
      <c r="U587" s="42" t="s">
        <v>757</v>
      </c>
      <c r="V587" s="39" t="n">
        <v>8000000</v>
      </c>
    </row>
    <row r="588" customFormat="false" ht="15" hidden="false" customHeight="false" outlineLevel="0" collapsed="false">
      <c r="B588" s="70" t="s">
        <v>759</v>
      </c>
      <c r="C588" s="71" t="str">
        <f aca="false">IFERROR(INDEX('13F Data'!A:A,MATCH($B588,'13F Data'!A:A,0)),"No CUSIP Match")</f>
        <v>No CUSIP Match</v>
      </c>
      <c r="D588" s="71" t="str">
        <f aca="false">IFERROR(IF($B588=$C588,"Yes","No"),"No CUSIP Match")</f>
        <v>No</v>
      </c>
      <c r="E588" s="71"/>
      <c r="F588" s="71" t="str">
        <f aca="false">IFERROR(INDEX('13F Data'!C:C, MATCH($B588,'13F Data'!A:A,0)),"No CUSIP Match")</f>
        <v>No CUSIP Match</v>
      </c>
      <c r="G588" s="72" t="str">
        <f aca="false">IFERROR(INDEX('13F Data'!D:D,MATCH($B588,'13F Data'!A:A,0)),"No CUSIP Match")</f>
        <v>No CUSIP Match</v>
      </c>
      <c r="J588" s="73" t="n">
        <f aca="false">$V588</f>
        <v>2354</v>
      </c>
      <c r="K588" s="71" t="str">
        <f aca="false">IFERROR(INDEX('EOD Data'!G:G, MATCH($A588, 'EOD Data'!B:B,0)), "No TKR Match")</f>
        <v>No TKR Match</v>
      </c>
      <c r="L588" s="71" t="str">
        <f aca="false">IFERROR(ROUND($J588*$K588,0),"Error")</f>
        <v>Error</v>
      </c>
      <c r="M588" s="71" t="str">
        <f aca="false">IFERROR(IF(AND($J588&lt;10000,$L588&lt;200000),"Yes","No"),"Error")</f>
        <v>No</v>
      </c>
      <c r="P588" s="42" t="str">
        <f aca="false">IF($N588="SOLE",$J588,"")</f>
        <v/>
      </c>
      <c r="Q588" s="42" t="str">
        <f aca="false">IFERROR(IF($N588="Sole",0,IF(AND($N588="OTR",$R588=0),$J588-$P588,IF(AND($N588="OTR", $R588&gt;0), $J588-$P588-$Q588, ""))),"")</f>
        <v/>
      </c>
      <c r="R588" s="42" t="str">
        <f aca="false">IF($P588=$J588, "0","")</f>
        <v/>
      </c>
      <c r="S588" s="42" t="str">
        <f aca="false">IF(OR(ISBLANK($B588),ISBLANK($C588), ISBLANK($E588), ISBLANK($F588), AND(ISBLANK($G588),ISBLANK($H588)), ISBLANK($I588), ISBLANK($L588), AND(ISBLANK($N588), ISBLANK($O588)), AND(ISBLANK($P588), ISBLANK($Q588), ISBLANK($R588))), "No", "Yes")</f>
        <v>No</v>
      </c>
      <c r="T588" s="42" t="str">
        <f aca="false">SUBSTITUTE($U588," ","")</f>
        <v>855244109</v>
      </c>
      <c r="U588" s="42" t="s">
        <v>759</v>
      </c>
      <c r="V588" s="39" t="n">
        <v>2354</v>
      </c>
    </row>
    <row r="589" customFormat="false" ht="15" hidden="false" customHeight="false" outlineLevel="0" collapsed="false">
      <c r="B589" s="70" t="s">
        <v>759</v>
      </c>
      <c r="C589" s="71" t="str">
        <f aca="false">IFERROR(INDEX('13F Data'!A:A,MATCH($B589,'13F Data'!A:A,0)),"No CUSIP Match")</f>
        <v>No CUSIP Match</v>
      </c>
      <c r="D589" s="71" t="str">
        <f aca="false">IFERROR(IF($B589=$C589,"Yes","No"),"No CUSIP Match")</f>
        <v>No</v>
      </c>
      <c r="E589" s="71"/>
      <c r="F589" s="71" t="str">
        <f aca="false">IFERROR(INDEX('13F Data'!C:C, MATCH($B589,'13F Data'!A:A,0)),"No CUSIP Match")</f>
        <v>No CUSIP Match</v>
      </c>
      <c r="G589" s="72" t="str">
        <f aca="false">IFERROR(INDEX('13F Data'!D:D,MATCH($B589,'13F Data'!A:A,0)),"No CUSIP Match")</f>
        <v>No CUSIP Match</v>
      </c>
      <c r="J589" s="73" t="n">
        <f aca="false">$V589</f>
        <v>10100</v>
      </c>
      <c r="K589" s="71" t="str">
        <f aca="false">IFERROR(INDEX('EOD Data'!G:G, MATCH($A589, 'EOD Data'!B:B,0)), "No TKR Match")</f>
        <v>No TKR Match</v>
      </c>
      <c r="L589" s="71" t="str">
        <f aca="false">IFERROR(ROUND($J589*$K589,0),"Error")</f>
        <v>Error</v>
      </c>
      <c r="M589" s="71" t="str">
        <f aca="false">IFERROR(IF(AND($J589&lt;10000,$L589&lt;200000),"Yes","No"),"Error")</f>
        <v>No</v>
      </c>
      <c r="P589" s="42" t="str">
        <f aca="false">IF($N589="SOLE",$J589,"")</f>
        <v/>
      </c>
      <c r="Q589" s="42" t="str">
        <f aca="false">IFERROR(IF($N589="Sole",0,IF(AND($N589="OTR",$R589=0),$J589-$P589,IF(AND($N589="OTR", $R589&gt;0), $J589-$P589-$Q589, ""))),"")</f>
        <v/>
      </c>
      <c r="R589" s="42" t="str">
        <f aca="false">IF($P589=$J589, "0","")</f>
        <v/>
      </c>
      <c r="S589" s="42" t="str">
        <f aca="false">IF(OR(ISBLANK($B589),ISBLANK($C589), ISBLANK($E589), ISBLANK($F589), AND(ISBLANK($G589),ISBLANK($H589)), ISBLANK($I589), ISBLANK($L589), AND(ISBLANK($N589), ISBLANK($O589)), AND(ISBLANK($P589), ISBLANK($Q589), ISBLANK($R589))), "No", "Yes")</f>
        <v>No</v>
      </c>
      <c r="T589" s="42" t="str">
        <f aca="false">SUBSTITUTE($U589," ","")</f>
        <v>855244109</v>
      </c>
      <c r="U589" s="42" t="s">
        <v>759</v>
      </c>
      <c r="V589" s="39" t="n">
        <v>10100</v>
      </c>
    </row>
    <row r="590" customFormat="false" ht="15" hidden="false" customHeight="false" outlineLevel="0" collapsed="false">
      <c r="B590" s="70" t="s">
        <v>759</v>
      </c>
      <c r="C590" s="71" t="str">
        <f aca="false">IFERROR(INDEX('13F Data'!A:A,MATCH($B590,'13F Data'!A:A,0)),"No CUSIP Match")</f>
        <v>No CUSIP Match</v>
      </c>
      <c r="D590" s="71" t="str">
        <f aca="false">IFERROR(IF($B590=$C590,"Yes","No"),"No CUSIP Match")</f>
        <v>No</v>
      </c>
      <c r="E590" s="71"/>
      <c r="F590" s="71" t="str">
        <f aca="false">IFERROR(INDEX('13F Data'!C:C, MATCH($B590,'13F Data'!A:A,0)),"No CUSIP Match")</f>
        <v>No CUSIP Match</v>
      </c>
      <c r="G590" s="72" t="str">
        <f aca="false">IFERROR(INDEX('13F Data'!D:D,MATCH($B590,'13F Data'!A:A,0)),"No CUSIP Match")</f>
        <v>No CUSIP Match</v>
      </c>
      <c r="J590" s="73" t="n">
        <f aca="false">$V590</f>
        <v>10100</v>
      </c>
      <c r="K590" s="71" t="str">
        <f aca="false">IFERROR(INDEX('EOD Data'!G:G, MATCH($A590, 'EOD Data'!B:B,0)), "No TKR Match")</f>
        <v>No TKR Match</v>
      </c>
      <c r="L590" s="71" t="str">
        <f aca="false">IFERROR(ROUND($J590*$K590,0),"Error")</f>
        <v>Error</v>
      </c>
      <c r="M590" s="71" t="str">
        <f aca="false">IFERROR(IF(AND($J590&lt;10000,$L590&lt;200000),"Yes","No"),"Error")</f>
        <v>No</v>
      </c>
      <c r="P590" s="42" t="str">
        <f aca="false">IF($N590="SOLE",$J590,"")</f>
        <v/>
      </c>
      <c r="Q590" s="42" t="str">
        <f aca="false">IFERROR(IF($N590="Sole",0,IF(AND($N590="OTR",$R590=0),$J590-$P590,IF(AND($N590="OTR", $R590&gt;0), $J590-$P590-$Q590, ""))),"")</f>
        <v/>
      </c>
      <c r="R590" s="42" t="str">
        <f aca="false">IF($P590=$J590, "0","")</f>
        <v/>
      </c>
      <c r="S590" s="42" t="str">
        <f aca="false">IF(OR(ISBLANK($B590),ISBLANK($C590), ISBLANK($E590), ISBLANK($F590), AND(ISBLANK($G590),ISBLANK($H590)), ISBLANK($I590), ISBLANK($L590), AND(ISBLANK($N590), ISBLANK($O590)), AND(ISBLANK($P590), ISBLANK($Q590), ISBLANK($R590))), "No", "Yes")</f>
        <v>No</v>
      </c>
      <c r="T590" s="42" t="str">
        <f aca="false">SUBSTITUTE($U590," ","")</f>
        <v>855244109</v>
      </c>
      <c r="U590" s="42" t="s">
        <v>759</v>
      </c>
      <c r="V590" s="39" t="n">
        <v>10100</v>
      </c>
    </row>
    <row r="591" customFormat="false" ht="15" hidden="false" customHeight="false" outlineLevel="0" collapsed="false">
      <c r="B591" s="70" t="s">
        <v>761</v>
      </c>
      <c r="C591" s="71" t="str">
        <f aca="false">IFERROR(INDEX('13F Data'!A:A,MATCH($B591,'13F Data'!A:A,0)),"No CUSIP Match")</f>
        <v>No CUSIP Match</v>
      </c>
      <c r="D591" s="71" t="str">
        <f aca="false">IFERROR(IF($B591=$C591,"Yes","No"),"No CUSIP Match")</f>
        <v>No</v>
      </c>
      <c r="E591" s="71"/>
      <c r="F591" s="71" t="str">
        <f aca="false">IFERROR(INDEX('13F Data'!C:C, MATCH($B591,'13F Data'!A:A,0)),"No CUSIP Match")</f>
        <v>No CUSIP Match</v>
      </c>
      <c r="G591" s="72" t="str">
        <f aca="false">IFERROR(INDEX('13F Data'!D:D,MATCH($B591,'13F Data'!A:A,0)),"No CUSIP Match")</f>
        <v>No CUSIP Match</v>
      </c>
      <c r="J591" s="73" t="n">
        <f aca="false">$V591</f>
        <v>6000000</v>
      </c>
      <c r="K591" s="71" t="str">
        <f aca="false">IFERROR(INDEX('EOD Data'!G:G, MATCH($A591, 'EOD Data'!B:B,0)), "No TKR Match")</f>
        <v>No TKR Match</v>
      </c>
      <c r="L591" s="71" t="str">
        <f aca="false">IFERROR(ROUND($J591*$K591,0),"Error")</f>
        <v>Error</v>
      </c>
      <c r="M591" s="71" t="str">
        <f aca="false">IFERROR(IF(AND($J591&lt;10000,$L591&lt;200000),"Yes","No"),"Error")</f>
        <v>No</v>
      </c>
      <c r="P591" s="42" t="str">
        <f aca="false">IF($N591="SOLE",$J591,"")</f>
        <v/>
      </c>
      <c r="Q591" s="42" t="str">
        <f aca="false">IFERROR(IF($N591="Sole",0,IF(AND($N591="OTR",$R591=0),$J591-$P591,IF(AND($N591="OTR", $R591&gt;0), $J591-$P591-$Q591, ""))),"")</f>
        <v/>
      </c>
      <c r="R591" s="42" t="str">
        <f aca="false">IF($P591=$J591, "0","")</f>
        <v/>
      </c>
      <c r="S591" s="42" t="str">
        <f aca="false">IF(OR(ISBLANK($B591),ISBLANK($C591), ISBLANK($E591), ISBLANK($F591), AND(ISBLANK($G591),ISBLANK($H591)), ISBLANK($I591), ISBLANK($L591), AND(ISBLANK($N591), ISBLANK($O591)), AND(ISBLANK($P591), ISBLANK($Q591), ISBLANK($R591))), "No", "Yes")</f>
        <v>No</v>
      </c>
      <c r="T591" s="42" t="str">
        <f aca="false">SUBSTITUTE($U591," ","")</f>
        <v>85859NAC6</v>
      </c>
      <c r="U591" s="42" t="s">
        <v>761</v>
      </c>
      <c r="V591" s="39" t="n">
        <v>6000000</v>
      </c>
    </row>
    <row r="592" customFormat="false" ht="15" hidden="false" customHeight="false" outlineLevel="0" collapsed="false">
      <c r="B592" s="70" t="s">
        <v>763</v>
      </c>
      <c r="C592" s="71" t="str">
        <f aca="false">IFERROR(INDEX('13F Data'!A:A,MATCH($B592,'13F Data'!A:A,0)),"No CUSIP Match")</f>
        <v>No CUSIP Match</v>
      </c>
      <c r="D592" s="71" t="str">
        <f aca="false">IFERROR(IF($B592=$C592,"Yes","No"),"No CUSIP Match")</f>
        <v>No</v>
      </c>
      <c r="E592" s="71"/>
      <c r="F592" s="71" t="str">
        <f aca="false">IFERROR(INDEX('13F Data'!C:C, MATCH($B592,'13F Data'!A:A,0)),"No CUSIP Match")</f>
        <v>No CUSIP Match</v>
      </c>
      <c r="G592" s="72" t="str">
        <f aca="false">IFERROR(INDEX('13F Data'!D:D,MATCH($B592,'13F Data'!A:A,0)),"No CUSIP Match")</f>
        <v>No CUSIP Match</v>
      </c>
      <c r="J592" s="73" t="n">
        <f aca="false">$V592</f>
        <v>23</v>
      </c>
      <c r="K592" s="71" t="str">
        <f aca="false">IFERROR(INDEX('EOD Data'!G:G, MATCH($A592, 'EOD Data'!B:B,0)), "No TKR Match")</f>
        <v>No TKR Match</v>
      </c>
      <c r="L592" s="71" t="str">
        <f aca="false">IFERROR(ROUND($J592*$K592,0),"Error")</f>
        <v>Error</v>
      </c>
      <c r="M592" s="71" t="str">
        <f aca="false">IFERROR(IF(AND($J592&lt;10000,$L592&lt;200000),"Yes","No"),"Error")</f>
        <v>No</v>
      </c>
      <c r="P592" s="42" t="str">
        <f aca="false">IF($N592="SOLE",$J592,"")</f>
        <v/>
      </c>
      <c r="Q592" s="42" t="str">
        <f aca="false">IFERROR(IF($N592="Sole",0,IF(AND($N592="OTR",$R592=0),$J592-$P592,IF(AND($N592="OTR", $R592&gt;0), $J592-$P592-$Q592, ""))),"")</f>
        <v/>
      </c>
      <c r="R592" s="42" t="str">
        <f aca="false">IF($P592=$J592, "0","")</f>
        <v/>
      </c>
      <c r="S592" s="42" t="str">
        <f aca="false">IF(OR(ISBLANK($B592),ISBLANK($C592), ISBLANK($E592), ISBLANK($F592), AND(ISBLANK($G592),ISBLANK($H592)), ISBLANK($I592), ISBLANK($L592), AND(ISBLANK($N592), ISBLANK($O592)), AND(ISBLANK($P592), ISBLANK($Q592), ISBLANK($R592))), "No", "Yes")</f>
        <v>No</v>
      </c>
      <c r="T592" s="42" t="str">
        <f aca="false">SUBSTITUTE($U592," ","")</f>
        <v>863667101</v>
      </c>
      <c r="U592" s="42" t="s">
        <v>763</v>
      </c>
      <c r="V592" s="39" t="n">
        <v>23</v>
      </c>
    </row>
    <row r="593" customFormat="false" ht="15" hidden="false" customHeight="false" outlineLevel="0" collapsed="false">
      <c r="B593" s="70" t="s">
        <v>763</v>
      </c>
      <c r="C593" s="71" t="str">
        <f aca="false">IFERROR(INDEX('13F Data'!A:A,MATCH($B593,'13F Data'!A:A,0)),"No CUSIP Match")</f>
        <v>No CUSIP Match</v>
      </c>
      <c r="D593" s="71" t="str">
        <f aca="false">IFERROR(IF($B593=$C593,"Yes","No"),"No CUSIP Match")</f>
        <v>No</v>
      </c>
      <c r="E593" s="71"/>
      <c r="F593" s="71" t="str">
        <f aca="false">IFERROR(INDEX('13F Data'!C:C, MATCH($B593,'13F Data'!A:A,0)),"No CUSIP Match")</f>
        <v>No CUSIP Match</v>
      </c>
      <c r="G593" s="72" t="str">
        <f aca="false">IFERROR(INDEX('13F Data'!D:D,MATCH($B593,'13F Data'!A:A,0)),"No CUSIP Match")</f>
        <v>No CUSIP Match</v>
      </c>
      <c r="J593" s="73" t="n">
        <f aca="false">$V593</f>
        <v>400</v>
      </c>
      <c r="K593" s="71" t="str">
        <f aca="false">IFERROR(INDEX('EOD Data'!G:G, MATCH($A593, 'EOD Data'!B:B,0)), "No TKR Match")</f>
        <v>No TKR Match</v>
      </c>
      <c r="L593" s="71" t="str">
        <f aca="false">IFERROR(ROUND($J593*$K593,0),"Error")</f>
        <v>Error</v>
      </c>
      <c r="M593" s="71" t="str">
        <f aca="false">IFERROR(IF(AND($J593&lt;10000,$L593&lt;200000),"Yes","No"),"Error")</f>
        <v>No</v>
      </c>
      <c r="P593" s="42" t="str">
        <f aca="false">IF($N593="SOLE",$J593,"")</f>
        <v/>
      </c>
      <c r="Q593" s="42" t="str">
        <f aca="false">IFERROR(IF($N593="Sole",0,IF(AND($N593="OTR",$R593=0),$J593-$P593,IF(AND($N593="OTR", $R593&gt;0), $J593-$P593-$Q593, ""))),"")</f>
        <v/>
      </c>
      <c r="R593" s="42" t="str">
        <f aca="false">IF($P593=$J593, "0","")</f>
        <v/>
      </c>
      <c r="S593" s="42" t="str">
        <f aca="false">IF(OR(ISBLANK($B593),ISBLANK($C593), ISBLANK($E593), ISBLANK($F593), AND(ISBLANK($G593),ISBLANK($H593)), ISBLANK($I593), ISBLANK($L593), AND(ISBLANK($N593), ISBLANK($O593)), AND(ISBLANK($P593), ISBLANK($Q593), ISBLANK($R593))), "No", "Yes")</f>
        <v>No</v>
      </c>
      <c r="T593" s="42" t="str">
        <f aca="false">SUBSTITUTE($U593," ","")</f>
        <v>863667101</v>
      </c>
      <c r="U593" s="42" t="s">
        <v>763</v>
      </c>
      <c r="V593" s="39" t="n">
        <v>400</v>
      </c>
    </row>
    <row r="594" customFormat="false" ht="15" hidden="false" customHeight="false" outlineLevel="0" collapsed="false">
      <c r="B594" s="70" t="s">
        <v>763</v>
      </c>
      <c r="C594" s="71" t="str">
        <f aca="false">IFERROR(INDEX('13F Data'!A:A,MATCH($B594,'13F Data'!A:A,0)),"No CUSIP Match")</f>
        <v>No CUSIP Match</v>
      </c>
      <c r="D594" s="71" t="str">
        <f aca="false">IFERROR(IF($B594=$C594,"Yes","No"),"No CUSIP Match")</f>
        <v>No</v>
      </c>
      <c r="E594" s="71"/>
      <c r="F594" s="71" t="str">
        <f aca="false">IFERROR(INDEX('13F Data'!C:C, MATCH($B594,'13F Data'!A:A,0)),"No CUSIP Match")</f>
        <v>No CUSIP Match</v>
      </c>
      <c r="G594" s="72" t="str">
        <f aca="false">IFERROR(INDEX('13F Data'!D:D,MATCH($B594,'13F Data'!A:A,0)),"No CUSIP Match")</f>
        <v>No CUSIP Match</v>
      </c>
      <c r="J594" s="73" t="n">
        <f aca="false">$V594</f>
        <v>400</v>
      </c>
      <c r="K594" s="71" t="str">
        <f aca="false">IFERROR(INDEX('EOD Data'!G:G, MATCH($A594, 'EOD Data'!B:B,0)), "No TKR Match")</f>
        <v>No TKR Match</v>
      </c>
      <c r="L594" s="71" t="str">
        <f aca="false">IFERROR(ROUND($J594*$K594,0),"Error")</f>
        <v>Error</v>
      </c>
      <c r="M594" s="71" t="str">
        <f aca="false">IFERROR(IF(AND($J594&lt;10000,$L594&lt;200000),"Yes","No"),"Error")</f>
        <v>No</v>
      </c>
      <c r="P594" s="42" t="str">
        <f aca="false">IF($N594="SOLE",$J594,"")</f>
        <v/>
      </c>
      <c r="Q594" s="42" t="str">
        <f aca="false">IFERROR(IF($N594="Sole",0,IF(AND($N594="OTR",$R594=0),$J594-$P594,IF(AND($N594="OTR", $R594&gt;0), $J594-$P594-$Q594, ""))),"")</f>
        <v/>
      </c>
      <c r="R594" s="42" t="str">
        <f aca="false">IF($P594=$J594, "0","")</f>
        <v/>
      </c>
      <c r="S594" s="42" t="str">
        <f aca="false">IF(OR(ISBLANK($B594),ISBLANK($C594), ISBLANK($E594), ISBLANK($F594), AND(ISBLANK($G594),ISBLANK($H594)), ISBLANK($I594), ISBLANK($L594), AND(ISBLANK($N594), ISBLANK($O594)), AND(ISBLANK($P594), ISBLANK($Q594), ISBLANK($R594))), "No", "Yes")</f>
        <v>No</v>
      </c>
      <c r="T594" s="42" t="str">
        <f aca="false">SUBSTITUTE($U594," ","")</f>
        <v>863667101</v>
      </c>
      <c r="U594" s="42" t="s">
        <v>763</v>
      </c>
      <c r="V594" s="39" t="n">
        <v>400</v>
      </c>
    </row>
    <row r="595" customFormat="false" ht="15" hidden="false" customHeight="false" outlineLevel="0" collapsed="false">
      <c r="B595" s="70" t="s">
        <v>765</v>
      </c>
      <c r="C595" s="71" t="str">
        <f aca="false">IFERROR(INDEX('13F Data'!A:A,MATCH($B595,'13F Data'!A:A,0)),"No CUSIP Match")</f>
        <v>No CUSIP Match</v>
      </c>
      <c r="D595" s="71" t="str">
        <f aca="false">IFERROR(IF($B595=$C595,"Yes","No"),"No CUSIP Match")</f>
        <v>No</v>
      </c>
      <c r="E595" s="71"/>
      <c r="F595" s="71" t="str">
        <f aca="false">IFERROR(INDEX('13F Data'!C:C, MATCH($B595,'13F Data'!A:A,0)),"No CUSIP Match")</f>
        <v>No CUSIP Match</v>
      </c>
      <c r="G595" s="72" t="str">
        <f aca="false">IFERROR(INDEX('13F Data'!D:D,MATCH($B595,'13F Data'!A:A,0)),"No CUSIP Match")</f>
        <v>No CUSIP Match</v>
      </c>
      <c r="J595" s="73" t="n">
        <f aca="false">$V595</f>
        <v>61800</v>
      </c>
      <c r="K595" s="71" t="str">
        <f aca="false">IFERROR(INDEX('EOD Data'!G:G, MATCH($A595, 'EOD Data'!B:B,0)), "No TKR Match")</f>
        <v>No TKR Match</v>
      </c>
      <c r="L595" s="71" t="str">
        <f aca="false">IFERROR(ROUND($J595*$K595,0),"Error")</f>
        <v>Error</v>
      </c>
      <c r="M595" s="71" t="str">
        <f aca="false">IFERROR(IF(AND($J595&lt;10000,$L595&lt;200000),"Yes","No"),"Error")</f>
        <v>No</v>
      </c>
      <c r="P595" s="42" t="str">
        <f aca="false">IF($N595="SOLE",$J595,"")</f>
        <v/>
      </c>
      <c r="Q595" s="42" t="str">
        <f aca="false">IFERROR(IF($N595="Sole",0,IF(AND($N595="OTR",$R595=0),$J595-$P595,IF(AND($N595="OTR", $R595&gt;0), $J595-$P595-$Q595, ""))),"")</f>
        <v/>
      </c>
      <c r="R595" s="42" t="str">
        <f aca="false">IF($P595=$J595, "0","")</f>
        <v/>
      </c>
      <c r="S595" s="42" t="str">
        <f aca="false">IF(OR(ISBLANK($B595),ISBLANK($C595), ISBLANK($E595), ISBLANK($F595), AND(ISBLANK($G595),ISBLANK($H595)), ISBLANK($I595), ISBLANK($L595), AND(ISBLANK($N595), ISBLANK($O595)), AND(ISBLANK($P595), ISBLANK($Q595), ISBLANK($R595))), "No", "Yes")</f>
        <v>No</v>
      </c>
      <c r="T595" s="42" t="str">
        <f aca="false">SUBSTITUTE($U595," ","")</f>
        <v>867224107</v>
      </c>
      <c r="U595" s="42" t="s">
        <v>765</v>
      </c>
      <c r="V595" s="39" t="n">
        <v>61800</v>
      </c>
    </row>
    <row r="596" customFormat="false" ht="15" hidden="false" customHeight="false" outlineLevel="0" collapsed="false">
      <c r="B596" s="70" t="s">
        <v>765</v>
      </c>
      <c r="C596" s="71" t="str">
        <f aca="false">IFERROR(INDEX('13F Data'!A:A,MATCH($B596,'13F Data'!A:A,0)),"No CUSIP Match")</f>
        <v>No CUSIP Match</v>
      </c>
      <c r="D596" s="71" t="str">
        <f aca="false">IFERROR(IF($B596=$C596,"Yes","No"),"No CUSIP Match")</f>
        <v>No</v>
      </c>
      <c r="E596" s="71"/>
      <c r="F596" s="71" t="str">
        <f aca="false">IFERROR(INDEX('13F Data'!C:C, MATCH($B596,'13F Data'!A:A,0)),"No CUSIP Match")</f>
        <v>No CUSIP Match</v>
      </c>
      <c r="G596" s="72" t="str">
        <f aca="false">IFERROR(INDEX('13F Data'!D:D,MATCH($B596,'13F Data'!A:A,0)),"No CUSIP Match")</f>
        <v>No CUSIP Match</v>
      </c>
      <c r="J596" s="73" t="n">
        <f aca="false">$V596</f>
        <v>61800</v>
      </c>
      <c r="K596" s="71" t="str">
        <f aca="false">IFERROR(INDEX('EOD Data'!G:G, MATCH($A596, 'EOD Data'!B:B,0)), "No TKR Match")</f>
        <v>No TKR Match</v>
      </c>
      <c r="L596" s="71" t="str">
        <f aca="false">IFERROR(ROUND($J596*$K596,0),"Error")</f>
        <v>Error</v>
      </c>
      <c r="M596" s="71" t="str">
        <f aca="false">IFERROR(IF(AND($J596&lt;10000,$L596&lt;200000),"Yes","No"),"Error")</f>
        <v>No</v>
      </c>
      <c r="P596" s="42" t="str">
        <f aca="false">IF($N596="SOLE",$J596,"")</f>
        <v/>
      </c>
      <c r="Q596" s="42" t="str">
        <f aca="false">IFERROR(IF($N596="Sole",0,IF(AND($N596="OTR",$R596=0),$J596-$P596,IF(AND($N596="OTR", $R596&gt;0), $J596-$P596-$Q596, ""))),"")</f>
        <v/>
      </c>
      <c r="R596" s="42" t="str">
        <f aca="false">IF($P596=$J596, "0","")</f>
        <v/>
      </c>
      <c r="S596" s="42" t="str">
        <f aca="false">IF(OR(ISBLANK($B596),ISBLANK($C596), ISBLANK($E596), ISBLANK($F596), AND(ISBLANK($G596),ISBLANK($H596)), ISBLANK($I596), ISBLANK($L596), AND(ISBLANK($N596), ISBLANK($O596)), AND(ISBLANK($P596), ISBLANK($Q596), ISBLANK($R596))), "No", "Yes")</f>
        <v>No</v>
      </c>
      <c r="T596" s="42" t="str">
        <f aca="false">SUBSTITUTE($U596," ","")</f>
        <v>867224107</v>
      </c>
      <c r="U596" s="42" t="s">
        <v>765</v>
      </c>
      <c r="V596" s="39" t="n">
        <v>61800</v>
      </c>
    </row>
    <row r="597" customFormat="false" ht="15" hidden="false" customHeight="false" outlineLevel="0" collapsed="false">
      <c r="B597" s="70" t="s">
        <v>767</v>
      </c>
      <c r="C597" s="71" t="str">
        <f aca="false">IFERROR(INDEX('13F Data'!A:A,MATCH($B597,'13F Data'!A:A,0)),"No CUSIP Match")</f>
        <v>No CUSIP Match</v>
      </c>
      <c r="D597" s="71" t="str">
        <f aca="false">IFERROR(IF($B597=$C597,"Yes","No"),"No CUSIP Match")</f>
        <v>No</v>
      </c>
      <c r="E597" s="71"/>
      <c r="F597" s="71" t="str">
        <f aca="false">IFERROR(INDEX('13F Data'!C:C, MATCH($B597,'13F Data'!A:A,0)),"No CUSIP Match")</f>
        <v>No CUSIP Match</v>
      </c>
      <c r="G597" s="72" t="str">
        <f aca="false">IFERROR(INDEX('13F Data'!D:D,MATCH($B597,'13F Data'!A:A,0)),"No CUSIP Match")</f>
        <v>No CUSIP Match</v>
      </c>
      <c r="J597" s="73" t="n">
        <f aca="false">$V597</f>
        <v>1800</v>
      </c>
      <c r="K597" s="71" t="str">
        <f aca="false">IFERROR(INDEX('EOD Data'!G:G, MATCH($A597, 'EOD Data'!B:B,0)), "No TKR Match")</f>
        <v>No TKR Match</v>
      </c>
      <c r="L597" s="71" t="str">
        <f aca="false">IFERROR(ROUND($J597*$K597,0),"Error")</f>
        <v>Error</v>
      </c>
      <c r="M597" s="71" t="str">
        <f aca="false">IFERROR(IF(AND($J597&lt;10000,$L597&lt;200000),"Yes","No"),"Error")</f>
        <v>No</v>
      </c>
      <c r="P597" s="42" t="str">
        <f aca="false">IF($N597="SOLE",$J597,"")</f>
        <v/>
      </c>
      <c r="Q597" s="42" t="str">
        <f aca="false">IFERROR(IF($N597="Sole",0,IF(AND($N597="OTR",$R597=0),$J597-$P597,IF(AND($N597="OTR", $R597&gt;0), $J597-$P597-$Q597, ""))),"")</f>
        <v/>
      </c>
      <c r="R597" s="42" t="str">
        <f aca="false">IF($P597=$J597, "0","")</f>
        <v/>
      </c>
      <c r="S597" s="42" t="str">
        <f aca="false">IF(OR(ISBLANK($B597),ISBLANK($C597), ISBLANK($E597), ISBLANK($F597), AND(ISBLANK($G597),ISBLANK($H597)), ISBLANK($I597), ISBLANK($L597), AND(ISBLANK($N597), ISBLANK($O597)), AND(ISBLANK($P597), ISBLANK($Q597), ISBLANK($R597))), "No", "Yes")</f>
        <v>No</v>
      </c>
      <c r="T597" s="42" t="str">
        <f aca="false">SUBSTITUTE($U597," ","")</f>
        <v>871607107</v>
      </c>
      <c r="U597" s="42" t="s">
        <v>767</v>
      </c>
      <c r="V597" s="39" t="n">
        <v>1800</v>
      </c>
    </row>
    <row r="598" customFormat="false" ht="15" hidden="false" customHeight="false" outlineLevel="0" collapsed="false">
      <c r="B598" s="70" t="s">
        <v>767</v>
      </c>
      <c r="C598" s="71" t="str">
        <f aca="false">IFERROR(INDEX('13F Data'!A:A,MATCH($B598,'13F Data'!A:A,0)),"No CUSIP Match")</f>
        <v>No CUSIP Match</v>
      </c>
      <c r="D598" s="71" t="str">
        <f aca="false">IFERROR(IF($B598=$C598,"Yes","No"),"No CUSIP Match")</f>
        <v>No</v>
      </c>
      <c r="E598" s="71"/>
      <c r="F598" s="71" t="str">
        <f aca="false">IFERROR(INDEX('13F Data'!C:C, MATCH($B598,'13F Data'!A:A,0)),"No CUSIP Match")</f>
        <v>No CUSIP Match</v>
      </c>
      <c r="G598" s="72" t="str">
        <f aca="false">IFERROR(INDEX('13F Data'!D:D,MATCH($B598,'13F Data'!A:A,0)),"No CUSIP Match")</f>
        <v>No CUSIP Match</v>
      </c>
      <c r="J598" s="73" t="n">
        <f aca="false">$V598</f>
        <v>1800</v>
      </c>
      <c r="K598" s="71" t="str">
        <f aca="false">IFERROR(INDEX('EOD Data'!G:G, MATCH($A598, 'EOD Data'!B:B,0)), "No TKR Match")</f>
        <v>No TKR Match</v>
      </c>
      <c r="L598" s="71" t="str">
        <f aca="false">IFERROR(ROUND($J598*$K598,0),"Error")</f>
        <v>Error</v>
      </c>
      <c r="M598" s="71" t="str">
        <f aca="false">IFERROR(IF(AND($J598&lt;10000,$L598&lt;200000),"Yes","No"),"Error")</f>
        <v>No</v>
      </c>
      <c r="P598" s="42" t="str">
        <f aca="false">IF($N598="SOLE",$J598,"")</f>
        <v/>
      </c>
      <c r="Q598" s="42" t="str">
        <f aca="false">IFERROR(IF($N598="Sole",0,IF(AND($N598="OTR",$R598=0),$J598-$P598,IF(AND($N598="OTR", $R598&gt;0), $J598-$P598-$Q598, ""))),"")</f>
        <v/>
      </c>
      <c r="R598" s="42" t="str">
        <f aca="false">IF($P598=$J598, "0","")</f>
        <v/>
      </c>
      <c r="S598" s="42" t="str">
        <f aca="false">IF(OR(ISBLANK($B598),ISBLANK($C598), ISBLANK($E598), ISBLANK($F598), AND(ISBLANK($G598),ISBLANK($H598)), ISBLANK($I598), ISBLANK($L598), AND(ISBLANK($N598), ISBLANK($O598)), AND(ISBLANK($P598), ISBLANK($Q598), ISBLANK($R598))), "No", "Yes")</f>
        <v>No</v>
      </c>
      <c r="T598" s="42" t="str">
        <f aca="false">SUBSTITUTE($U598," ","")</f>
        <v>871607107</v>
      </c>
      <c r="U598" s="42" t="s">
        <v>767</v>
      </c>
      <c r="V598" s="39" t="n">
        <v>1800</v>
      </c>
    </row>
    <row r="599" customFormat="false" ht="15" hidden="false" customHeight="false" outlineLevel="0" collapsed="false">
      <c r="B599" s="70" t="s">
        <v>769</v>
      </c>
      <c r="C599" s="71" t="str">
        <f aca="false">IFERROR(INDEX('13F Data'!A:A,MATCH($B599,'13F Data'!A:A,0)),"No CUSIP Match")</f>
        <v>No CUSIP Match</v>
      </c>
      <c r="D599" s="71" t="str">
        <f aca="false">IFERROR(IF($B599=$C599,"Yes","No"),"No CUSIP Match")</f>
        <v>No</v>
      </c>
      <c r="E599" s="71"/>
      <c r="F599" s="71" t="str">
        <f aca="false">IFERROR(INDEX('13F Data'!C:C, MATCH($B599,'13F Data'!A:A,0)),"No CUSIP Match")</f>
        <v>No CUSIP Match</v>
      </c>
      <c r="G599" s="72" t="str">
        <f aca="false">IFERROR(INDEX('13F Data'!D:D,MATCH($B599,'13F Data'!A:A,0)),"No CUSIP Match")</f>
        <v>No CUSIP Match</v>
      </c>
      <c r="J599" s="73" t="n">
        <f aca="false">$V599</f>
        <v>15100</v>
      </c>
      <c r="K599" s="71" t="str">
        <f aca="false">IFERROR(INDEX('EOD Data'!G:G, MATCH($A599, 'EOD Data'!B:B,0)), "No TKR Match")</f>
        <v>No TKR Match</v>
      </c>
      <c r="L599" s="71" t="str">
        <f aca="false">IFERROR(ROUND($J599*$K599,0),"Error")</f>
        <v>Error</v>
      </c>
      <c r="M599" s="71" t="str">
        <f aca="false">IFERROR(IF(AND($J599&lt;10000,$L599&lt;200000),"Yes","No"),"Error")</f>
        <v>No</v>
      </c>
      <c r="P599" s="42" t="str">
        <f aca="false">IF($N599="SOLE",$J599,"")</f>
        <v/>
      </c>
      <c r="Q599" s="42" t="str">
        <f aca="false">IFERROR(IF($N599="Sole",0,IF(AND($N599="OTR",$R599=0),$J599-$P599,IF(AND($N599="OTR", $R599&gt;0), $J599-$P599-$Q599, ""))),"")</f>
        <v/>
      </c>
      <c r="R599" s="42" t="str">
        <f aca="false">IF($P599=$J599, "0","")</f>
        <v/>
      </c>
      <c r="S599" s="42" t="str">
        <f aca="false">IF(OR(ISBLANK($B599),ISBLANK($C599), ISBLANK($E599), ISBLANK($F599), AND(ISBLANK($G599),ISBLANK($H599)), ISBLANK($I599), ISBLANK($L599), AND(ISBLANK($N599), ISBLANK($O599)), AND(ISBLANK($P599), ISBLANK($Q599), ISBLANK($R599))), "No", "Yes")</f>
        <v>No</v>
      </c>
      <c r="T599" s="42" t="str">
        <f aca="false">SUBSTITUTE($U599," ","")</f>
        <v>87612G101</v>
      </c>
      <c r="U599" s="42" t="s">
        <v>769</v>
      </c>
      <c r="V599" s="39" t="n">
        <v>15100</v>
      </c>
    </row>
    <row r="600" customFormat="false" ht="15" hidden="false" customHeight="false" outlineLevel="0" collapsed="false">
      <c r="B600" s="70" t="s">
        <v>771</v>
      </c>
      <c r="C600" s="71" t="str">
        <f aca="false">IFERROR(INDEX('13F Data'!A:A,MATCH($B600,'13F Data'!A:A,0)),"No CUSIP Match")</f>
        <v>No CUSIP Match</v>
      </c>
      <c r="D600" s="71" t="str">
        <f aca="false">IFERROR(IF($B600=$C600,"Yes","No"),"No CUSIP Match")</f>
        <v>No</v>
      </c>
      <c r="E600" s="71"/>
      <c r="F600" s="71" t="str">
        <f aca="false">IFERROR(INDEX('13F Data'!C:C, MATCH($B600,'13F Data'!A:A,0)),"No CUSIP Match")</f>
        <v>No CUSIP Match</v>
      </c>
      <c r="G600" s="72" t="str">
        <f aca="false">IFERROR(INDEX('13F Data'!D:D,MATCH($B600,'13F Data'!A:A,0)),"No CUSIP Match")</f>
        <v>No CUSIP Match</v>
      </c>
      <c r="J600" s="73" t="n">
        <f aca="false">$V600</f>
        <v>30700</v>
      </c>
      <c r="K600" s="71" t="str">
        <f aca="false">IFERROR(INDEX('EOD Data'!G:G, MATCH($A600, 'EOD Data'!B:B,0)), "No TKR Match")</f>
        <v>No TKR Match</v>
      </c>
      <c r="L600" s="71" t="str">
        <f aca="false">IFERROR(ROUND($J600*$K600,0),"Error")</f>
        <v>Error</v>
      </c>
      <c r="M600" s="71" t="str">
        <f aca="false">IFERROR(IF(AND($J600&lt;10000,$L600&lt;200000),"Yes","No"),"Error")</f>
        <v>No</v>
      </c>
      <c r="P600" s="42" t="str">
        <f aca="false">IF($N600="SOLE",$J600,"")</f>
        <v/>
      </c>
      <c r="Q600" s="42" t="str">
        <f aca="false">IFERROR(IF($N600="Sole",0,IF(AND($N600="OTR",$R600=0),$J600-$P600,IF(AND($N600="OTR", $R600&gt;0), $J600-$P600-$Q600, ""))),"")</f>
        <v/>
      </c>
      <c r="R600" s="42" t="str">
        <f aca="false">IF($P600=$J600, "0","")</f>
        <v/>
      </c>
      <c r="S600" s="42" t="str">
        <f aca="false">IF(OR(ISBLANK($B600),ISBLANK($C600), ISBLANK($E600), ISBLANK($F600), AND(ISBLANK($G600),ISBLANK($H600)), ISBLANK($I600), ISBLANK($L600), AND(ISBLANK($N600), ISBLANK($O600)), AND(ISBLANK($P600), ISBLANK($Q600), ISBLANK($R600))), "No", "Yes")</f>
        <v>No</v>
      </c>
      <c r="T600" s="42" t="str">
        <f aca="false">SUBSTITUTE($U600," ","")</f>
        <v>87612E106</v>
      </c>
      <c r="U600" s="42" t="s">
        <v>771</v>
      </c>
      <c r="V600" s="39" t="n">
        <v>30700</v>
      </c>
    </row>
    <row r="601" customFormat="false" ht="15" hidden="false" customHeight="false" outlineLevel="0" collapsed="false">
      <c r="B601" s="70" t="s">
        <v>771</v>
      </c>
      <c r="C601" s="71" t="str">
        <f aca="false">IFERROR(INDEX('13F Data'!A:A,MATCH($B601,'13F Data'!A:A,0)),"No CUSIP Match")</f>
        <v>No CUSIP Match</v>
      </c>
      <c r="D601" s="71" t="str">
        <f aca="false">IFERROR(IF($B601=$C601,"Yes","No"),"No CUSIP Match")</f>
        <v>No</v>
      </c>
      <c r="E601" s="71"/>
      <c r="F601" s="71" t="str">
        <f aca="false">IFERROR(INDEX('13F Data'!C:C, MATCH($B601,'13F Data'!A:A,0)),"No CUSIP Match")</f>
        <v>No CUSIP Match</v>
      </c>
      <c r="G601" s="72" t="str">
        <f aca="false">IFERROR(INDEX('13F Data'!D:D,MATCH($B601,'13F Data'!A:A,0)),"No CUSIP Match")</f>
        <v>No CUSIP Match</v>
      </c>
      <c r="J601" s="73" t="n">
        <f aca="false">$V601</f>
        <v>30700</v>
      </c>
      <c r="K601" s="71" t="str">
        <f aca="false">IFERROR(INDEX('EOD Data'!G:G, MATCH($A601, 'EOD Data'!B:B,0)), "No TKR Match")</f>
        <v>No TKR Match</v>
      </c>
      <c r="L601" s="71" t="str">
        <f aca="false">IFERROR(ROUND($J601*$K601,0),"Error")</f>
        <v>Error</v>
      </c>
      <c r="M601" s="71" t="str">
        <f aca="false">IFERROR(IF(AND($J601&lt;10000,$L601&lt;200000),"Yes","No"),"Error")</f>
        <v>No</v>
      </c>
      <c r="P601" s="42" t="str">
        <f aca="false">IF($N601="SOLE",$J601,"")</f>
        <v/>
      </c>
      <c r="Q601" s="42" t="str">
        <f aca="false">IFERROR(IF($N601="Sole",0,IF(AND($N601="OTR",$R601=0),$J601-$P601,IF(AND($N601="OTR", $R601&gt;0), $J601-$P601-$Q601, ""))),"")</f>
        <v/>
      </c>
      <c r="R601" s="42" t="str">
        <f aca="false">IF($P601=$J601, "0","")</f>
        <v/>
      </c>
      <c r="S601" s="42" t="str">
        <f aca="false">IF(OR(ISBLANK($B601),ISBLANK($C601), ISBLANK($E601), ISBLANK($F601), AND(ISBLANK($G601),ISBLANK($H601)), ISBLANK($I601), ISBLANK($L601), AND(ISBLANK($N601), ISBLANK($O601)), AND(ISBLANK($P601), ISBLANK($Q601), ISBLANK($R601))), "No", "Yes")</f>
        <v>No</v>
      </c>
      <c r="T601" s="42" t="str">
        <f aca="false">SUBSTITUTE($U601," ","")</f>
        <v>87612E106</v>
      </c>
      <c r="U601" s="42" t="s">
        <v>771</v>
      </c>
      <c r="V601" s="39" t="n">
        <v>30700</v>
      </c>
    </row>
    <row r="602" customFormat="false" ht="15" hidden="false" customHeight="false" outlineLevel="0" collapsed="false">
      <c r="B602" s="70" t="s">
        <v>773</v>
      </c>
      <c r="C602" s="71" t="str">
        <f aca="false">IFERROR(INDEX('13F Data'!A:A,MATCH($B602,'13F Data'!A:A,0)),"No CUSIP Match")</f>
        <v>No CUSIP Match</v>
      </c>
      <c r="D602" s="71" t="str">
        <f aca="false">IFERROR(IF($B602=$C602,"Yes","No"),"No CUSIP Match")</f>
        <v>No</v>
      </c>
      <c r="E602" s="71"/>
      <c r="F602" s="71" t="str">
        <f aca="false">IFERROR(INDEX('13F Data'!C:C, MATCH($B602,'13F Data'!A:A,0)),"No CUSIP Match")</f>
        <v>No CUSIP Match</v>
      </c>
      <c r="G602" s="72" t="str">
        <f aca="false">IFERROR(INDEX('13F Data'!D:D,MATCH($B602,'13F Data'!A:A,0)),"No CUSIP Match")</f>
        <v>No CUSIP Match</v>
      </c>
      <c r="J602" s="73" t="n">
        <f aca="false">$V602</f>
        <v>699059</v>
      </c>
      <c r="K602" s="71" t="str">
        <f aca="false">IFERROR(INDEX('EOD Data'!G:G, MATCH($A602, 'EOD Data'!B:B,0)), "No TKR Match")</f>
        <v>No TKR Match</v>
      </c>
      <c r="L602" s="71" t="str">
        <f aca="false">IFERROR(ROUND($J602*$K602,0),"Error")</f>
        <v>Error</v>
      </c>
      <c r="M602" s="71" t="str">
        <f aca="false">IFERROR(IF(AND($J602&lt;10000,$L602&lt;200000),"Yes","No"),"Error")</f>
        <v>No</v>
      </c>
      <c r="P602" s="42" t="str">
        <f aca="false">IF($N602="SOLE",$J602,"")</f>
        <v/>
      </c>
      <c r="Q602" s="42" t="str">
        <f aca="false">IFERROR(IF($N602="Sole",0,IF(AND($N602="OTR",$R602=0),$J602-$P602,IF(AND($N602="OTR", $R602&gt;0), $J602-$P602-$Q602, ""))),"")</f>
        <v/>
      </c>
      <c r="R602" s="42" t="str">
        <f aca="false">IF($P602=$J602, "0","")</f>
        <v/>
      </c>
      <c r="S602" s="42" t="str">
        <f aca="false">IF(OR(ISBLANK($B602),ISBLANK($C602), ISBLANK($E602), ISBLANK($F602), AND(ISBLANK($G602),ISBLANK($H602)), ISBLANK($I602), ISBLANK($L602), AND(ISBLANK($N602), ISBLANK($O602)), AND(ISBLANK($P602), ISBLANK($Q602), ISBLANK($R602))), "No", "Yes")</f>
        <v>No</v>
      </c>
      <c r="T602" s="42" t="str">
        <f aca="false">SUBSTITUTE($U602," ","")</f>
        <v>88025T102</v>
      </c>
      <c r="U602" s="42" t="s">
        <v>773</v>
      </c>
      <c r="V602" s="39" t="n">
        <v>699059</v>
      </c>
    </row>
    <row r="603" customFormat="false" ht="15" hidden="false" customHeight="false" outlineLevel="0" collapsed="false">
      <c r="B603" s="70" t="s">
        <v>775</v>
      </c>
      <c r="C603" s="71" t="str">
        <f aca="false">IFERROR(INDEX('13F Data'!A:A,MATCH($B603,'13F Data'!A:A,0)),"No CUSIP Match")</f>
        <v>No CUSIP Match</v>
      </c>
      <c r="D603" s="71" t="str">
        <f aca="false">IFERROR(IF($B603=$C603,"Yes","No"),"No CUSIP Match")</f>
        <v>No</v>
      </c>
      <c r="E603" s="71"/>
      <c r="F603" s="71" t="str">
        <f aca="false">IFERROR(INDEX('13F Data'!C:C, MATCH($B603,'13F Data'!A:A,0)),"No CUSIP Match")</f>
        <v>No CUSIP Match</v>
      </c>
      <c r="G603" s="72" t="str">
        <f aca="false">IFERROR(INDEX('13F Data'!D:D,MATCH($B603,'13F Data'!A:A,0)),"No CUSIP Match")</f>
        <v>No CUSIP Match</v>
      </c>
      <c r="J603" s="73" t="n">
        <f aca="false">$V603</f>
        <v>89340</v>
      </c>
      <c r="K603" s="71" t="str">
        <f aca="false">IFERROR(INDEX('EOD Data'!G:G, MATCH($A603, 'EOD Data'!B:B,0)), "No TKR Match")</f>
        <v>No TKR Match</v>
      </c>
      <c r="L603" s="71" t="str">
        <f aca="false">IFERROR(ROUND($J603*$K603,0),"Error")</f>
        <v>Error</v>
      </c>
      <c r="M603" s="71" t="str">
        <f aca="false">IFERROR(IF(AND($J603&lt;10000,$L603&lt;200000),"Yes","No"),"Error")</f>
        <v>No</v>
      </c>
      <c r="P603" s="42" t="str">
        <f aca="false">IF($N603="SOLE",$J603,"")</f>
        <v/>
      </c>
      <c r="Q603" s="42" t="str">
        <f aca="false">IFERROR(IF($N603="Sole",0,IF(AND($N603="OTR",$R603=0),$J603-$P603,IF(AND($N603="OTR", $R603&gt;0), $J603-$P603-$Q603, ""))),"")</f>
        <v/>
      </c>
      <c r="R603" s="42" t="str">
        <f aca="false">IF($P603=$J603, "0","")</f>
        <v/>
      </c>
      <c r="S603" s="42" t="str">
        <f aca="false">IF(OR(ISBLANK($B603),ISBLANK($C603), ISBLANK($E603), ISBLANK($F603), AND(ISBLANK($G603),ISBLANK($H603)), ISBLANK($I603), ISBLANK($L603), AND(ISBLANK($N603), ISBLANK($O603)), AND(ISBLANK($P603), ISBLANK($Q603), ISBLANK($R603))), "No", "Yes")</f>
        <v>No</v>
      </c>
      <c r="T603" s="42" t="str">
        <f aca="false">SUBSTITUTE($U603," ","")</f>
        <v>88033G407</v>
      </c>
      <c r="U603" s="42" t="s">
        <v>775</v>
      </c>
      <c r="V603" s="39" t="n">
        <v>89340</v>
      </c>
    </row>
    <row r="604" customFormat="false" ht="15" hidden="false" customHeight="false" outlineLevel="0" collapsed="false">
      <c r="B604" s="70" t="s">
        <v>777</v>
      </c>
      <c r="C604" s="71" t="str">
        <f aca="false">IFERROR(INDEX('13F Data'!A:A,MATCH($B604,'13F Data'!A:A,0)),"No CUSIP Match")</f>
        <v>No CUSIP Match</v>
      </c>
      <c r="D604" s="71" t="str">
        <f aca="false">IFERROR(IF($B604=$C604,"Yes","No"),"No CUSIP Match")</f>
        <v>No</v>
      </c>
      <c r="E604" s="71"/>
      <c r="F604" s="71" t="str">
        <f aca="false">IFERROR(INDEX('13F Data'!C:C, MATCH($B604,'13F Data'!A:A,0)),"No CUSIP Match")</f>
        <v>No CUSIP Match</v>
      </c>
      <c r="G604" s="72" t="str">
        <f aca="false">IFERROR(INDEX('13F Data'!D:D,MATCH($B604,'13F Data'!A:A,0)),"No CUSIP Match")</f>
        <v>No CUSIP Match</v>
      </c>
      <c r="J604" s="73" t="n">
        <f aca="false">$V604</f>
        <v>18700</v>
      </c>
      <c r="K604" s="71" t="str">
        <f aca="false">IFERROR(INDEX('EOD Data'!G:G, MATCH($A604, 'EOD Data'!B:B,0)), "No TKR Match")</f>
        <v>No TKR Match</v>
      </c>
      <c r="L604" s="71" t="str">
        <f aca="false">IFERROR(ROUND($J604*$K604,0),"Error")</f>
        <v>Error</v>
      </c>
      <c r="M604" s="71" t="str">
        <f aca="false">IFERROR(IF(AND($J604&lt;10000,$L604&lt;200000),"Yes","No"),"Error")</f>
        <v>No</v>
      </c>
      <c r="P604" s="42" t="str">
        <f aca="false">IF($N604="SOLE",$J604,"")</f>
        <v/>
      </c>
      <c r="Q604" s="42" t="str">
        <f aca="false">IFERROR(IF($N604="Sole",0,IF(AND($N604="OTR",$R604=0),$J604-$P604,IF(AND($N604="OTR", $R604&gt;0), $J604-$P604-$Q604, ""))),"")</f>
        <v/>
      </c>
      <c r="R604" s="42" t="str">
        <f aca="false">IF($P604=$J604, "0","")</f>
        <v/>
      </c>
      <c r="S604" s="42" t="str">
        <f aca="false">IF(OR(ISBLANK($B604),ISBLANK($C604), ISBLANK($E604), ISBLANK($F604), AND(ISBLANK($G604),ISBLANK($H604)), ISBLANK($I604), ISBLANK($L604), AND(ISBLANK($N604), ISBLANK($O604)), AND(ISBLANK($P604), ISBLANK($Q604), ISBLANK($R604))), "No", "Yes")</f>
        <v>No</v>
      </c>
      <c r="T604" s="42" t="str">
        <f aca="false">SUBSTITUTE($U604," ","")</f>
        <v>88160R101</v>
      </c>
      <c r="U604" s="42" t="s">
        <v>777</v>
      </c>
      <c r="V604" s="39" t="n">
        <v>18700</v>
      </c>
    </row>
    <row r="605" customFormat="false" ht="15" hidden="false" customHeight="false" outlineLevel="0" collapsed="false">
      <c r="B605" s="70" t="s">
        <v>777</v>
      </c>
      <c r="C605" s="71" t="str">
        <f aca="false">IFERROR(INDEX('13F Data'!A:A,MATCH($B605,'13F Data'!A:A,0)),"No CUSIP Match")</f>
        <v>No CUSIP Match</v>
      </c>
      <c r="D605" s="71" t="str">
        <f aca="false">IFERROR(IF($B605=$C605,"Yes","No"),"No CUSIP Match")</f>
        <v>No</v>
      </c>
      <c r="E605" s="71"/>
      <c r="F605" s="71" t="str">
        <f aca="false">IFERROR(INDEX('13F Data'!C:C, MATCH($B605,'13F Data'!A:A,0)),"No CUSIP Match")</f>
        <v>No CUSIP Match</v>
      </c>
      <c r="G605" s="72" t="str">
        <f aca="false">IFERROR(INDEX('13F Data'!D:D,MATCH($B605,'13F Data'!A:A,0)),"No CUSIP Match")</f>
        <v>No CUSIP Match</v>
      </c>
      <c r="J605" s="73" t="n">
        <f aca="false">$V605</f>
        <v>18700</v>
      </c>
      <c r="K605" s="71" t="str">
        <f aca="false">IFERROR(INDEX('EOD Data'!G:G, MATCH($A605, 'EOD Data'!B:B,0)), "No TKR Match")</f>
        <v>No TKR Match</v>
      </c>
      <c r="L605" s="71" t="str">
        <f aca="false">IFERROR(ROUND($J605*$K605,0),"Error")</f>
        <v>Error</v>
      </c>
      <c r="M605" s="71" t="str">
        <f aca="false">IFERROR(IF(AND($J605&lt;10000,$L605&lt;200000),"Yes","No"),"Error")</f>
        <v>No</v>
      </c>
      <c r="P605" s="42" t="str">
        <f aca="false">IF($N605="SOLE",$J605,"")</f>
        <v/>
      </c>
      <c r="Q605" s="42" t="str">
        <f aca="false">IFERROR(IF($N605="Sole",0,IF(AND($N605="OTR",$R605=0),$J605-$P605,IF(AND($N605="OTR", $R605&gt;0), $J605-$P605-$Q605, ""))),"")</f>
        <v/>
      </c>
      <c r="R605" s="42" t="str">
        <f aca="false">IF($P605=$J605, "0","")</f>
        <v/>
      </c>
      <c r="S605" s="42" t="str">
        <f aca="false">IF(OR(ISBLANK($B605),ISBLANK($C605), ISBLANK($E605), ISBLANK($F605), AND(ISBLANK($G605),ISBLANK($H605)), ISBLANK($I605), ISBLANK($L605), AND(ISBLANK($N605), ISBLANK($O605)), AND(ISBLANK($P605), ISBLANK($Q605), ISBLANK($R605))), "No", "Yes")</f>
        <v>No</v>
      </c>
      <c r="T605" s="42" t="str">
        <f aca="false">SUBSTITUTE($U605," ","")</f>
        <v>88160R101</v>
      </c>
      <c r="U605" s="42" t="s">
        <v>777</v>
      </c>
      <c r="V605" s="39" t="n">
        <v>18700</v>
      </c>
    </row>
    <row r="606" customFormat="false" ht="15" hidden="false" customHeight="false" outlineLevel="0" collapsed="false">
      <c r="B606" s="70" t="s">
        <v>779</v>
      </c>
      <c r="C606" s="71" t="str">
        <f aca="false">IFERROR(INDEX('13F Data'!A:A,MATCH($B606,'13F Data'!A:A,0)),"No CUSIP Match")</f>
        <v>No CUSIP Match</v>
      </c>
      <c r="D606" s="71" t="str">
        <f aca="false">IFERROR(IF($B606=$C606,"Yes","No"),"No CUSIP Match")</f>
        <v>No</v>
      </c>
      <c r="E606" s="71"/>
      <c r="F606" s="71" t="str">
        <f aca="false">IFERROR(INDEX('13F Data'!C:C, MATCH($B606,'13F Data'!A:A,0)),"No CUSIP Match")</f>
        <v>No CUSIP Match</v>
      </c>
      <c r="G606" s="72" t="str">
        <f aca="false">IFERROR(INDEX('13F Data'!D:D,MATCH($B606,'13F Data'!A:A,0)),"No CUSIP Match")</f>
        <v>No CUSIP Match</v>
      </c>
      <c r="J606" s="73" t="n">
        <f aca="false">$V606</f>
        <v>9100</v>
      </c>
      <c r="K606" s="71" t="str">
        <f aca="false">IFERROR(INDEX('EOD Data'!G:G, MATCH($A606, 'EOD Data'!B:B,0)), "No TKR Match")</f>
        <v>No TKR Match</v>
      </c>
      <c r="L606" s="71" t="str">
        <f aca="false">IFERROR(ROUND($J606*$K606,0),"Error")</f>
        <v>Error</v>
      </c>
      <c r="M606" s="71" t="str">
        <f aca="false">IFERROR(IF(AND($J606&lt;10000,$L606&lt;200000),"Yes","No"),"Error")</f>
        <v>No</v>
      </c>
      <c r="P606" s="42" t="str">
        <f aca="false">IF($N606="SOLE",$J606,"")</f>
        <v/>
      </c>
      <c r="Q606" s="42" t="str">
        <f aca="false">IFERROR(IF($N606="Sole",0,IF(AND($N606="OTR",$R606=0),$J606-$P606,IF(AND($N606="OTR", $R606&gt;0), $J606-$P606-$Q606, ""))),"")</f>
        <v/>
      </c>
      <c r="R606" s="42" t="str">
        <f aca="false">IF($P606=$J606, "0","")</f>
        <v/>
      </c>
      <c r="S606" s="42" t="str">
        <f aca="false">IF(OR(ISBLANK($B606),ISBLANK($C606), ISBLANK($E606), ISBLANK($F606), AND(ISBLANK($G606),ISBLANK($H606)), ISBLANK($I606), ISBLANK($L606), AND(ISBLANK($N606), ISBLANK($O606)), AND(ISBLANK($P606), ISBLANK($Q606), ISBLANK($R606))), "No", "Yes")</f>
        <v>No</v>
      </c>
      <c r="T606" s="42" t="str">
        <f aca="false">SUBSTITUTE($U606," ","")</f>
        <v>88162G103</v>
      </c>
      <c r="U606" s="42" t="s">
        <v>779</v>
      </c>
      <c r="V606" s="39" t="n">
        <v>9100</v>
      </c>
    </row>
    <row r="607" customFormat="false" ht="15" hidden="false" customHeight="false" outlineLevel="0" collapsed="false">
      <c r="B607" s="70" t="s">
        <v>781</v>
      </c>
      <c r="C607" s="71" t="str">
        <f aca="false">IFERROR(INDEX('13F Data'!A:A,MATCH($B607,'13F Data'!A:A,0)),"No CUSIP Match")</f>
        <v>No CUSIP Match</v>
      </c>
      <c r="D607" s="71" t="str">
        <f aca="false">IFERROR(IF($B607=$C607,"Yes","No"),"No CUSIP Match")</f>
        <v>No</v>
      </c>
      <c r="E607" s="71"/>
      <c r="F607" s="71" t="str">
        <f aca="false">IFERROR(INDEX('13F Data'!C:C, MATCH($B607,'13F Data'!A:A,0)),"No CUSIP Match")</f>
        <v>No CUSIP Match</v>
      </c>
      <c r="G607" s="72" t="str">
        <f aca="false">IFERROR(INDEX('13F Data'!D:D,MATCH($B607,'13F Data'!A:A,0)),"No CUSIP Match")</f>
        <v>No CUSIP Match</v>
      </c>
      <c r="J607" s="73" t="n">
        <f aca="false">$V607</f>
        <v>8000</v>
      </c>
      <c r="K607" s="71" t="str">
        <f aca="false">IFERROR(INDEX('EOD Data'!G:G, MATCH($A607, 'EOD Data'!B:B,0)), "No TKR Match")</f>
        <v>No TKR Match</v>
      </c>
      <c r="L607" s="71" t="str">
        <f aca="false">IFERROR(ROUND($J607*$K607,0),"Error")</f>
        <v>Error</v>
      </c>
      <c r="M607" s="71" t="str">
        <f aca="false">IFERROR(IF(AND($J607&lt;10000,$L607&lt;200000),"Yes","No"),"Error")</f>
        <v>No</v>
      </c>
      <c r="P607" s="42" t="str">
        <f aca="false">IF($N607="SOLE",$J607,"")</f>
        <v/>
      </c>
      <c r="Q607" s="42" t="str">
        <f aca="false">IFERROR(IF($N607="Sole",0,IF(AND($N607="OTR",$R607=0),$J607-$P607,IF(AND($N607="OTR", $R607&gt;0), $J607-$P607-$Q607, ""))),"")</f>
        <v/>
      </c>
      <c r="R607" s="42" t="str">
        <f aca="false">IF($P607=$J607, "0","")</f>
        <v/>
      </c>
      <c r="S607" s="42" t="str">
        <f aca="false">IF(OR(ISBLANK($B607),ISBLANK($C607), ISBLANK($E607), ISBLANK($F607), AND(ISBLANK($G607),ISBLANK($H607)), ISBLANK($I607), ISBLANK($L607), AND(ISBLANK($N607), ISBLANK($O607)), AND(ISBLANK($P607), ISBLANK($Q607), ISBLANK($R607))), "No", "Yes")</f>
        <v>No</v>
      </c>
      <c r="T607" s="42" t="str">
        <f aca="false">SUBSTITUTE($U607," ","")</f>
        <v>882508104</v>
      </c>
      <c r="U607" s="42" t="s">
        <v>781</v>
      </c>
      <c r="V607" s="39" t="n">
        <v>8000</v>
      </c>
    </row>
    <row r="608" customFormat="false" ht="15" hidden="false" customHeight="false" outlineLevel="0" collapsed="false">
      <c r="B608" s="70" t="s">
        <v>781</v>
      </c>
      <c r="C608" s="71" t="str">
        <f aca="false">IFERROR(INDEX('13F Data'!A:A,MATCH($B608,'13F Data'!A:A,0)),"No CUSIP Match")</f>
        <v>No CUSIP Match</v>
      </c>
      <c r="D608" s="71" t="str">
        <f aca="false">IFERROR(IF($B608=$C608,"Yes","No"),"No CUSIP Match")</f>
        <v>No</v>
      </c>
      <c r="E608" s="71"/>
      <c r="F608" s="71" t="str">
        <f aca="false">IFERROR(INDEX('13F Data'!C:C, MATCH($B608,'13F Data'!A:A,0)),"No CUSIP Match")</f>
        <v>No CUSIP Match</v>
      </c>
      <c r="G608" s="72" t="str">
        <f aca="false">IFERROR(INDEX('13F Data'!D:D,MATCH($B608,'13F Data'!A:A,0)),"No CUSIP Match")</f>
        <v>No CUSIP Match</v>
      </c>
      <c r="J608" s="73" t="n">
        <f aca="false">$V608</f>
        <v>8000</v>
      </c>
      <c r="K608" s="71" t="str">
        <f aca="false">IFERROR(INDEX('EOD Data'!G:G, MATCH($A608, 'EOD Data'!B:B,0)), "No TKR Match")</f>
        <v>No TKR Match</v>
      </c>
      <c r="L608" s="71" t="str">
        <f aca="false">IFERROR(ROUND($J608*$K608,0),"Error")</f>
        <v>Error</v>
      </c>
      <c r="M608" s="71" t="str">
        <f aca="false">IFERROR(IF(AND($J608&lt;10000,$L608&lt;200000),"Yes","No"),"Error")</f>
        <v>No</v>
      </c>
      <c r="P608" s="42" t="str">
        <f aca="false">IF($N608="SOLE",$J608,"")</f>
        <v/>
      </c>
      <c r="Q608" s="42" t="str">
        <f aca="false">IFERROR(IF($N608="Sole",0,IF(AND($N608="OTR",$R608=0),$J608-$P608,IF(AND($N608="OTR", $R608&gt;0), $J608-$P608-$Q608, ""))),"")</f>
        <v/>
      </c>
      <c r="R608" s="42" t="str">
        <f aca="false">IF($P608=$J608, "0","")</f>
        <v/>
      </c>
      <c r="S608" s="42" t="str">
        <f aca="false">IF(OR(ISBLANK($B608),ISBLANK($C608), ISBLANK($E608), ISBLANK($F608), AND(ISBLANK($G608),ISBLANK($H608)), ISBLANK($I608), ISBLANK($L608), AND(ISBLANK($N608), ISBLANK($O608)), AND(ISBLANK($P608), ISBLANK($Q608), ISBLANK($R608))), "No", "Yes")</f>
        <v>No</v>
      </c>
      <c r="T608" s="42" t="str">
        <f aca="false">SUBSTITUTE($U608," ","")</f>
        <v>882508104</v>
      </c>
      <c r="U608" s="42" t="s">
        <v>781</v>
      </c>
      <c r="V608" s="39" t="n">
        <v>8000</v>
      </c>
    </row>
    <row r="609" customFormat="false" ht="15" hidden="false" customHeight="false" outlineLevel="0" collapsed="false">
      <c r="B609" s="70" t="s">
        <v>783</v>
      </c>
      <c r="C609" s="71" t="str">
        <f aca="false">IFERROR(INDEX('13F Data'!A:A,MATCH($B609,'13F Data'!A:A,0)),"No CUSIP Match")</f>
        <v>No CUSIP Match</v>
      </c>
      <c r="D609" s="71" t="str">
        <f aca="false">IFERROR(IF($B609=$C609,"Yes","No"),"No CUSIP Match")</f>
        <v>No</v>
      </c>
      <c r="E609" s="71"/>
      <c r="F609" s="71" t="str">
        <f aca="false">IFERROR(INDEX('13F Data'!C:C, MATCH($B609,'13F Data'!A:A,0)),"No CUSIP Match")</f>
        <v>No CUSIP Match</v>
      </c>
      <c r="G609" s="72" t="str">
        <f aca="false">IFERROR(INDEX('13F Data'!D:D,MATCH($B609,'13F Data'!A:A,0)),"No CUSIP Match")</f>
        <v>No CUSIP Match</v>
      </c>
      <c r="J609" s="73" t="n">
        <f aca="false">$V609</f>
        <v>7610</v>
      </c>
      <c r="K609" s="71" t="str">
        <f aca="false">IFERROR(INDEX('EOD Data'!G:G, MATCH($A609, 'EOD Data'!B:B,0)), "No TKR Match")</f>
        <v>No TKR Match</v>
      </c>
      <c r="L609" s="71" t="str">
        <f aca="false">IFERROR(ROUND($J609*$K609,0),"Error")</f>
        <v>Error</v>
      </c>
      <c r="M609" s="71" t="str">
        <f aca="false">IFERROR(IF(AND($J609&lt;10000,$L609&lt;200000),"Yes","No"),"Error")</f>
        <v>No</v>
      </c>
      <c r="P609" s="42" t="str">
        <f aca="false">IF($N609="SOLE",$J609,"")</f>
        <v/>
      </c>
      <c r="Q609" s="42" t="str">
        <f aca="false">IFERROR(IF($N609="Sole",0,IF(AND($N609="OTR",$R609=0),$J609-$P609,IF(AND($N609="OTR", $R609&gt;0), $J609-$P609-$Q609, ""))),"")</f>
        <v/>
      </c>
      <c r="R609" s="42" t="str">
        <f aca="false">IF($P609=$J609, "0","")</f>
        <v/>
      </c>
      <c r="S609" s="42" t="str">
        <f aca="false">IF(OR(ISBLANK($B609),ISBLANK($C609), ISBLANK($E609), ISBLANK($F609), AND(ISBLANK($G609),ISBLANK($H609)), ISBLANK($I609), ISBLANK($L609), AND(ISBLANK($N609), ISBLANK($O609)), AND(ISBLANK($P609), ISBLANK($Q609), ISBLANK($R609))), "No", "Yes")</f>
        <v>No</v>
      </c>
      <c r="T609" s="42" t="str">
        <f aca="false">SUBSTITUTE($U609," ","")</f>
        <v>882681109</v>
      </c>
      <c r="U609" s="42" t="s">
        <v>783</v>
      </c>
      <c r="V609" s="39" t="n">
        <v>7610</v>
      </c>
    </row>
    <row r="610" customFormat="false" ht="15" hidden="false" customHeight="false" outlineLevel="0" collapsed="false">
      <c r="B610" s="70" t="s">
        <v>785</v>
      </c>
      <c r="C610" s="71" t="str">
        <f aca="false">IFERROR(INDEX('13F Data'!A:A,MATCH($B610,'13F Data'!A:A,0)),"No CUSIP Match")</f>
        <v>No CUSIP Match</v>
      </c>
      <c r="D610" s="71" t="str">
        <f aca="false">IFERROR(IF($B610=$C610,"Yes","No"),"No CUSIP Match")</f>
        <v>No</v>
      </c>
      <c r="E610" s="71"/>
      <c r="F610" s="71" t="str">
        <f aca="false">IFERROR(INDEX('13F Data'!C:C, MATCH($B610,'13F Data'!A:A,0)),"No CUSIP Match")</f>
        <v>No CUSIP Match</v>
      </c>
      <c r="G610" s="72" t="str">
        <f aca="false">IFERROR(INDEX('13F Data'!D:D,MATCH($B610,'13F Data'!A:A,0)),"No CUSIP Match")</f>
        <v>No CUSIP Match</v>
      </c>
      <c r="J610" s="73" t="n">
        <f aca="false">$V610</f>
        <v>400</v>
      </c>
      <c r="K610" s="71" t="str">
        <f aca="false">IFERROR(INDEX('EOD Data'!G:G, MATCH($A610, 'EOD Data'!B:B,0)), "No TKR Match")</f>
        <v>No TKR Match</v>
      </c>
      <c r="L610" s="71" t="str">
        <f aca="false">IFERROR(ROUND($J610*$K610,0),"Error")</f>
        <v>Error</v>
      </c>
      <c r="M610" s="71" t="str">
        <f aca="false">IFERROR(IF(AND($J610&lt;10000,$L610&lt;200000),"Yes","No"),"Error")</f>
        <v>No</v>
      </c>
      <c r="P610" s="42" t="str">
        <f aca="false">IF($N610="SOLE",$J610,"")</f>
        <v/>
      </c>
      <c r="Q610" s="42" t="str">
        <f aca="false">IFERROR(IF($N610="Sole",0,IF(AND($N610="OTR",$R610=0),$J610-$P610,IF(AND($N610="OTR", $R610&gt;0), $J610-$P610-$Q610, ""))),"")</f>
        <v/>
      </c>
      <c r="R610" s="42" t="str">
        <f aca="false">IF($P610=$J610, "0","")</f>
        <v/>
      </c>
      <c r="S610" s="42" t="str">
        <f aca="false">IF(OR(ISBLANK($B610),ISBLANK($C610), ISBLANK($E610), ISBLANK($F610), AND(ISBLANK($G610),ISBLANK($H610)), ISBLANK($I610), ISBLANK($L610), AND(ISBLANK($N610), ISBLANK($O610)), AND(ISBLANK($P610), ISBLANK($Q610), ISBLANK($R610))), "No", "Yes")</f>
        <v>No</v>
      </c>
      <c r="T610" s="42" t="str">
        <f aca="false">SUBSTITUTE($U610," ","")</f>
        <v>883556102</v>
      </c>
      <c r="U610" s="42" t="s">
        <v>785</v>
      </c>
      <c r="V610" s="39" t="n">
        <v>400</v>
      </c>
    </row>
    <row r="611" customFormat="false" ht="15" hidden="false" customHeight="false" outlineLevel="0" collapsed="false">
      <c r="B611" s="70" t="s">
        <v>785</v>
      </c>
      <c r="C611" s="71" t="str">
        <f aca="false">IFERROR(INDEX('13F Data'!A:A,MATCH($B611,'13F Data'!A:A,0)),"No CUSIP Match")</f>
        <v>No CUSIP Match</v>
      </c>
      <c r="D611" s="71" t="str">
        <f aca="false">IFERROR(IF($B611=$C611,"Yes","No"),"No CUSIP Match")</f>
        <v>No</v>
      </c>
      <c r="E611" s="71"/>
      <c r="F611" s="71" t="str">
        <f aca="false">IFERROR(INDEX('13F Data'!C:C, MATCH($B611,'13F Data'!A:A,0)),"No CUSIP Match")</f>
        <v>No CUSIP Match</v>
      </c>
      <c r="G611" s="72" t="str">
        <f aca="false">IFERROR(INDEX('13F Data'!D:D,MATCH($B611,'13F Data'!A:A,0)),"No CUSIP Match")</f>
        <v>No CUSIP Match</v>
      </c>
      <c r="J611" s="73" t="n">
        <f aca="false">$V611</f>
        <v>400</v>
      </c>
      <c r="K611" s="71" t="str">
        <f aca="false">IFERROR(INDEX('EOD Data'!G:G, MATCH($A611, 'EOD Data'!B:B,0)), "No TKR Match")</f>
        <v>No TKR Match</v>
      </c>
      <c r="L611" s="71" t="str">
        <f aca="false">IFERROR(ROUND($J611*$K611,0),"Error")</f>
        <v>Error</v>
      </c>
      <c r="M611" s="71" t="str">
        <f aca="false">IFERROR(IF(AND($J611&lt;10000,$L611&lt;200000),"Yes","No"),"Error")</f>
        <v>No</v>
      </c>
      <c r="P611" s="42" t="str">
        <f aca="false">IF($N611="SOLE",$J611,"")</f>
        <v/>
      </c>
      <c r="Q611" s="42" t="str">
        <f aca="false">IFERROR(IF($N611="Sole",0,IF(AND($N611="OTR",$R611=0),$J611-$P611,IF(AND($N611="OTR", $R611&gt;0), $J611-$P611-$Q611, ""))),"")</f>
        <v/>
      </c>
      <c r="R611" s="42" t="str">
        <f aca="false">IF($P611=$J611, "0","")</f>
        <v/>
      </c>
      <c r="S611" s="42" t="str">
        <f aca="false">IF(OR(ISBLANK($B611),ISBLANK($C611), ISBLANK($E611), ISBLANK($F611), AND(ISBLANK($G611),ISBLANK($H611)), ISBLANK($I611), ISBLANK($L611), AND(ISBLANK($N611), ISBLANK($O611)), AND(ISBLANK($P611), ISBLANK($Q611), ISBLANK($R611))), "No", "Yes")</f>
        <v>No</v>
      </c>
      <c r="T611" s="42" t="str">
        <f aca="false">SUBSTITUTE($U611," ","")</f>
        <v>883556102</v>
      </c>
      <c r="U611" s="42" t="s">
        <v>785</v>
      </c>
      <c r="V611" s="39" t="n">
        <v>400</v>
      </c>
    </row>
    <row r="612" customFormat="false" ht="15" hidden="false" customHeight="false" outlineLevel="0" collapsed="false">
      <c r="B612" s="70" t="s">
        <v>787</v>
      </c>
      <c r="C612" s="71" t="str">
        <f aca="false">IFERROR(INDEX('13F Data'!A:A,MATCH($B612,'13F Data'!A:A,0)),"No CUSIP Match")</f>
        <v>No CUSIP Match</v>
      </c>
      <c r="D612" s="71" t="str">
        <f aca="false">IFERROR(IF($B612=$C612,"Yes","No"),"No CUSIP Match")</f>
        <v>No</v>
      </c>
      <c r="E612" s="71"/>
      <c r="F612" s="71" t="str">
        <f aca="false">IFERROR(INDEX('13F Data'!C:C, MATCH($B612,'13F Data'!A:A,0)),"No CUSIP Match")</f>
        <v>No CUSIP Match</v>
      </c>
      <c r="G612" s="72" t="str">
        <f aca="false">IFERROR(INDEX('13F Data'!D:D,MATCH($B612,'13F Data'!A:A,0)),"No CUSIP Match")</f>
        <v>No CUSIP Match</v>
      </c>
      <c r="J612" s="73" t="n">
        <f aca="false">$V612</f>
        <v>30300</v>
      </c>
      <c r="K612" s="71" t="str">
        <f aca="false">IFERROR(INDEX('EOD Data'!G:G, MATCH($A612, 'EOD Data'!B:B,0)), "No TKR Match")</f>
        <v>No TKR Match</v>
      </c>
      <c r="L612" s="71" t="str">
        <f aca="false">IFERROR(ROUND($J612*$K612,0),"Error")</f>
        <v>Error</v>
      </c>
      <c r="M612" s="71" t="str">
        <f aca="false">IFERROR(IF(AND($J612&lt;10000,$L612&lt;200000),"Yes","No"),"Error")</f>
        <v>No</v>
      </c>
      <c r="P612" s="42" t="str">
        <f aca="false">IF($N612="SOLE",$J612,"")</f>
        <v/>
      </c>
      <c r="Q612" s="42" t="str">
        <f aca="false">IFERROR(IF($N612="Sole",0,IF(AND($N612="OTR",$R612=0),$J612-$P612,IF(AND($N612="OTR", $R612&gt;0), $J612-$P612-$Q612, ""))),"")</f>
        <v/>
      </c>
      <c r="R612" s="42" t="str">
        <f aca="false">IF($P612=$J612, "0","")</f>
        <v/>
      </c>
      <c r="S612" s="42" t="str">
        <f aca="false">IF(OR(ISBLANK($B612),ISBLANK($C612), ISBLANK($E612), ISBLANK($F612), AND(ISBLANK($G612),ISBLANK($H612)), ISBLANK($I612), ISBLANK($L612), AND(ISBLANK($N612), ISBLANK($O612)), AND(ISBLANK($P612), ISBLANK($Q612), ISBLANK($R612))), "No", "Yes")</f>
        <v>No</v>
      </c>
      <c r="T612" s="42" t="str">
        <f aca="false">SUBSTITUTE($U612," ","")</f>
        <v>872540109</v>
      </c>
      <c r="U612" s="42" t="s">
        <v>787</v>
      </c>
      <c r="V612" s="39" t="n">
        <v>30300</v>
      </c>
    </row>
    <row r="613" customFormat="false" ht="15" hidden="false" customHeight="false" outlineLevel="0" collapsed="false">
      <c r="B613" s="70" t="s">
        <v>787</v>
      </c>
      <c r="C613" s="71" t="str">
        <f aca="false">IFERROR(INDEX('13F Data'!A:A,MATCH($B613,'13F Data'!A:A,0)),"No CUSIP Match")</f>
        <v>No CUSIP Match</v>
      </c>
      <c r="D613" s="71" t="str">
        <f aca="false">IFERROR(IF($B613=$C613,"Yes","No"),"No CUSIP Match")</f>
        <v>No</v>
      </c>
      <c r="E613" s="71"/>
      <c r="F613" s="71" t="str">
        <f aca="false">IFERROR(INDEX('13F Data'!C:C, MATCH($B613,'13F Data'!A:A,0)),"No CUSIP Match")</f>
        <v>No CUSIP Match</v>
      </c>
      <c r="G613" s="72" t="str">
        <f aca="false">IFERROR(INDEX('13F Data'!D:D,MATCH($B613,'13F Data'!A:A,0)),"No CUSIP Match")</f>
        <v>No CUSIP Match</v>
      </c>
      <c r="J613" s="73" t="n">
        <f aca="false">$V613</f>
        <v>30300</v>
      </c>
      <c r="K613" s="71" t="str">
        <f aca="false">IFERROR(INDEX('EOD Data'!G:G, MATCH($A613, 'EOD Data'!B:B,0)), "No TKR Match")</f>
        <v>No TKR Match</v>
      </c>
      <c r="L613" s="71" t="str">
        <f aca="false">IFERROR(ROUND($J613*$K613,0),"Error")</f>
        <v>Error</v>
      </c>
      <c r="M613" s="71" t="str">
        <f aca="false">IFERROR(IF(AND($J613&lt;10000,$L613&lt;200000),"Yes","No"),"Error")</f>
        <v>No</v>
      </c>
      <c r="P613" s="42" t="str">
        <f aca="false">IF($N613="SOLE",$J613,"")</f>
        <v/>
      </c>
      <c r="Q613" s="42" t="str">
        <f aca="false">IFERROR(IF($N613="Sole",0,IF(AND($N613="OTR",$R613=0),$J613-$P613,IF(AND($N613="OTR", $R613&gt;0), $J613-$P613-$Q613, ""))),"")</f>
        <v/>
      </c>
      <c r="R613" s="42" t="str">
        <f aca="false">IF($P613=$J613, "0","")</f>
        <v/>
      </c>
      <c r="S613" s="42" t="str">
        <f aca="false">IF(OR(ISBLANK($B613),ISBLANK($C613), ISBLANK($E613), ISBLANK($F613), AND(ISBLANK($G613),ISBLANK($H613)), ISBLANK($I613), ISBLANK($L613), AND(ISBLANK($N613), ISBLANK($O613)), AND(ISBLANK($P613), ISBLANK($Q613), ISBLANK($R613))), "No", "Yes")</f>
        <v>No</v>
      </c>
      <c r="T613" s="42" t="str">
        <f aca="false">SUBSTITUTE($U613," ","")</f>
        <v>872540109</v>
      </c>
      <c r="U613" s="42" t="s">
        <v>787</v>
      </c>
      <c r="V613" s="39" t="n">
        <v>30300</v>
      </c>
    </row>
    <row r="614" customFormat="false" ht="15" hidden="false" customHeight="false" outlineLevel="0" collapsed="false">
      <c r="B614" s="70" t="s">
        <v>789</v>
      </c>
      <c r="C614" s="71" t="str">
        <f aca="false">IFERROR(INDEX('13F Data'!A:A,MATCH($B614,'13F Data'!A:A,0)),"No CUSIP Match")</f>
        <v>No CUSIP Match</v>
      </c>
      <c r="D614" s="71" t="str">
        <f aca="false">IFERROR(IF($B614=$C614,"Yes","No"),"No CUSIP Match")</f>
        <v>No</v>
      </c>
      <c r="E614" s="71"/>
      <c r="F614" s="71" t="str">
        <f aca="false">IFERROR(INDEX('13F Data'!C:C, MATCH($B614,'13F Data'!A:A,0)),"No CUSIP Match")</f>
        <v>No CUSIP Match</v>
      </c>
      <c r="G614" s="72" t="str">
        <f aca="false">IFERROR(INDEX('13F Data'!D:D,MATCH($B614,'13F Data'!A:A,0)),"No CUSIP Match")</f>
        <v>No CUSIP Match</v>
      </c>
      <c r="J614" s="73" t="n">
        <f aca="false">$V614</f>
        <v>3900</v>
      </c>
      <c r="K614" s="71" t="str">
        <f aca="false">IFERROR(INDEX('EOD Data'!G:G, MATCH($A614, 'EOD Data'!B:B,0)), "No TKR Match")</f>
        <v>No TKR Match</v>
      </c>
      <c r="L614" s="71" t="str">
        <f aca="false">IFERROR(ROUND($J614*$K614,0),"Error")</f>
        <v>Error</v>
      </c>
      <c r="M614" s="71" t="str">
        <f aca="false">IFERROR(IF(AND($J614&lt;10000,$L614&lt;200000),"Yes","No"),"Error")</f>
        <v>No</v>
      </c>
      <c r="P614" s="42" t="str">
        <f aca="false">IF($N614="SOLE",$J614,"")</f>
        <v/>
      </c>
      <c r="Q614" s="42" t="str">
        <f aca="false">IFERROR(IF($N614="Sole",0,IF(AND($N614="OTR",$R614=0),$J614-$P614,IF(AND($N614="OTR", $R614&gt;0), $J614-$P614-$Q614, ""))),"")</f>
        <v/>
      </c>
      <c r="R614" s="42" t="str">
        <f aca="false">IF($P614=$J614, "0","")</f>
        <v/>
      </c>
      <c r="S614" s="42" t="str">
        <f aca="false">IF(OR(ISBLANK($B614),ISBLANK($C614), ISBLANK($E614), ISBLANK($F614), AND(ISBLANK($G614),ISBLANK($H614)), ISBLANK($I614), ISBLANK($L614), AND(ISBLANK($N614), ISBLANK($O614)), AND(ISBLANK($P614), ISBLANK($Q614), ISBLANK($R614))), "No", "Yes")</f>
        <v>No</v>
      </c>
      <c r="T614" s="42" t="str">
        <f aca="false">SUBSTITUTE($U614," ","")</f>
        <v>872590104</v>
      </c>
      <c r="U614" s="42" t="s">
        <v>789</v>
      </c>
      <c r="V614" s="39" t="n">
        <v>3900</v>
      </c>
    </row>
    <row r="615" customFormat="false" ht="15" hidden="false" customHeight="false" outlineLevel="0" collapsed="false">
      <c r="B615" s="70" t="s">
        <v>789</v>
      </c>
      <c r="C615" s="71" t="str">
        <f aca="false">IFERROR(INDEX('13F Data'!A:A,MATCH($B615,'13F Data'!A:A,0)),"No CUSIP Match")</f>
        <v>No CUSIP Match</v>
      </c>
      <c r="D615" s="71" t="str">
        <f aca="false">IFERROR(IF($B615=$C615,"Yes","No"),"No CUSIP Match")</f>
        <v>No</v>
      </c>
      <c r="E615" s="71"/>
      <c r="F615" s="71" t="str">
        <f aca="false">IFERROR(INDEX('13F Data'!C:C, MATCH($B615,'13F Data'!A:A,0)),"No CUSIP Match")</f>
        <v>No CUSIP Match</v>
      </c>
      <c r="G615" s="72" t="str">
        <f aca="false">IFERROR(INDEX('13F Data'!D:D,MATCH($B615,'13F Data'!A:A,0)),"No CUSIP Match")</f>
        <v>No CUSIP Match</v>
      </c>
      <c r="J615" s="73" t="n">
        <f aca="false">$V615</f>
        <v>3900</v>
      </c>
      <c r="K615" s="71" t="str">
        <f aca="false">IFERROR(INDEX('EOD Data'!G:G, MATCH($A615, 'EOD Data'!B:B,0)), "No TKR Match")</f>
        <v>No TKR Match</v>
      </c>
      <c r="L615" s="71" t="str">
        <f aca="false">IFERROR(ROUND($J615*$K615,0),"Error")</f>
        <v>Error</v>
      </c>
      <c r="M615" s="71" t="str">
        <f aca="false">IFERROR(IF(AND($J615&lt;10000,$L615&lt;200000),"Yes","No"),"Error")</f>
        <v>No</v>
      </c>
      <c r="P615" s="42" t="str">
        <f aca="false">IF($N615="SOLE",$J615,"")</f>
        <v/>
      </c>
      <c r="Q615" s="42" t="str">
        <f aca="false">IFERROR(IF($N615="Sole",0,IF(AND($N615="OTR",$R615=0),$J615-$P615,IF(AND($N615="OTR", $R615&gt;0), $J615-$P615-$Q615, ""))),"")</f>
        <v/>
      </c>
      <c r="R615" s="42" t="str">
        <f aca="false">IF($P615=$J615, "0","")</f>
        <v/>
      </c>
      <c r="S615" s="42" t="str">
        <f aca="false">IF(OR(ISBLANK($B615),ISBLANK($C615), ISBLANK($E615), ISBLANK($F615), AND(ISBLANK($G615),ISBLANK($H615)), ISBLANK($I615), ISBLANK($L615), AND(ISBLANK($N615), ISBLANK($O615)), AND(ISBLANK($P615), ISBLANK($Q615), ISBLANK($R615))), "No", "Yes")</f>
        <v>No</v>
      </c>
      <c r="T615" s="42" t="str">
        <f aca="false">SUBSTITUTE($U615," ","")</f>
        <v>872590104</v>
      </c>
      <c r="U615" s="42" t="s">
        <v>789</v>
      </c>
      <c r="V615" s="39" t="n">
        <v>3900</v>
      </c>
    </row>
    <row r="616" customFormat="false" ht="15" hidden="false" customHeight="false" outlineLevel="0" collapsed="false">
      <c r="B616" s="70" t="s">
        <v>791</v>
      </c>
      <c r="C616" s="71" t="str">
        <f aca="false">IFERROR(INDEX('13F Data'!A:A,MATCH($B616,'13F Data'!A:A,0)),"No CUSIP Match")</f>
        <v>No CUSIP Match</v>
      </c>
      <c r="D616" s="71" t="str">
        <f aca="false">IFERROR(IF($B616=$C616,"Yes","No"),"No CUSIP Match")</f>
        <v>No</v>
      </c>
      <c r="E616" s="71"/>
      <c r="F616" s="71" t="str">
        <f aca="false">IFERROR(INDEX('13F Data'!C:C, MATCH($B616,'13F Data'!A:A,0)),"No CUSIP Match")</f>
        <v>No CUSIP Match</v>
      </c>
      <c r="G616" s="72" t="str">
        <f aca="false">IFERROR(INDEX('13F Data'!D:D,MATCH($B616,'13F Data'!A:A,0)),"No CUSIP Match")</f>
        <v>No CUSIP Match</v>
      </c>
      <c r="J616" s="73" t="n">
        <f aca="false">$V616</f>
        <v>11000000</v>
      </c>
      <c r="K616" s="71" t="str">
        <f aca="false">IFERROR(INDEX('EOD Data'!G:G, MATCH($A616, 'EOD Data'!B:B,0)), "No TKR Match")</f>
        <v>No TKR Match</v>
      </c>
      <c r="L616" s="71" t="str">
        <f aca="false">IFERROR(ROUND($J616*$K616,0),"Error")</f>
        <v>Error</v>
      </c>
      <c r="M616" s="71" t="str">
        <f aca="false">IFERROR(IF(AND($J616&lt;10000,$L616&lt;200000),"Yes","No"),"Error")</f>
        <v>No</v>
      </c>
      <c r="P616" s="42" t="str">
        <f aca="false">IF($N616="SOLE",$J616,"")</f>
        <v/>
      </c>
      <c r="Q616" s="42" t="str">
        <f aca="false">IFERROR(IF($N616="Sole",0,IF(AND($N616="OTR",$R616=0),$J616-$P616,IF(AND($N616="OTR", $R616&gt;0), $J616-$P616-$Q616, ""))),"")</f>
        <v/>
      </c>
      <c r="R616" s="42" t="str">
        <f aca="false">IF($P616=$J616, "0","")</f>
        <v/>
      </c>
      <c r="S616" s="42" t="str">
        <f aca="false">IF(OR(ISBLANK($B616),ISBLANK($C616), ISBLANK($E616), ISBLANK($F616), AND(ISBLANK($G616),ISBLANK($H616)), ISBLANK($I616), ISBLANK($L616), AND(ISBLANK($N616), ISBLANK($O616)), AND(ISBLANK($P616), ISBLANK($Q616), ISBLANK($R616))), "No", "Yes")</f>
        <v>No</v>
      </c>
      <c r="T616" s="42" t="str">
        <f aca="false">SUBSTITUTE($U616," ","")</f>
        <v>87266JAA2</v>
      </c>
      <c r="U616" s="42" t="s">
        <v>791</v>
      </c>
      <c r="V616" s="39" t="n">
        <v>11000000</v>
      </c>
    </row>
    <row r="617" customFormat="false" ht="15" hidden="false" customHeight="false" outlineLevel="0" collapsed="false">
      <c r="B617" s="70" t="s">
        <v>793</v>
      </c>
      <c r="C617" s="71" t="str">
        <f aca="false">IFERROR(INDEX('13F Data'!A:A,MATCH($B617,'13F Data'!A:A,0)),"No CUSIP Match")</f>
        <v>No CUSIP Match</v>
      </c>
      <c r="D617" s="71" t="str">
        <f aca="false">IFERROR(IF($B617=$C617,"Yes","No"),"No CUSIP Match")</f>
        <v>No</v>
      </c>
      <c r="E617" s="71"/>
      <c r="F617" s="71" t="str">
        <f aca="false">IFERROR(INDEX('13F Data'!C:C, MATCH($B617,'13F Data'!A:A,0)),"No CUSIP Match")</f>
        <v>No CUSIP Match</v>
      </c>
      <c r="G617" s="72" t="str">
        <f aca="false">IFERROR(INDEX('13F Data'!D:D,MATCH($B617,'13F Data'!A:A,0)),"No CUSIP Match")</f>
        <v>No CUSIP Match</v>
      </c>
      <c r="J617" s="73" t="n">
        <f aca="false">$V617</f>
        <v>354</v>
      </c>
      <c r="K617" s="71" t="str">
        <f aca="false">IFERROR(INDEX('EOD Data'!G:G, MATCH($A617, 'EOD Data'!B:B,0)), "No TKR Match")</f>
        <v>No TKR Match</v>
      </c>
      <c r="L617" s="71" t="str">
        <f aca="false">IFERROR(ROUND($J617*$K617,0),"Error")</f>
        <v>Error</v>
      </c>
      <c r="M617" s="71" t="str">
        <f aca="false">IFERROR(IF(AND($J617&lt;10000,$L617&lt;200000),"Yes","No"),"Error")</f>
        <v>No</v>
      </c>
      <c r="P617" s="42" t="str">
        <f aca="false">IF($N617="SOLE",$J617,"")</f>
        <v/>
      </c>
      <c r="Q617" s="42" t="str">
        <f aca="false">IFERROR(IF($N617="Sole",0,IF(AND($N617="OTR",$R617=0),$J617-$P617,IF(AND($N617="OTR", $R617&gt;0), $J617-$P617-$Q617, ""))),"")</f>
        <v/>
      </c>
      <c r="R617" s="42" t="str">
        <f aca="false">IF($P617=$J617, "0","")</f>
        <v/>
      </c>
      <c r="S617" s="42" t="str">
        <f aca="false">IF(OR(ISBLANK($B617),ISBLANK($C617), ISBLANK($E617), ISBLANK($F617), AND(ISBLANK($G617),ISBLANK($H617)), ISBLANK($I617), ISBLANK($L617), AND(ISBLANK($N617), ISBLANK($O617)), AND(ISBLANK($P617), ISBLANK($Q617), ISBLANK($R617))), "No", "Yes")</f>
        <v>No</v>
      </c>
      <c r="T617" s="42" t="str">
        <f aca="false">SUBSTITUTE($U617," ","")</f>
        <v>892356106</v>
      </c>
      <c r="U617" s="42" t="s">
        <v>793</v>
      </c>
      <c r="V617" s="39" t="n">
        <v>354</v>
      </c>
    </row>
    <row r="618" customFormat="false" ht="15" hidden="false" customHeight="false" outlineLevel="0" collapsed="false">
      <c r="B618" s="70" t="s">
        <v>793</v>
      </c>
      <c r="C618" s="71" t="str">
        <f aca="false">IFERROR(INDEX('13F Data'!A:A,MATCH($B618,'13F Data'!A:A,0)),"No CUSIP Match")</f>
        <v>No CUSIP Match</v>
      </c>
      <c r="D618" s="71" t="str">
        <f aca="false">IFERROR(IF($B618=$C618,"Yes","No"),"No CUSIP Match")</f>
        <v>No</v>
      </c>
      <c r="E618" s="71"/>
      <c r="F618" s="71" t="str">
        <f aca="false">IFERROR(INDEX('13F Data'!C:C, MATCH($B618,'13F Data'!A:A,0)),"No CUSIP Match")</f>
        <v>No CUSIP Match</v>
      </c>
      <c r="G618" s="72" t="str">
        <f aca="false">IFERROR(INDEX('13F Data'!D:D,MATCH($B618,'13F Data'!A:A,0)),"No CUSIP Match")</f>
        <v>No CUSIP Match</v>
      </c>
      <c r="J618" s="73" t="n">
        <f aca="false">$V618</f>
        <v>2200</v>
      </c>
      <c r="K618" s="71" t="str">
        <f aca="false">IFERROR(INDEX('EOD Data'!G:G, MATCH($A618, 'EOD Data'!B:B,0)), "No TKR Match")</f>
        <v>No TKR Match</v>
      </c>
      <c r="L618" s="71" t="str">
        <f aca="false">IFERROR(ROUND($J618*$K618,0),"Error")</f>
        <v>Error</v>
      </c>
      <c r="M618" s="71" t="str">
        <f aca="false">IFERROR(IF(AND($J618&lt;10000,$L618&lt;200000),"Yes","No"),"Error")</f>
        <v>No</v>
      </c>
      <c r="P618" s="42" t="str">
        <f aca="false">IF($N618="SOLE",$J618,"")</f>
        <v/>
      </c>
      <c r="Q618" s="42" t="str">
        <f aca="false">IFERROR(IF($N618="Sole",0,IF(AND($N618="OTR",$R618=0),$J618-$P618,IF(AND($N618="OTR", $R618&gt;0), $J618-$P618-$Q618, ""))),"")</f>
        <v/>
      </c>
      <c r="R618" s="42" t="str">
        <f aca="false">IF($P618=$J618, "0","")</f>
        <v/>
      </c>
      <c r="S618" s="42" t="str">
        <f aca="false">IF(OR(ISBLANK($B618),ISBLANK($C618), ISBLANK($E618), ISBLANK($F618), AND(ISBLANK($G618),ISBLANK($H618)), ISBLANK($I618), ISBLANK($L618), AND(ISBLANK($N618), ISBLANK($O618)), AND(ISBLANK($P618), ISBLANK($Q618), ISBLANK($R618))), "No", "Yes")</f>
        <v>No</v>
      </c>
      <c r="T618" s="42" t="str">
        <f aca="false">SUBSTITUTE($U618," ","")</f>
        <v>892356106</v>
      </c>
      <c r="U618" s="42" t="s">
        <v>793</v>
      </c>
      <c r="V618" s="39" t="n">
        <v>2200</v>
      </c>
    </row>
    <row r="619" customFormat="false" ht="15" hidden="false" customHeight="false" outlineLevel="0" collapsed="false">
      <c r="B619" s="70" t="s">
        <v>793</v>
      </c>
      <c r="C619" s="71" t="str">
        <f aca="false">IFERROR(INDEX('13F Data'!A:A,MATCH($B619,'13F Data'!A:A,0)),"No CUSIP Match")</f>
        <v>No CUSIP Match</v>
      </c>
      <c r="D619" s="71" t="str">
        <f aca="false">IFERROR(IF($B619=$C619,"Yes","No"),"No CUSIP Match")</f>
        <v>No</v>
      </c>
      <c r="E619" s="71"/>
      <c r="F619" s="71" t="str">
        <f aca="false">IFERROR(INDEX('13F Data'!C:C, MATCH($B619,'13F Data'!A:A,0)),"No CUSIP Match")</f>
        <v>No CUSIP Match</v>
      </c>
      <c r="G619" s="72" t="str">
        <f aca="false">IFERROR(INDEX('13F Data'!D:D,MATCH($B619,'13F Data'!A:A,0)),"No CUSIP Match")</f>
        <v>No CUSIP Match</v>
      </c>
      <c r="J619" s="73" t="n">
        <f aca="false">$V619</f>
        <v>2200</v>
      </c>
      <c r="K619" s="71" t="str">
        <f aca="false">IFERROR(INDEX('EOD Data'!G:G, MATCH($A619, 'EOD Data'!B:B,0)), "No TKR Match")</f>
        <v>No TKR Match</v>
      </c>
      <c r="L619" s="71" t="str">
        <f aca="false">IFERROR(ROUND($J619*$K619,0),"Error")</f>
        <v>Error</v>
      </c>
      <c r="M619" s="71" t="str">
        <f aca="false">IFERROR(IF(AND($J619&lt;10000,$L619&lt;200000),"Yes","No"),"Error")</f>
        <v>No</v>
      </c>
      <c r="P619" s="42" t="str">
        <f aca="false">IF($N619="SOLE",$J619,"")</f>
        <v/>
      </c>
      <c r="Q619" s="42" t="str">
        <f aca="false">IFERROR(IF($N619="Sole",0,IF(AND($N619="OTR",$R619=0),$J619-$P619,IF(AND($N619="OTR", $R619&gt;0), $J619-$P619-$Q619, ""))),"")</f>
        <v/>
      </c>
      <c r="R619" s="42" t="str">
        <f aca="false">IF($P619=$J619, "0","")</f>
        <v/>
      </c>
      <c r="S619" s="42" t="str">
        <f aca="false">IF(OR(ISBLANK($B619),ISBLANK($C619), ISBLANK($E619), ISBLANK($F619), AND(ISBLANK($G619),ISBLANK($H619)), ISBLANK($I619), ISBLANK($L619), AND(ISBLANK($N619), ISBLANK($O619)), AND(ISBLANK($P619), ISBLANK($Q619), ISBLANK($R619))), "No", "Yes")</f>
        <v>No</v>
      </c>
      <c r="T619" s="42" t="str">
        <f aca="false">SUBSTITUTE($U619," ","")</f>
        <v>892356106</v>
      </c>
      <c r="U619" s="42" t="s">
        <v>793</v>
      </c>
      <c r="V619" s="39" t="n">
        <v>2200</v>
      </c>
    </row>
    <row r="620" customFormat="false" ht="15" hidden="false" customHeight="false" outlineLevel="0" collapsed="false">
      <c r="B620" s="70" t="s">
        <v>795</v>
      </c>
      <c r="C620" s="71" t="str">
        <f aca="false">IFERROR(INDEX('13F Data'!A:A,MATCH($B620,'13F Data'!A:A,0)),"No CUSIP Match")</f>
        <v>No CUSIP Match</v>
      </c>
      <c r="D620" s="71" t="str">
        <f aca="false">IFERROR(IF($B620=$C620,"Yes","No"),"No CUSIP Match")</f>
        <v>No</v>
      </c>
      <c r="E620" s="71"/>
      <c r="F620" s="71" t="str">
        <f aca="false">IFERROR(INDEX('13F Data'!C:C, MATCH($B620,'13F Data'!A:A,0)),"No CUSIP Match")</f>
        <v>No CUSIP Match</v>
      </c>
      <c r="G620" s="72" t="str">
        <f aca="false">IFERROR(INDEX('13F Data'!D:D,MATCH($B620,'13F Data'!A:A,0)),"No CUSIP Match")</f>
        <v>No CUSIP Match</v>
      </c>
      <c r="J620" s="73" t="n">
        <f aca="false">$V620</f>
        <v>46500000</v>
      </c>
      <c r="K620" s="71" t="str">
        <f aca="false">IFERROR(INDEX('EOD Data'!G:G, MATCH($A620, 'EOD Data'!B:B,0)), "No TKR Match")</f>
        <v>No TKR Match</v>
      </c>
      <c r="L620" s="71" t="str">
        <f aca="false">IFERROR(ROUND($J620*$K620,0),"Error")</f>
        <v>Error</v>
      </c>
      <c r="M620" s="71" t="str">
        <f aca="false">IFERROR(IF(AND($J620&lt;10000,$L620&lt;200000),"Yes","No"),"Error")</f>
        <v>No</v>
      </c>
      <c r="P620" s="42" t="str">
        <f aca="false">IF($N620="SOLE",$J620,"")</f>
        <v/>
      </c>
      <c r="Q620" s="42" t="str">
        <f aca="false">IFERROR(IF($N620="Sole",0,IF(AND($N620="OTR",$R620=0),$J620-$P620,IF(AND($N620="OTR", $R620&gt;0), $J620-$P620-$Q620, ""))),"")</f>
        <v/>
      </c>
      <c r="R620" s="42" t="str">
        <f aca="false">IF($P620=$J620, "0","")</f>
        <v/>
      </c>
      <c r="S620" s="42" t="str">
        <f aca="false">IF(OR(ISBLANK($B620),ISBLANK($C620), ISBLANK($E620), ISBLANK($F620), AND(ISBLANK($G620),ISBLANK($H620)), ISBLANK($I620), ISBLANK($L620), AND(ISBLANK($N620), ISBLANK($O620)), AND(ISBLANK($P620), ISBLANK($Q620), ISBLANK($R620))), "No", "Yes")</f>
        <v>No</v>
      </c>
      <c r="T620" s="42" t="str">
        <f aca="false">SUBSTITUTE($U620," ","")</f>
        <v>89377MAA7</v>
      </c>
      <c r="U620" s="42" t="s">
        <v>795</v>
      </c>
      <c r="V620" s="39" t="n">
        <v>46500000</v>
      </c>
    </row>
    <row r="621" customFormat="false" ht="15" hidden="false" customHeight="false" outlineLevel="0" collapsed="false">
      <c r="B621" s="70" t="s">
        <v>797</v>
      </c>
      <c r="C621" s="71" t="str">
        <f aca="false">IFERROR(INDEX('13F Data'!A:A,MATCH($B621,'13F Data'!A:A,0)),"No CUSIP Match")</f>
        <v>No CUSIP Match</v>
      </c>
      <c r="D621" s="71" t="str">
        <f aca="false">IFERROR(IF($B621=$C621,"Yes","No"),"No CUSIP Match")</f>
        <v>No</v>
      </c>
      <c r="E621" s="71"/>
      <c r="F621" s="71" t="str">
        <f aca="false">IFERROR(INDEX('13F Data'!C:C, MATCH($B621,'13F Data'!A:A,0)),"No CUSIP Match")</f>
        <v>No CUSIP Match</v>
      </c>
      <c r="G621" s="72" t="str">
        <f aca="false">IFERROR(INDEX('13F Data'!D:D,MATCH($B621,'13F Data'!A:A,0)),"No CUSIP Match")</f>
        <v>No CUSIP Match</v>
      </c>
      <c r="J621" s="73" t="n">
        <f aca="false">$V621</f>
        <v>25473</v>
      </c>
      <c r="K621" s="71" t="str">
        <f aca="false">IFERROR(INDEX('EOD Data'!G:G, MATCH($A621, 'EOD Data'!B:B,0)), "No TKR Match")</f>
        <v>No TKR Match</v>
      </c>
      <c r="L621" s="71" t="str">
        <f aca="false">IFERROR(ROUND($J621*$K621,0),"Error")</f>
        <v>Error</v>
      </c>
      <c r="M621" s="71" t="str">
        <f aca="false">IFERROR(IF(AND($J621&lt;10000,$L621&lt;200000),"Yes","No"),"Error")</f>
        <v>No</v>
      </c>
      <c r="P621" s="42" t="str">
        <f aca="false">IF($N621="SOLE",$J621,"")</f>
        <v/>
      </c>
      <c r="Q621" s="42" t="str">
        <f aca="false">IFERROR(IF($N621="Sole",0,IF(AND($N621="OTR",$R621=0),$J621-$P621,IF(AND($N621="OTR", $R621&gt;0), $J621-$P621-$Q621, ""))),"")</f>
        <v/>
      </c>
      <c r="R621" s="42" t="str">
        <f aca="false">IF($P621=$J621, "0","")</f>
        <v/>
      </c>
      <c r="S621" s="42" t="str">
        <f aca="false">IF(OR(ISBLANK($B621),ISBLANK($C621), ISBLANK($E621), ISBLANK($F621), AND(ISBLANK($G621),ISBLANK($H621)), ISBLANK($I621), ISBLANK($L621), AND(ISBLANK($N621), ISBLANK($O621)), AND(ISBLANK($P621), ISBLANK($Q621), ISBLANK($R621))), "No", "Yes")</f>
        <v>No</v>
      </c>
      <c r="T621" s="42" t="str">
        <f aca="false">SUBSTITUTE($U621," ","")</f>
        <v>894164102</v>
      </c>
      <c r="U621" s="42" t="s">
        <v>797</v>
      </c>
      <c r="V621" s="39" t="n">
        <v>25473</v>
      </c>
    </row>
    <row r="622" customFormat="false" ht="15" hidden="false" customHeight="false" outlineLevel="0" collapsed="false">
      <c r="B622" s="70" t="s">
        <v>799</v>
      </c>
      <c r="C622" s="71" t="str">
        <f aca="false">IFERROR(INDEX('13F Data'!A:A,MATCH($B622,'13F Data'!A:A,0)),"No CUSIP Match")</f>
        <v>No CUSIP Match</v>
      </c>
      <c r="D622" s="71" t="str">
        <f aca="false">IFERROR(IF($B622=$C622,"Yes","No"),"No CUSIP Match")</f>
        <v>No</v>
      </c>
      <c r="E622" s="71"/>
      <c r="F622" s="71" t="str">
        <f aca="false">IFERROR(INDEX('13F Data'!C:C, MATCH($B622,'13F Data'!A:A,0)),"No CUSIP Match")</f>
        <v>No CUSIP Match</v>
      </c>
      <c r="G622" s="72" t="str">
        <f aca="false">IFERROR(INDEX('13F Data'!D:D,MATCH($B622,'13F Data'!A:A,0)),"No CUSIP Match")</f>
        <v>No CUSIP Match</v>
      </c>
      <c r="J622" s="73" t="n">
        <f aca="false">$V622</f>
        <v>3000000</v>
      </c>
      <c r="K622" s="71" t="str">
        <f aca="false">IFERROR(INDEX('EOD Data'!G:G, MATCH($A622, 'EOD Data'!B:B,0)), "No TKR Match")</f>
        <v>No TKR Match</v>
      </c>
      <c r="L622" s="71" t="str">
        <f aca="false">IFERROR(ROUND($J622*$K622,0),"Error")</f>
        <v>Error</v>
      </c>
      <c r="M622" s="71" t="str">
        <f aca="false">IFERROR(IF(AND($J622&lt;10000,$L622&lt;200000),"Yes","No"),"Error")</f>
        <v>No</v>
      </c>
      <c r="P622" s="42" t="str">
        <f aca="false">IF($N622="SOLE",$J622,"")</f>
        <v/>
      </c>
      <c r="Q622" s="42" t="str">
        <f aca="false">IFERROR(IF($N622="Sole",0,IF(AND($N622="OTR",$R622=0),$J622-$P622,IF(AND($N622="OTR", $R622&gt;0), $J622-$P622-$Q622, ""))),"")</f>
        <v/>
      </c>
      <c r="R622" s="42" t="str">
        <f aca="false">IF($P622=$J622, "0","")</f>
        <v/>
      </c>
      <c r="S622" s="42" t="str">
        <f aca="false">IF(OR(ISBLANK($B622),ISBLANK($C622), ISBLANK($E622), ISBLANK($F622), AND(ISBLANK($G622),ISBLANK($H622)), ISBLANK($I622), ISBLANK($L622), AND(ISBLANK($N622), ISBLANK($O622)), AND(ISBLANK($P622), ISBLANK($Q622), ISBLANK($R622))), "No", "Yes")</f>
        <v>No</v>
      </c>
      <c r="T622" s="42" t="str">
        <f aca="false">SUBSTITUTE($U622," ","")</f>
        <v>89422GAA5</v>
      </c>
      <c r="U622" s="42" t="s">
        <v>799</v>
      </c>
      <c r="V622" s="39" t="n">
        <v>3000000</v>
      </c>
    </row>
    <row r="623" customFormat="false" ht="15" hidden="false" customHeight="false" outlineLevel="0" collapsed="false">
      <c r="B623" s="70" t="s">
        <v>801</v>
      </c>
      <c r="C623" s="71" t="str">
        <f aca="false">IFERROR(INDEX('13F Data'!A:A,MATCH($B623,'13F Data'!A:A,0)),"No CUSIP Match")</f>
        <v>No CUSIP Match</v>
      </c>
      <c r="D623" s="71" t="str">
        <f aca="false">IFERROR(IF($B623=$C623,"Yes","No"),"No CUSIP Match")</f>
        <v>No</v>
      </c>
      <c r="E623" s="71"/>
      <c r="F623" s="71" t="str">
        <f aca="false">IFERROR(INDEX('13F Data'!C:C, MATCH($B623,'13F Data'!A:A,0)),"No CUSIP Match")</f>
        <v>No CUSIP Match</v>
      </c>
      <c r="G623" s="72" t="str">
        <f aca="false">IFERROR(INDEX('13F Data'!D:D,MATCH($B623,'13F Data'!A:A,0)),"No CUSIP Match")</f>
        <v>No CUSIP Match</v>
      </c>
      <c r="J623" s="73" t="n">
        <f aca="false">$V623</f>
        <v>20700</v>
      </c>
      <c r="K623" s="71" t="str">
        <f aca="false">IFERROR(INDEX('EOD Data'!G:G, MATCH($A623, 'EOD Data'!B:B,0)), "No TKR Match")</f>
        <v>No TKR Match</v>
      </c>
      <c r="L623" s="71" t="str">
        <f aca="false">IFERROR(ROUND($J623*$K623,0),"Error")</f>
        <v>Error</v>
      </c>
      <c r="M623" s="71" t="str">
        <f aca="false">IFERROR(IF(AND($J623&lt;10000,$L623&lt;200000),"Yes","No"),"Error")</f>
        <v>No</v>
      </c>
      <c r="P623" s="42" t="str">
        <f aca="false">IF($N623="SOLE",$J623,"")</f>
        <v/>
      </c>
      <c r="Q623" s="42" t="str">
        <f aca="false">IFERROR(IF($N623="Sole",0,IF(AND($N623="OTR",$R623=0),$J623-$P623,IF(AND($N623="OTR", $R623&gt;0), $J623-$P623-$Q623, ""))),"")</f>
        <v/>
      </c>
      <c r="R623" s="42" t="str">
        <f aca="false">IF($P623=$J623, "0","")</f>
        <v/>
      </c>
      <c r="S623" s="42" t="str">
        <f aca="false">IF(OR(ISBLANK($B623),ISBLANK($C623), ISBLANK($E623), ISBLANK($F623), AND(ISBLANK($G623),ISBLANK($H623)), ISBLANK($I623), ISBLANK($L623), AND(ISBLANK($N623), ISBLANK($O623)), AND(ISBLANK($P623), ISBLANK($Q623), ISBLANK($R623))), "No", "Yes")</f>
        <v>No</v>
      </c>
      <c r="T623" s="42" t="str">
        <f aca="false">SUBSTITUTE($U623," ","")</f>
        <v>89832Q109</v>
      </c>
      <c r="U623" s="42" t="s">
        <v>801</v>
      </c>
      <c r="V623" s="39" t="n">
        <v>20700</v>
      </c>
    </row>
    <row r="624" customFormat="false" ht="15" hidden="false" customHeight="false" outlineLevel="0" collapsed="false">
      <c r="B624" s="70" t="s">
        <v>801</v>
      </c>
      <c r="C624" s="71" t="str">
        <f aca="false">IFERROR(INDEX('13F Data'!A:A,MATCH($B624,'13F Data'!A:A,0)),"No CUSIP Match")</f>
        <v>No CUSIP Match</v>
      </c>
      <c r="D624" s="71" t="str">
        <f aca="false">IFERROR(IF($B624=$C624,"Yes","No"),"No CUSIP Match")</f>
        <v>No</v>
      </c>
      <c r="E624" s="71"/>
      <c r="F624" s="71" t="str">
        <f aca="false">IFERROR(INDEX('13F Data'!C:C, MATCH($B624,'13F Data'!A:A,0)),"No CUSIP Match")</f>
        <v>No CUSIP Match</v>
      </c>
      <c r="G624" s="72" t="str">
        <f aca="false">IFERROR(INDEX('13F Data'!D:D,MATCH($B624,'13F Data'!A:A,0)),"No CUSIP Match")</f>
        <v>No CUSIP Match</v>
      </c>
      <c r="J624" s="73" t="n">
        <f aca="false">$V624</f>
        <v>20700</v>
      </c>
      <c r="K624" s="71" t="str">
        <f aca="false">IFERROR(INDEX('EOD Data'!G:G, MATCH($A624, 'EOD Data'!B:B,0)), "No TKR Match")</f>
        <v>No TKR Match</v>
      </c>
      <c r="L624" s="71" t="str">
        <f aca="false">IFERROR(ROUND($J624*$K624,0),"Error")</f>
        <v>Error</v>
      </c>
      <c r="M624" s="71" t="str">
        <f aca="false">IFERROR(IF(AND($J624&lt;10000,$L624&lt;200000),"Yes","No"),"Error")</f>
        <v>No</v>
      </c>
      <c r="P624" s="42" t="str">
        <f aca="false">IF($N624="SOLE",$J624,"")</f>
        <v/>
      </c>
      <c r="Q624" s="42" t="str">
        <f aca="false">IFERROR(IF($N624="Sole",0,IF(AND($N624="OTR",$R624=0),$J624-$P624,IF(AND($N624="OTR", $R624&gt;0), $J624-$P624-$Q624, ""))),"")</f>
        <v/>
      </c>
      <c r="R624" s="42" t="str">
        <f aca="false">IF($P624=$J624, "0","")</f>
        <v/>
      </c>
      <c r="S624" s="42" t="str">
        <f aca="false">IF(OR(ISBLANK($B624),ISBLANK($C624), ISBLANK($E624), ISBLANK($F624), AND(ISBLANK($G624),ISBLANK($H624)), ISBLANK($I624), ISBLANK($L624), AND(ISBLANK($N624), ISBLANK($O624)), AND(ISBLANK($P624), ISBLANK($Q624), ISBLANK($R624))), "No", "Yes")</f>
        <v>No</v>
      </c>
      <c r="T624" s="42" t="str">
        <f aca="false">SUBSTITUTE($U624," ","")</f>
        <v>89832Q109</v>
      </c>
      <c r="U624" s="42" t="s">
        <v>801</v>
      </c>
      <c r="V624" s="39" t="n">
        <v>20700</v>
      </c>
    </row>
    <row r="625" customFormat="false" ht="15" hidden="false" customHeight="false" outlineLevel="0" collapsed="false">
      <c r="B625" s="70" t="s">
        <v>803</v>
      </c>
      <c r="C625" s="71" t="str">
        <f aca="false">IFERROR(INDEX('13F Data'!A:A,MATCH($B625,'13F Data'!A:A,0)),"No CUSIP Match")</f>
        <v>No CUSIP Match</v>
      </c>
      <c r="D625" s="71" t="str">
        <f aca="false">IFERROR(IF($B625=$C625,"Yes","No"),"No CUSIP Match")</f>
        <v>No</v>
      </c>
      <c r="E625" s="71"/>
      <c r="F625" s="71" t="str">
        <f aca="false">IFERROR(INDEX('13F Data'!C:C, MATCH($B625,'13F Data'!A:A,0)),"No CUSIP Match")</f>
        <v>No CUSIP Match</v>
      </c>
      <c r="G625" s="72" t="str">
        <f aca="false">IFERROR(INDEX('13F Data'!D:D,MATCH($B625,'13F Data'!A:A,0)),"No CUSIP Match")</f>
        <v>No CUSIP Match</v>
      </c>
      <c r="J625" s="73" t="n">
        <f aca="false">$V625</f>
        <v>28849</v>
      </c>
      <c r="K625" s="71" t="str">
        <f aca="false">IFERROR(INDEX('EOD Data'!G:G, MATCH($A625, 'EOD Data'!B:B,0)), "No TKR Match")</f>
        <v>No TKR Match</v>
      </c>
      <c r="L625" s="71" t="str">
        <f aca="false">IFERROR(ROUND($J625*$K625,0),"Error")</f>
        <v>Error</v>
      </c>
      <c r="M625" s="71" t="str">
        <f aca="false">IFERROR(IF(AND($J625&lt;10000,$L625&lt;200000),"Yes","No"),"Error")</f>
        <v>No</v>
      </c>
      <c r="P625" s="42" t="str">
        <f aca="false">IF($N625="SOLE",$J625,"")</f>
        <v/>
      </c>
      <c r="Q625" s="42" t="str">
        <f aca="false">IFERROR(IF($N625="Sole",0,IF(AND($N625="OTR",$R625=0),$J625-$P625,IF(AND($N625="OTR", $R625&gt;0), $J625-$P625-$Q625, ""))),"")</f>
        <v/>
      </c>
      <c r="R625" s="42" t="str">
        <f aca="false">IF($P625=$J625, "0","")</f>
        <v/>
      </c>
      <c r="S625" s="42" t="str">
        <f aca="false">IF(OR(ISBLANK($B625),ISBLANK($C625), ISBLANK($E625), ISBLANK($F625), AND(ISBLANK($G625),ISBLANK($H625)), ISBLANK($I625), ISBLANK($L625), AND(ISBLANK($N625), ISBLANK($O625)), AND(ISBLANK($P625), ISBLANK($Q625), ISBLANK($R625))), "No", "Yes")</f>
        <v>No</v>
      </c>
      <c r="T625" s="42" t="str">
        <f aca="false">SUBSTITUTE($U625," ","")</f>
        <v>902494103</v>
      </c>
      <c r="U625" s="42" t="s">
        <v>803</v>
      </c>
      <c r="V625" s="39" t="n">
        <v>28849</v>
      </c>
    </row>
    <row r="626" customFormat="false" ht="15" hidden="false" customHeight="false" outlineLevel="0" collapsed="false">
      <c r="B626" s="70" t="s">
        <v>805</v>
      </c>
      <c r="C626" s="71" t="str">
        <f aca="false">IFERROR(INDEX('13F Data'!A:A,MATCH($B626,'13F Data'!A:A,0)),"No CUSIP Match")</f>
        <v>No CUSIP Match</v>
      </c>
      <c r="D626" s="71" t="str">
        <f aca="false">IFERROR(IF($B626=$C626,"Yes","No"),"No CUSIP Match")</f>
        <v>No</v>
      </c>
      <c r="E626" s="71"/>
      <c r="F626" s="71" t="str">
        <f aca="false">IFERROR(INDEX('13F Data'!C:C, MATCH($B626,'13F Data'!A:A,0)),"No CUSIP Match")</f>
        <v>No CUSIP Match</v>
      </c>
      <c r="G626" s="72" t="str">
        <f aca="false">IFERROR(INDEX('13F Data'!D:D,MATCH($B626,'13F Data'!A:A,0)),"No CUSIP Match")</f>
        <v>No CUSIP Match</v>
      </c>
      <c r="J626" s="73" t="n">
        <f aca="false">$V626</f>
        <v>2000</v>
      </c>
      <c r="K626" s="71" t="str">
        <f aca="false">IFERROR(INDEX('EOD Data'!G:G, MATCH($A626, 'EOD Data'!B:B,0)), "No TKR Match")</f>
        <v>No TKR Match</v>
      </c>
      <c r="L626" s="71" t="str">
        <f aca="false">IFERROR(ROUND($J626*$K626,0),"Error")</f>
        <v>Error</v>
      </c>
      <c r="M626" s="71" t="str">
        <f aca="false">IFERROR(IF(AND($J626&lt;10000,$L626&lt;200000),"Yes","No"),"Error")</f>
        <v>No</v>
      </c>
      <c r="P626" s="42" t="str">
        <f aca="false">IF($N626="SOLE",$J626,"")</f>
        <v/>
      </c>
      <c r="Q626" s="42" t="str">
        <f aca="false">IFERROR(IF($N626="Sole",0,IF(AND($N626="OTR",$R626=0),$J626-$P626,IF(AND($N626="OTR", $R626&gt;0), $J626-$P626-$Q626, ""))),"")</f>
        <v/>
      </c>
      <c r="R626" s="42" t="str">
        <f aca="false">IF($P626=$J626, "0","")</f>
        <v/>
      </c>
      <c r="S626" s="42" t="str">
        <f aca="false">IF(OR(ISBLANK($B626),ISBLANK($C626), ISBLANK($E626), ISBLANK($F626), AND(ISBLANK($G626),ISBLANK($H626)), ISBLANK($I626), ISBLANK($L626), AND(ISBLANK($N626), ISBLANK($O626)), AND(ISBLANK($P626), ISBLANK($Q626), ISBLANK($R626))), "No", "Yes")</f>
        <v>No</v>
      </c>
      <c r="T626" s="42" t="str">
        <f aca="false">SUBSTITUTE($U626," ","")</f>
        <v>90353T100</v>
      </c>
      <c r="U626" s="42" t="s">
        <v>805</v>
      </c>
      <c r="V626" s="39" t="n">
        <v>2000</v>
      </c>
    </row>
    <row r="627" customFormat="false" ht="15" hidden="false" customHeight="false" outlineLevel="0" collapsed="false">
      <c r="B627" s="70" t="s">
        <v>805</v>
      </c>
      <c r="C627" s="71" t="str">
        <f aca="false">IFERROR(INDEX('13F Data'!A:A,MATCH($B627,'13F Data'!A:A,0)),"No CUSIP Match")</f>
        <v>No CUSIP Match</v>
      </c>
      <c r="D627" s="71" t="str">
        <f aca="false">IFERROR(IF($B627=$C627,"Yes","No"),"No CUSIP Match")</f>
        <v>No</v>
      </c>
      <c r="E627" s="71"/>
      <c r="F627" s="71" t="str">
        <f aca="false">IFERROR(INDEX('13F Data'!C:C, MATCH($B627,'13F Data'!A:A,0)),"No CUSIP Match")</f>
        <v>No CUSIP Match</v>
      </c>
      <c r="G627" s="72" t="str">
        <f aca="false">IFERROR(INDEX('13F Data'!D:D,MATCH($B627,'13F Data'!A:A,0)),"No CUSIP Match")</f>
        <v>No CUSIP Match</v>
      </c>
      <c r="J627" s="73" t="n">
        <f aca="false">$V627</f>
        <v>2000</v>
      </c>
      <c r="K627" s="71" t="str">
        <f aca="false">IFERROR(INDEX('EOD Data'!G:G, MATCH($A627, 'EOD Data'!B:B,0)), "No TKR Match")</f>
        <v>No TKR Match</v>
      </c>
      <c r="L627" s="71" t="str">
        <f aca="false">IFERROR(ROUND($J627*$K627,0),"Error")</f>
        <v>Error</v>
      </c>
      <c r="M627" s="71" t="str">
        <f aca="false">IFERROR(IF(AND($J627&lt;10000,$L627&lt;200000),"Yes","No"),"Error")</f>
        <v>No</v>
      </c>
      <c r="P627" s="42" t="str">
        <f aca="false">IF($N627="SOLE",$J627,"")</f>
        <v/>
      </c>
      <c r="Q627" s="42" t="str">
        <f aca="false">IFERROR(IF($N627="Sole",0,IF(AND($N627="OTR",$R627=0),$J627-$P627,IF(AND($N627="OTR", $R627&gt;0), $J627-$P627-$Q627, ""))),"")</f>
        <v/>
      </c>
      <c r="R627" s="42" t="str">
        <f aca="false">IF($P627=$J627, "0","")</f>
        <v/>
      </c>
      <c r="S627" s="42" t="str">
        <f aca="false">IF(OR(ISBLANK($B627),ISBLANK($C627), ISBLANK($E627), ISBLANK($F627), AND(ISBLANK($G627),ISBLANK($H627)), ISBLANK($I627), ISBLANK($L627), AND(ISBLANK($N627), ISBLANK($O627)), AND(ISBLANK($P627), ISBLANK($Q627), ISBLANK($R627))), "No", "Yes")</f>
        <v>No</v>
      </c>
      <c r="T627" s="42" t="str">
        <f aca="false">SUBSTITUTE($U627," ","")</f>
        <v>90353T100</v>
      </c>
      <c r="U627" s="42" t="s">
        <v>805</v>
      </c>
      <c r="V627" s="39" t="n">
        <v>2000</v>
      </c>
    </row>
    <row r="628" customFormat="false" ht="15" hidden="false" customHeight="false" outlineLevel="0" collapsed="false">
      <c r="B628" s="70" t="s">
        <v>807</v>
      </c>
      <c r="C628" s="71" t="str">
        <f aca="false">IFERROR(INDEX('13F Data'!A:A,MATCH($B628,'13F Data'!A:A,0)),"No CUSIP Match")</f>
        <v>No CUSIP Match</v>
      </c>
      <c r="D628" s="71" t="str">
        <f aca="false">IFERROR(IF($B628=$C628,"Yes","No"),"No CUSIP Match")</f>
        <v>No</v>
      </c>
      <c r="E628" s="71"/>
      <c r="F628" s="71" t="str">
        <f aca="false">IFERROR(INDEX('13F Data'!C:C, MATCH($B628,'13F Data'!A:A,0)),"No CUSIP Match")</f>
        <v>No CUSIP Match</v>
      </c>
      <c r="G628" s="72" t="str">
        <f aca="false">IFERROR(INDEX('13F Data'!D:D,MATCH($B628,'13F Data'!A:A,0)),"No CUSIP Match")</f>
        <v>No CUSIP Match</v>
      </c>
      <c r="J628" s="73" t="n">
        <f aca="false">$V628</f>
        <v>1000</v>
      </c>
      <c r="K628" s="71" t="str">
        <f aca="false">IFERROR(INDEX('EOD Data'!G:G, MATCH($A628, 'EOD Data'!B:B,0)), "No TKR Match")</f>
        <v>No TKR Match</v>
      </c>
      <c r="L628" s="71" t="str">
        <f aca="false">IFERROR(ROUND($J628*$K628,0),"Error")</f>
        <v>Error</v>
      </c>
      <c r="M628" s="71" t="str">
        <f aca="false">IFERROR(IF(AND($J628&lt;10000,$L628&lt;200000),"Yes","No"),"Error")</f>
        <v>No</v>
      </c>
      <c r="P628" s="42" t="str">
        <f aca="false">IF($N628="SOLE",$J628,"")</f>
        <v/>
      </c>
      <c r="Q628" s="42" t="str">
        <f aca="false">IFERROR(IF($N628="Sole",0,IF(AND($N628="OTR",$R628=0),$J628-$P628,IF(AND($N628="OTR", $R628&gt;0), $J628-$P628-$Q628, ""))),"")</f>
        <v/>
      </c>
      <c r="R628" s="42" t="str">
        <f aca="false">IF($P628=$J628, "0","")</f>
        <v/>
      </c>
      <c r="S628" s="42" t="str">
        <f aca="false">IF(OR(ISBLANK($B628),ISBLANK($C628), ISBLANK($E628), ISBLANK($F628), AND(ISBLANK($G628),ISBLANK($H628)), ISBLANK($I628), ISBLANK($L628), AND(ISBLANK($N628), ISBLANK($O628)), AND(ISBLANK($P628), ISBLANK($Q628), ISBLANK($R628))), "No", "Yes")</f>
        <v>No</v>
      </c>
      <c r="T628" s="42" t="str">
        <f aca="false">SUBSTITUTE($U628," ","")</f>
        <v>90384S303</v>
      </c>
      <c r="U628" s="42" t="s">
        <v>807</v>
      </c>
      <c r="V628" s="39" t="n">
        <v>1000</v>
      </c>
    </row>
    <row r="629" customFormat="false" ht="15" hidden="false" customHeight="false" outlineLevel="0" collapsed="false">
      <c r="B629" s="70" t="s">
        <v>807</v>
      </c>
      <c r="C629" s="71" t="str">
        <f aca="false">IFERROR(INDEX('13F Data'!A:A,MATCH($B629,'13F Data'!A:A,0)),"No CUSIP Match")</f>
        <v>No CUSIP Match</v>
      </c>
      <c r="D629" s="71" t="str">
        <f aca="false">IFERROR(IF($B629=$C629,"Yes","No"),"No CUSIP Match")</f>
        <v>No</v>
      </c>
      <c r="E629" s="71"/>
      <c r="F629" s="71" t="str">
        <f aca="false">IFERROR(INDEX('13F Data'!C:C, MATCH($B629,'13F Data'!A:A,0)),"No CUSIP Match")</f>
        <v>No CUSIP Match</v>
      </c>
      <c r="G629" s="72" t="str">
        <f aca="false">IFERROR(INDEX('13F Data'!D:D,MATCH($B629,'13F Data'!A:A,0)),"No CUSIP Match")</f>
        <v>No CUSIP Match</v>
      </c>
      <c r="J629" s="73" t="n">
        <f aca="false">$V629</f>
        <v>1000</v>
      </c>
      <c r="K629" s="71" t="str">
        <f aca="false">IFERROR(INDEX('EOD Data'!G:G, MATCH($A629, 'EOD Data'!B:B,0)), "No TKR Match")</f>
        <v>No TKR Match</v>
      </c>
      <c r="L629" s="71" t="str">
        <f aca="false">IFERROR(ROUND($J629*$K629,0),"Error")</f>
        <v>Error</v>
      </c>
      <c r="M629" s="71" t="str">
        <f aca="false">IFERROR(IF(AND($J629&lt;10000,$L629&lt;200000),"Yes","No"),"Error")</f>
        <v>No</v>
      </c>
      <c r="P629" s="42" t="str">
        <f aca="false">IF($N629="SOLE",$J629,"")</f>
        <v/>
      </c>
      <c r="Q629" s="42" t="str">
        <f aca="false">IFERROR(IF($N629="Sole",0,IF(AND($N629="OTR",$R629=0),$J629-$P629,IF(AND($N629="OTR", $R629&gt;0), $J629-$P629-$Q629, ""))),"")</f>
        <v/>
      </c>
      <c r="R629" s="42" t="str">
        <f aca="false">IF($P629=$J629, "0","")</f>
        <v/>
      </c>
      <c r="S629" s="42" t="str">
        <f aca="false">IF(OR(ISBLANK($B629),ISBLANK($C629), ISBLANK($E629), ISBLANK($F629), AND(ISBLANK($G629),ISBLANK($H629)), ISBLANK($I629), ISBLANK($L629), AND(ISBLANK($N629), ISBLANK($O629)), AND(ISBLANK($P629), ISBLANK($Q629), ISBLANK($R629))), "No", "Yes")</f>
        <v>No</v>
      </c>
      <c r="T629" s="42" t="str">
        <f aca="false">SUBSTITUTE($U629," ","")</f>
        <v>90384S303</v>
      </c>
      <c r="U629" s="42" t="s">
        <v>807</v>
      </c>
      <c r="V629" s="39" t="n">
        <v>1000</v>
      </c>
    </row>
    <row r="630" customFormat="false" ht="15" hidden="false" customHeight="false" outlineLevel="0" collapsed="false">
      <c r="B630" s="70" t="s">
        <v>809</v>
      </c>
      <c r="C630" s="71" t="str">
        <f aca="false">IFERROR(INDEX('13F Data'!A:A,MATCH($B630,'13F Data'!A:A,0)),"No CUSIP Match")</f>
        <v>No CUSIP Match</v>
      </c>
      <c r="D630" s="71" t="str">
        <f aca="false">IFERROR(IF($B630=$C630,"Yes","No"),"No CUSIP Match")</f>
        <v>No</v>
      </c>
      <c r="E630" s="71"/>
      <c r="F630" s="71" t="str">
        <f aca="false">IFERROR(INDEX('13F Data'!C:C, MATCH($B630,'13F Data'!A:A,0)),"No CUSIP Match")</f>
        <v>No CUSIP Match</v>
      </c>
      <c r="G630" s="72" t="str">
        <f aca="false">IFERROR(INDEX('13F Data'!D:D,MATCH($B630,'13F Data'!A:A,0)),"No CUSIP Match")</f>
        <v>No CUSIP Match</v>
      </c>
      <c r="J630" s="73" t="n">
        <f aca="false">$V630</f>
        <v>4000</v>
      </c>
      <c r="K630" s="71" t="str">
        <f aca="false">IFERROR(INDEX('EOD Data'!G:G, MATCH($A630, 'EOD Data'!B:B,0)), "No TKR Match")</f>
        <v>No TKR Match</v>
      </c>
      <c r="L630" s="71" t="str">
        <f aca="false">IFERROR(ROUND($J630*$K630,0),"Error")</f>
        <v>Error</v>
      </c>
      <c r="M630" s="71" t="str">
        <f aca="false">IFERROR(IF(AND($J630&lt;10000,$L630&lt;200000),"Yes","No"),"Error")</f>
        <v>No</v>
      </c>
      <c r="P630" s="42" t="str">
        <f aca="false">IF($N630="SOLE",$J630,"")</f>
        <v/>
      </c>
      <c r="Q630" s="42" t="str">
        <f aca="false">IFERROR(IF($N630="Sole",0,IF(AND($N630="OTR",$R630=0),$J630-$P630,IF(AND($N630="OTR", $R630&gt;0), $J630-$P630-$Q630, ""))),"")</f>
        <v/>
      </c>
      <c r="R630" s="42" t="str">
        <f aca="false">IF($P630=$J630, "0","")</f>
        <v/>
      </c>
      <c r="S630" s="42" t="str">
        <f aca="false">IF(OR(ISBLANK($B630),ISBLANK($C630), ISBLANK($E630), ISBLANK($F630), AND(ISBLANK($G630),ISBLANK($H630)), ISBLANK($I630), ISBLANK($L630), AND(ISBLANK($N630), ISBLANK($O630)), AND(ISBLANK($P630), ISBLANK($Q630), ISBLANK($R630))), "No", "Yes")</f>
        <v>No</v>
      </c>
      <c r="T630" s="42" t="str">
        <f aca="false">SUBSTITUTE($U630," ","")</f>
        <v>907818108</v>
      </c>
      <c r="U630" s="42" t="s">
        <v>809</v>
      </c>
      <c r="V630" s="39" t="n">
        <v>4000</v>
      </c>
    </row>
    <row r="631" customFormat="false" ht="15" hidden="false" customHeight="false" outlineLevel="0" collapsed="false">
      <c r="B631" s="70" t="s">
        <v>809</v>
      </c>
      <c r="C631" s="71" t="str">
        <f aca="false">IFERROR(INDEX('13F Data'!A:A,MATCH($B631,'13F Data'!A:A,0)),"No CUSIP Match")</f>
        <v>No CUSIP Match</v>
      </c>
      <c r="D631" s="71" t="str">
        <f aca="false">IFERROR(IF($B631=$C631,"Yes","No"),"No CUSIP Match")</f>
        <v>No</v>
      </c>
      <c r="E631" s="71"/>
      <c r="F631" s="71" t="str">
        <f aca="false">IFERROR(INDEX('13F Data'!C:C, MATCH($B631,'13F Data'!A:A,0)),"No CUSIP Match")</f>
        <v>No CUSIP Match</v>
      </c>
      <c r="G631" s="72" t="str">
        <f aca="false">IFERROR(INDEX('13F Data'!D:D,MATCH($B631,'13F Data'!A:A,0)),"No CUSIP Match")</f>
        <v>No CUSIP Match</v>
      </c>
      <c r="J631" s="73" t="n">
        <f aca="false">$V631</f>
        <v>4000</v>
      </c>
      <c r="K631" s="71" t="str">
        <f aca="false">IFERROR(INDEX('EOD Data'!G:G, MATCH($A631, 'EOD Data'!B:B,0)), "No TKR Match")</f>
        <v>No TKR Match</v>
      </c>
      <c r="L631" s="71" t="str">
        <f aca="false">IFERROR(ROUND($J631*$K631,0),"Error")</f>
        <v>Error</v>
      </c>
      <c r="M631" s="71" t="str">
        <f aca="false">IFERROR(IF(AND($J631&lt;10000,$L631&lt;200000),"Yes","No"),"Error")</f>
        <v>No</v>
      </c>
      <c r="P631" s="42" t="str">
        <f aca="false">IF($N631="SOLE",$J631,"")</f>
        <v/>
      </c>
      <c r="Q631" s="42" t="str">
        <f aca="false">IFERROR(IF($N631="Sole",0,IF(AND($N631="OTR",$R631=0),$J631-$P631,IF(AND($N631="OTR", $R631&gt;0), $J631-$P631-$Q631, ""))),"")</f>
        <v/>
      </c>
      <c r="R631" s="42" t="str">
        <f aca="false">IF($P631=$J631, "0","")</f>
        <v/>
      </c>
      <c r="S631" s="42" t="str">
        <f aca="false">IF(OR(ISBLANK($B631),ISBLANK($C631), ISBLANK($E631), ISBLANK($F631), AND(ISBLANK($G631),ISBLANK($H631)), ISBLANK($I631), ISBLANK($L631), AND(ISBLANK($N631), ISBLANK($O631)), AND(ISBLANK($P631), ISBLANK($Q631), ISBLANK($R631))), "No", "Yes")</f>
        <v>No</v>
      </c>
      <c r="T631" s="42" t="str">
        <f aca="false">SUBSTITUTE($U631," ","")</f>
        <v>907818108</v>
      </c>
      <c r="U631" s="42" t="s">
        <v>809</v>
      </c>
      <c r="V631" s="39" t="n">
        <v>4000</v>
      </c>
    </row>
    <row r="632" customFormat="false" ht="15" hidden="false" customHeight="false" outlineLevel="0" collapsed="false">
      <c r="B632" s="70" t="s">
        <v>811</v>
      </c>
      <c r="C632" s="71" t="str">
        <f aca="false">IFERROR(INDEX('13F Data'!A:A,MATCH($B632,'13F Data'!A:A,0)),"No CUSIP Match")</f>
        <v>No CUSIP Match</v>
      </c>
      <c r="D632" s="71" t="str">
        <f aca="false">IFERROR(IF($B632=$C632,"Yes","No"),"No CUSIP Match")</f>
        <v>No</v>
      </c>
      <c r="E632" s="71"/>
      <c r="F632" s="71" t="str">
        <f aca="false">IFERROR(INDEX('13F Data'!C:C, MATCH($B632,'13F Data'!A:A,0)),"No CUSIP Match")</f>
        <v>No CUSIP Match</v>
      </c>
      <c r="G632" s="72" t="str">
        <f aca="false">IFERROR(INDEX('13F Data'!D:D,MATCH($B632,'13F Data'!A:A,0)),"No CUSIP Match")</f>
        <v>No CUSIP Match</v>
      </c>
      <c r="J632" s="73" t="n">
        <f aca="false">$V632</f>
        <v>800</v>
      </c>
      <c r="K632" s="71" t="str">
        <f aca="false">IFERROR(INDEX('EOD Data'!G:G, MATCH($A632, 'EOD Data'!B:B,0)), "No TKR Match")</f>
        <v>No TKR Match</v>
      </c>
      <c r="L632" s="71" t="str">
        <f aca="false">IFERROR(ROUND($J632*$K632,0),"Error")</f>
        <v>Error</v>
      </c>
      <c r="M632" s="71" t="str">
        <f aca="false">IFERROR(IF(AND($J632&lt;10000,$L632&lt;200000),"Yes","No"),"Error")</f>
        <v>No</v>
      </c>
      <c r="P632" s="42" t="str">
        <f aca="false">IF($N632="SOLE",$J632,"")</f>
        <v/>
      </c>
      <c r="Q632" s="42" t="str">
        <f aca="false">IFERROR(IF($N632="Sole",0,IF(AND($N632="OTR",$R632=0),$J632-$P632,IF(AND($N632="OTR", $R632&gt;0), $J632-$P632-$Q632, ""))),"")</f>
        <v/>
      </c>
      <c r="R632" s="42" t="str">
        <f aca="false">IF($P632=$J632, "0","")</f>
        <v/>
      </c>
      <c r="S632" s="42" t="str">
        <f aca="false">IF(OR(ISBLANK($B632),ISBLANK($C632), ISBLANK($E632), ISBLANK($F632), AND(ISBLANK($G632),ISBLANK($H632)), ISBLANK($I632), ISBLANK($L632), AND(ISBLANK($N632), ISBLANK($O632)), AND(ISBLANK($P632), ISBLANK($Q632), ISBLANK($R632))), "No", "Yes")</f>
        <v>No</v>
      </c>
      <c r="T632" s="42" t="str">
        <f aca="false">SUBSTITUTE($U632," ","")</f>
        <v>911312106</v>
      </c>
      <c r="U632" s="42" t="s">
        <v>811</v>
      </c>
      <c r="V632" s="39" t="n">
        <v>800</v>
      </c>
    </row>
    <row r="633" customFormat="false" ht="15" hidden="false" customHeight="false" outlineLevel="0" collapsed="false">
      <c r="B633" s="70" t="s">
        <v>811</v>
      </c>
      <c r="C633" s="71" t="str">
        <f aca="false">IFERROR(INDEX('13F Data'!A:A,MATCH($B633,'13F Data'!A:A,0)),"No CUSIP Match")</f>
        <v>No CUSIP Match</v>
      </c>
      <c r="D633" s="71" t="str">
        <f aca="false">IFERROR(IF($B633=$C633,"Yes","No"),"No CUSIP Match")</f>
        <v>No</v>
      </c>
      <c r="E633" s="71"/>
      <c r="F633" s="71" t="str">
        <f aca="false">IFERROR(INDEX('13F Data'!C:C, MATCH($B633,'13F Data'!A:A,0)),"No CUSIP Match")</f>
        <v>No CUSIP Match</v>
      </c>
      <c r="G633" s="72" t="str">
        <f aca="false">IFERROR(INDEX('13F Data'!D:D,MATCH($B633,'13F Data'!A:A,0)),"No CUSIP Match")</f>
        <v>No CUSIP Match</v>
      </c>
      <c r="J633" s="73" t="n">
        <f aca="false">$V633</f>
        <v>800</v>
      </c>
      <c r="K633" s="71" t="str">
        <f aca="false">IFERROR(INDEX('EOD Data'!G:G, MATCH($A633, 'EOD Data'!B:B,0)), "No TKR Match")</f>
        <v>No TKR Match</v>
      </c>
      <c r="L633" s="71" t="str">
        <f aca="false">IFERROR(ROUND($J633*$K633,0),"Error")</f>
        <v>Error</v>
      </c>
      <c r="M633" s="71" t="str">
        <f aca="false">IFERROR(IF(AND($J633&lt;10000,$L633&lt;200000),"Yes","No"),"Error")</f>
        <v>No</v>
      </c>
      <c r="P633" s="42" t="str">
        <f aca="false">IF($N633="SOLE",$J633,"")</f>
        <v/>
      </c>
      <c r="Q633" s="42" t="str">
        <f aca="false">IFERROR(IF($N633="Sole",0,IF(AND($N633="OTR",$R633=0),$J633-$P633,IF(AND($N633="OTR", $R633&gt;0), $J633-$P633-$Q633, ""))),"")</f>
        <v/>
      </c>
      <c r="R633" s="42" t="str">
        <f aca="false">IF($P633=$J633, "0","")</f>
        <v/>
      </c>
      <c r="S633" s="42" t="str">
        <f aca="false">IF(OR(ISBLANK($B633),ISBLANK($C633), ISBLANK($E633), ISBLANK($F633), AND(ISBLANK($G633),ISBLANK($H633)), ISBLANK($I633), ISBLANK($L633), AND(ISBLANK($N633), ISBLANK($O633)), AND(ISBLANK($P633), ISBLANK($Q633), ISBLANK($R633))), "No", "Yes")</f>
        <v>No</v>
      </c>
      <c r="T633" s="42" t="str">
        <f aca="false">SUBSTITUTE($U633," ","")</f>
        <v>911312106</v>
      </c>
      <c r="U633" s="42" t="s">
        <v>811</v>
      </c>
      <c r="V633" s="39" t="n">
        <v>800</v>
      </c>
    </row>
    <row r="634" customFormat="false" ht="15" hidden="false" customHeight="false" outlineLevel="0" collapsed="false">
      <c r="A634" s="27" t="s">
        <v>902</v>
      </c>
      <c r="B634" s="70" t="s">
        <v>813</v>
      </c>
      <c r="C634" s="71" t="str">
        <f aca="false">IFERROR(INDEX('13F Data'!A:A,MATCH($B634,'13F Data'!A:A,0)),"No CUSIP Match")</f>
        <v>No CUSIP Match</v>
      </c>
      <c r="D634" s="71" t="str">
        <f aca="false">IFERROR(IF($B634=$C634,"Yes","No"),"No CUSIP Match")</f>
        <v>No</v>
      </c>
      <c r="E634" s="71"/>
      <c r="F634" s="71" t="str">
        <f aca="false">IFERROR(INDEX('13F Data'!C:C, MATCH($B634,'13F Data'!A:A,0)),"No CUSIP Match")</f>
        <v>No CUSIP Match</v>
      </c>
      <c r="G634" s="72" t="str">
        <f aca="false">IFERROR(INDEX('13F Data'!D:D,MATCH($B634,'13F Data'!A:A,0)),"No CUSIP Match")</f>
        <v>No CUSIP Match</v>
      </c>
      <c r="J634" s="73" t="n">
        <f aca="false">$V634</f>
        <v>3300</v>
      </c>
      <c r="K634" s="71" t="str">
        <f aca="false">IFERROR(INDEX('EOD Data'!G:G, MATCH($A634, 'EOD Data'!B:B,0)), "No TKR Match")</f>
        <v>No TKR Match</v>
      </c>
      <c r="L634" s="71" t="str">
        <f aca="false">IFERROR(ROUND($J634*$K634,0),"Error")</f>
        <v>Error</v>
      </c>
      <c r="M634" s="71" t="str">
        <f aca="false">IFERROR(IF(AND($J634&lt;10000,$L634&lt;200000),"Yes","No"),"Error")</f>
        <v>No</v>
      </c>
      <c r="P634" s="42" t="str">
        <f aca="false">IF($N634="SOLE",$J634,"")</f>
        <v/>
      </c>
      <c r="Q634" s="42" t="str">
        <f aca="false">IFERROR(IF($N634="Sole",0,IF(AND($N634="OTR",$R634=0),$J634-$P634,IF(AND($N634="OTR", $R634&gt;0), $J634-$P634-$Q634, ""))),"")</f>
        <v/>
      </c>
      <c r="R634" s="42" t="str">
        <f aca="false">IF($P634=$J634, "0","")</f>
        <v/>
      </c>
      <c r="S634" s="42" t="str">
        <f aca="false">IF(OR(ISBLANK($B634),ISBLANK($C634), ISBLANK($E634), ISBLANK($F634), AND(ISBLANK($G634),ISBLANK($H634)), ISBLANK($I634), ISBLANK($L634), AND(ISBLANK($N634), ISBLANK($O634)), AND(ISBLANK($P634), ISBLANK($Q634), ISBLANK($R634))), "No", "Yes")</f>
        <v>No</v>
      </c>
      <c r="T634" s="42" t="str">
        <f aca="false">SUBSTITUTE($U634," ","")</f>
        <v>911363109</v>
      </c>
      <c r="U634" s="42" t="s">
        <v>813</v>
      </c>
      <c r="V634" s="39" t="n">
        <v>3300</v>
      </c>
    </row>
    <row r="635" customFormat="false" ht="15" hidden="false" customHeight="false" outlineLevel="0" collapsed="false">
      <c r="A635" s="27" t="s">
        <v>902</v>
      </c>
      <c r="B635" s="70" t="s">
        <v>813</v>
      </c>
      <c r="C635" s="71" t="str">
        <f aca="false">IFERROR(INDEX('13F Data'!A:A,MATCH($B635,'13F Data'!A:A,0)),"No CUSIP Match")</f>
        <v>No CUSIP Match</v>
      </c>
      <c r="D635" s="71" t="str">
        <f aca="false">IFERROR(IF($B635=$C635,"Yes","No"),"No CUSIP Match")</f>
        <v>No</v>
      </c>
      <c r="E635" s="71"/>
      <c r="F635" s="71" t="str">
        <f aca="false">IFERROR(INDEX('13F Data'!C:C, MATCH($B635,'13F Data'!A:A,0)),"No CUSIP Match")</f>
        <v>No CUSIP Match</v>
      </c>
      <c r="G635" s="72" t="str">
        <f aca="false">IFERROR(INDEX('13F Data'!D:D,MATCH($B635,'13F Data'!A:A,0)),"No CUSIP Match")</f>
        <v>No CUSIP Match</v>
      </c>
      <c r="J635" s="73" t="n">
        <f aca="false">$V635</f>
        <v>3300</v>
      </c>
      <c r="K635" s="71" t="str">
        <f aca="false">IFERROR(INDEX('EOD Data'!G:G, MATCH($A635, 'EOD Data'!B:B,0)), "No TKR Match")</f>
        <v>No TKR Match</v>
      </c>
      <c r="L635" s="71" t="str">
        <f aca="false">IFERROR(ROUND($J635*$K635,0),"Error")</f>
        <v>Error</v>
      </c>
      <c r="M635" s="71" t="str">
        <f aca="false">IFERROR(IF(AND($J635&lt;10000,$L635&lt;200000),"Yes","No"),"Error")</f>
        <v>No</v>
      </c>
      <c r="P635" s="42" t="str">
        <f aca="false">IF($N635="SOLE",$J635,"")</f>
        <v/>
      </c>
      <c r="Q635" s="42" t="str">
        <f aca="false">IFERROR(IF($N635="Sole",0,IF(AND($N635="OTR",$R635=0),$J635-$P635,IF(AND($N635="OTR", $R635&gt;0), $J635-$P635-$Q635, ""))),"")</f>
        <v/>
      </c>
      <c r="R635" s="42" t="str">
        <f aca="false">IF($P635=$J635, "0","")</f>
        <v/>
      </c>
      <c r="S635" s="42" t="str">
        <f aca="false">IF(OR(ISBLANK($B635),ISBLANK($C635), ISBLANK($E635), ISBLANK($F635), AND(ISBLANK($G635),ISBLANK($H635)), ISBLANK($I635), ISBLANK($L635), AND(ISBLANK($N635), ISBLANK($O635)), AND(ISBLANK($P635), ISBLANK($Q635), ISBLANK($R635))), "No", "Yes")</f>
        <v>No</v>
      </c>
      <c r="T635" s="42" t="str">
        <f aca="false">SUBSTITUTE($U635," ","")</f>
        <v>911363109</v>
      </c>
      <c r="U635" s="42" t="s">
        <v>813</v>
      </c>
      <c r="V635" s="39" t="n">
        <v>3300</v>
      </c>
    </row>
    <row r="636" customFormat="false" ht="15" hidden="false" customHeight="false" outlineLevel="0" collapsed="false">
      <c r="B636" s="70" t="s">
        <v>815</v>
      </c>
      <c r="C636" s="71" t="str">
        <f aca="false">IFERROR(INDEX('13F Data'!A:A,MATCH($B636,'13F Data'!A:A,0)),"No CUSIP Match")</f>
        <v>No CUSIP Match</v>
      </c>
      <c r="D636" s="71" t="str">
        <f aca="false">IFERROR(IF($B636=$C636,"Yes","No"),"No CUSIP Match")</f>
        <v>No</v>
      </c>
      <c r="E636" s="71"/>
      <c r="F636" s="71" t="str">
        <f aca="false">IFERROR(INDEX('13F Data'!C:C, MATCH($B636,'13F Data'!A:A,0)),"No CUSIP Match")</f>
        <v>No CUSIP Match</v>
      </c>
      <c r="G636" s="72" t="str">
        <f aca="false">IFERROR(INDEX('13F Data'!D:D,MATCH($B636,'13F Data'!A:A,0)),"No CUSIP Match")</f>
        <v>No CUSIP Match</v>
      </c>
      <c r="J636" s="73" t="n">
        <f aca="false">$V636</f>
        <v>485086</v>
      </c>
      <c r="K636" s="71" t="str">
        <f aca="false">IFERROR(INDEX('EOD Data'!G:G, MATCH($A636, 'EOD Data'!B:B,0)), "No TKR Match")</f>
        <v>No TKR Match</v>
      </c>
      <c r="L636" s="71" t="str">
        <f aca="false">IFERROR(ROUND($J636*$K636,0),"Error")</f>
        <v>Error</v>
      </c>
      <c r="M636" s="71" t="str">
        <f aca="false">IFERROR(IF(AND($J636&lt;10000,$L636&lt;200000),"Yes","No"),"Error")</f>
        <v>No</v>
      </c>
      <c r="P636" s="42" t="str">
        <f aca="false">IF($N636="SOLE",$J636,"")</f>
        <v/>
      </c>
      <c r="Q636" s="42" t="str">
        <f aca="false">IFERROR(IF($N636="Sole",0,IF(AND($N636="OTR",$R636=0),$J636-$P636,IF(AND($N636="OTR", $R636&gt;0), $J636-$P636-$Q636, ""))),"")</f>
        <v/>
      </c>
      <c r="R636" s="42" t="str">
        <f aca="false">IF($P636=$J636, "0","")</f>
        <v/>
      </c>
      <c r="S636" s="42" t="str">
        <f aca="false">IF(OR(ISBLANK($B636),ISBLANK($C636), ISBLANK($E636), ISBLANK($F636), AND(ISBLANK($G636),ISBLANK($H636)), ISBLANK($I636), ISBLANK($L636), AND(ISBLANK($N636), ISBLANK($O636)), AND(ISBLANK($P636), ISBLANK($Q636), ISBLANK($R636))), "No", "Yes")</f>
        <v>No</v>
      </c>
      <c r="T636" s="42" t="str">
        <f aca="false">SUBSTITUTE($U636," ","")</f>
        <v>912909108</v>
      </c>
      <c r="U636" s="42" t="s">
        <v>815</v>
      </c>
      <c r="V636" s="39" t="n">
        <v>485086</v>
      </c>
    </row>
    <row r="637" customFormat="false" ht="15" hidden="false" customHeight="false" outlineLevel="0" collapsed="false">
      <c r="B637" s="70" t="s">
        <v>817</v>
      </c>
      <c r="C637" s="71" t="str">
        <f aca="false">IFERROR(INDEX('13F Data'!A:A,MATCH($B637,'13F Data'!A:A,0)),"No CUSIP Match")</f>
        <v>No CUSIP Match</v>
      </c>
      <c r="D637" s="71" t="str">
        <f aca="false">IFERROR(IF($B637=$C637,"Yes","No"),"No CUSIP Match")</f>
        <v>No</v>
      </c>
      <c r="E637" s="71"/>
      <c r="F637" s="71" t="str">
        <f aca="false">IFERROR(INDEX('13F Data'!C:C, MATCH($B637,'13F Data'!A:A,0)),"No CUSIP Match")</f>
        <v>No CUSIP Match</v>
      </c>
      <c r="G637" s="72" t="str">
        <f aca="false">IFERROR(INDEX('13F Data'!D:D,MATCH($B637,'13F Data'!A:A,0)),"No CUSIP Match")</f>
        <v>No CUSIP Match</v>
      </c>
      <c r="J637" s="73" t="n">
        <f aca="false">$V637</f>
        <v>1000</v>
      </c>
      <c r="K637" s="71" t="str">
        <f aca="false">IFERROR(INDEX('EOD Data'!G:G, MATCH($A637, 'EOD Data'!B:B,0)), "No TKR Match")</f>
        <v>No TKR Match</v>
      </c>
      <c r="L637" s="71" t="str">
        <f aca="false">IFERROR(ROUND($J637*$K637,0),"Error")</f>
        <v>Error</v>
      </c>
      <c r="M637" s="71" t="str">
        <f aca="false">IFERROR(IF(AND($J637&lt;10000,$L637&lt;200000),"Yes","No"),"Error")</f>
        <v>No</v>
      </c>
      <c r="P637" s="42" t="str">
        <f aca="false">IF($N637="SOLE",$J637,"")</f>
        <v/>
      </c>
      <c r="Q637" s="42" t="str">
        <f aca="false">IFERROR(IF($N637="Sole",0,IF(AND($N637="OTR",$R637=0),$J637-$P637,IF(AND($N637="OTR", $R637&gt;0), $J637-$P637-$Q637, ""))),"")</f>
        <v/>
      </c>
      <c r="R637" s="42" t="str">
        <f aca="false">IF($P637=$J637, "0","")</f>
        <v/>
      </c>
      <c r="S637" s="42" t="str">
        <f aca="false">IF(OR(ISBLANK($B637),ISBLANK($C637), ISBLANK($E637), ISBLANK($F637), AND(ISBLANK($G637),ISBLANK($H637)), ISBLANK($I637), ISBLANK($L637), AND(ISBLANK($N637), ISBLANK($O637)), AND(ISBLANK($P637), ISBLANK($Q637), ISBLANK($R637))), "No", "Yes")</f>
        <v>No</v>
      </c>
      <c r="T637" s="42" t="str">
        <f aca="false">SUBSTITUTE($U637," ","")</f>
        <v>91324P102</v>
      </c>
      <c r="U637" s="42" t="s">
        <v>817</v>
      </c>
      <c r="V637" s="39" t="n">
        <v>1000</v>
      </c>
    </row>
    <row r="638" customFormat="false" ht="15" hidden="false" customHeight="false" outlineLevel="0" collapsed="false">
      <c r="B638" s="70" t="s">
        <v>817</v>
      </c>
      <c r="C638" s="71" t="str">
        <f aca="false">IFERROR(INDEX('13F Data'!A:A,MATCH($B638,'13F Data'!A:A,0)),"No CUSIP Match")</f>
        <v>No CUSIP Match</v>
      </c>
      <c r="D638" s="71" t="str">
        <f aca="false">IFERROR(IF($B638=$C638,"Yes","No"),"No CUSIP Match")</f>
        <v>No</v>
      </c>
      <c r="E638" s="71"/>
      <c r="F638" s="71" t="str">
        <f aca="false">IFERROR(INDEX('13F Data'!C:C, MATCH($B638,'13F Data'!A:A,0)),"No CUSIP Match")</f>
        <v>No CUSIP Match</v>
      </c>
      <c r="G638" s="72" t="str">
        <f aca="false">IFERROR(INDEX('13F Data'!D:D,MATCH($B638,'13F Data'!A:A,0)),"No CUSIP Match")</f>
        <v>No CUSIP Match</v>
      </c>
      <c r="J638" s="73" t="n">
        <f aca="false">$V638</f>
        <v>1000</v>
      </c>
      <c r="K638" s="71" t="str">
        <f aca="false">IFERROR(INDEX('EOD Data'!G:G, MATCH($A638, 'EOD Data'!B:B,0)), "No TKR Match")</f>
        <v>No TKR Match</v>
      </c>
      <c r="L638" s="71" t="str">
        <f aca="false">IFERROR(ROUND($J638*$K638,0),"Error")</f>
        <v>Error</v>
      </c>
      <c r="M638" s="71" t="str">
        <f aca="false">IFERROR(IF(AND($J638&lt;10000,$L638&lt;200000),"Yes","No"),"Error")</f>
        <v>No</v>
      </c>
      <c r="P638" s="42" t="str">
        <f aca="false">IF($N638="SOLE",$J638,"")</f>
        <v/>
      </c>
      <c r="Q638" s="42" t="str">
        <f aca="false">IFERROR(IF($N638="Sole",0,IF(AND($N638="OTR",$R638=0),$J638-$P638,IF(AND($N638="OTR", $R638&gt;0), $J638-$P638-$Q638, ""))),"")</f>
        <v/>
      </c>
      <c r="R638" s="42" t="str">
        <f aca="false">IF($P638=$J638, "0","")</f>
        <v/>
      </c>
      <c r="S638" s="42" t="str">
        <f aca="false">IF(OR(ISBLANK($B638),ISBLANK($C638), ISBLANK($E638), ISBLANK($F638), AND(ISBLANK($G638),ISBLANK($H638)), ISBLANK($I638), ISBLANK($L638), AND(ISBLANK($N638), ISBLANK($O638)), AND(ISBLANK($P638), ISBLANK($Q638), ISBLANK($R638))), "No", "Yes")</f>
        <v>No</v>
      </c>
      <c r="T638" s="42" t="str">
        <f aca="false">SUBSTITUTE($U638," ","")</f>
        <v>91324P102</v>
      </c>
      <c r="U638" s="42" t="s">
        <v>817</v>
      </c>
      <c r="V638" s="39" t="n">
        <v>1000</v>
      </c>
    </row>
    <row r="639" customFormat="false" ht="15" hidden="false" customHeight="false" outlineLevel="0" collapsed="false">
      <c r="B639" s="70" t="s">
        <v>819</v>
      </c>
      <c r="C639" s="71" t="str">
        <f aca="false">IFERROR(INDEX('13F Data'!A:A,MATCH($B639,'13F Data'!A:A,0)),"No CUSIP Match")</f>
        <v>No CUSIP Match</v>
      </c>
      <c r="D639" s="71" t="str">
        <f aca="false">IFERROR(IF($B639=$C639,"Yes","No"),"No CUSIP Match")</f>
        <v>No</v>
      </c>
      <c r="E639" s="71"/>
      <c r="F639" s="71" t="str">
        <f aca="false">IFERROR(INDEX('13F Data'!C:C, MATCH($B639,'13F Data'!A:A,0)),"No CUSIP Match")</f>
        <v>No CUSIP Match</v>
      </c>
      <c r="G639" s="72" t="str">
        <f aca="false">IFERROR(INDEX('13F Data'!D:D,MATCH($B639,'13F Data'!A:A,0)),"No CUSIP Match")</f>
        <v>No CUSIP Match</v>
      </c>
      <c r="J639" s="73" t="n">
        <f aca="false">$V639</f>
        <v>100</v>
      </c>
      <c r="K639" s="71" t="str">
        <f aca="false">IFERROR(INDEX('EOD Data'!G:G, MATCH($A639, 'EOD Data'!B:B,0)), "No TKR Match")</f>
        <v>No TKR Match</v>
      </c>
      <c r="L639" s="71" t="str">
        <f aca="false">IFERROR(ROUND($J639*$K639,0),"Error")</f>
        <v>Error</v>
      </c>
      <c r="M639" s="71" t="str">
        <f aca="false">IFERROR(IF(AND($J639&lt;10000,$L639&lt;200000),"Yes","No"),"Error")</f>
        <v>No</v>
      </c>
      <c r="P639" s="42" t="str">
        <f aca="false">IF($N639="SOLE",$J639,"")</f>
        <v/>
      </c>
      <c r="Q639" s="42" t="str">
        <f aca="false">IFERROR(IF($N639="Sole",0,IF(AND($N639="OTR",$R639=0),$J639-$P639,IF(AND($N639="OTR", $R639&gt;0), $J639-$P639-$Q639, ""))),"")</f>
        <v/>
      </c>
      <c r="R639" s="42" t="str">
        <f aca="false">IF($P639=$J639, "0","")</f>
        <v/>
      </c>
      <c r="S639" s="42" t="str">
        <f aca="false">IF(OR(ISBLANK($B639),ISBLANK($C639), ISBLANK($E639), ISBLANK($F639), AND(ISBLANK($G639),ISBLANK($H639)), ISBLANK($I639), ISBLANK($L639), AND(ISBLANK($N639), ISBLANK($O639)), AND(ISBLANK($P639), ISBLANK($Q639), ISBLANK($R639))), "No", "Yes")</f>
        <v>No</v>
      </c>
      <c r="T639" s="42" t="str">
        <f aca="false">SUBSTITUTE($U639," ","")</f>
        <v>715ESC018</v>
      </c>
      <c r="U639" s="42" t="s">
        <v>819</v>
      </c>
      <c r="V639" s="39" t="n">
        <v>100</v>
      </c>
    </row>
    <row r="640" customFormat="false" ht="15" hidden="false" customHeight="false" outlineLevel="0" collapsed="false">
      <c r="B640" s="70" t="s">
        <v>821</v>
      </c>
      <c r="C640" s="71" t="str">
        <f aca="false">IFERROR(INDEX('13F Data'!A:A,MATCH($B640,'13F Data'!A:A,0)),"No CUSIP Match")</f>
        <v>No CUSIP Match</v>
      </c>
      <c r="D640" s="71" t="str">
        <f aca="false">IFERROR(IF($B640=$C640,"Yes","No"),"No CUSIP Match")</f>
        <v>No</v>
      </c>
      <c r="E640" s="71"/>
      <c r="F640" s="71" t="str">
        <f aca="false">IFERROR(INDEX('13F Data'!C:C, MATCH($B640,'13F Data'!A:A,0)),"No CUSIP Match")</f>
        <v>No CUSIP Match</v>
      </c>
      <c r="G640" s="72" t="str">
        <f aca="false">IFERROR(INDEX('13F Data'!D:D,MATCH($B640,'13F Data'!A:A,0)),"No CUSIP Match")</f>
        <v>No CUSIP Match</v>
      </c>
      <c r="J640" s="73" t="n">
        <f aca="false">$V640</f>
        <v>16600</v>
      </c>
      <c r="K640" s="71" t="str">
        <f aca="false">IFERROR(INDEX('EOD Data'!G:G, MATCH($A640, 'EOD Data'!B:B,0)), "No TKR Match")</f>
        <v>No TKR Match</v>
      </c>
      <c r="L640" s="71" t="str">
        <f aca="false">IFERROR(ROUND($J640*$K640,0),"Error")</f>
        <v>Error</v>
      </c>
      <c r="M640" s="71" t="str">
        <f aca="false">IFERROR(IF(AND($J640&lt;10000,$L640&lt;200000),"Yes","No"),"Error")</f>
        <v>No</v>
      </c>
      <c r="P640" s="42" t="str">
        <f aca="false">IF($N640="SOLE",$J640,"")</f>
        <v/>
      </c>
      <c r="Q640" s="42" t="str">
        <f aca="false">IFERROR(IF($N640="Sole",0,IF(AND($N640="OTR",$R640=0),$J640-$P640,IF(AND($N640="OTR", $R640&gt;0), $J640-$P640-$Q640, ""))),"")</f>
        <v/>
      </c>
      <c r="R640" s="42" t="str">
        <f aca="false">IF($P640=$J640, "0","")</f>
        <v/>
      </c>
      <c r="S640" s="42" t="str">
        <f aca="false">IF(OR(ISBLANK($B640),ISBLANK($C640), ISBLANK($E640), ISBLANK($F640), AND(ISBLANK($G640),ISBLANK($H640)), ISBLANK($I640), ISBLANK($L640), AND(ISBLANK($N640), ISBLANK($O640)), AND(ISBLANK($P640), ISBLANK($Q640), ISBLANK($R640))), "No", "Yes")</f>
        <v>No</v>
      </c>
      <c r="T640" s="42" t="str">
        <f aca="false">SUBSTITUTE($U640," ","")</f>
        <v>902973304</v>
      </c>
      <c r="U640" s="42" t="s">
        <v>821</v>
      </c>
      <c r="V640" s="39" t="n">
        <v>16600</v>
      </c>
    </row>
    <row r="641" customFormat="false" ht="15" hidden="false" customHeight="false" outlineLevel="0" collapsed="false">
      <c r="B641" s="70" t="s">
        <v>821</v>
      </c>
      <c r="C641" s="71" t="str">
        <f aca="false">IFERROR(INDEX('13F Data'!A:A,MATCH($B641,'13F Data'!A:A,0)),"No CUSIP Match")</f>
        <v>No CUSIP Match</v>
      </c>
      <c r="D641" s="71" t="str">
        <f aca="false">IFERROR(IF($B641=$C641,"Yes","No"),"No CUSIP Match")</f>
        <v>No</v>
      </c>
      <c r="E641" s="71"/>
      <c r="F641" s="71" t="str">
        <f aca="false">IFERROR(INDEX('13F Data'!C:C, MATCH($B641,'13F Data'!A:A,0)),"No CUSIP Match")</f>
        <v>No CUSIP Match</v>
      </c>
      <c r="G641" s="72" t="str">
        <f aca="false">IFERROR(INDEX('13F Data'!D:D,MATCH($B641,'13F Data'!A:A,0)),"No CUSIP Match")</f>
        <v>No CUSIP Match</v>
      </c>
      <c r="J641" s="73" t="n">
        <f aca="false">$V641</f>
        <v>16600</v>
      </c>
      <c r="K641" s="71" t="str">
        <f aca="false">IFERROR(INDEX('EOD Data'!G:G, MATCH($A641, 'EOD Data'!B:B,0)), "No TKR Match")</f>
        <v>No TKR Match</v>
      </c>
      <c r="L641" s="71" t="str">
        <f aca="false">IFERROR(ROUND($J641*$K641,0),"Error")</f>
        <v>Error</v>
      </c>
      <c r="M641" s="71" t="str">
        <f aca="false">IFERROR(IF(AND($J641&lt;10000,$L641&lt;200000),"Yes","No"),"Error")</f>
        <v>No</v>
      </c>
      <c r="P641" s="42" t="str">
        <f aca="false">IF($N641="SOLE",$J641,"")</f>
        <v/>
      </c>
      <c r="Q641" s="42" t="str">
        <f aca="false">IFERROR(IF($N641="Sole",0,IF(AND($N641="OTR",$R641=0),$J641-$P641,IF(AND($N641="OTR", $R641&gt;0), $J641-$P641-$Q641, ""))),"")</f>
        <v/>
      </c>
      <c r="R641" s="42" t="str">
        <f aca="false">IF($P641=$J641, "0","")</f>
        <v/>
      </c>
      <c r="S641" s="42" t="str">
        <f aca="false">IF(OR(ISBLANK($B641),ISBLANK($C641), ISBLANK($E641), ISBLANK($F641), AND(ISBLANK($G641),ISBLANK($H641)), ISBLANK($I641), ISBLANK($L641), AND(ISBLANK($N641), ISBLANK($O641)), AND(ISBLANK($P641), ISBLANK($Q641), ISBLANK($R641))), "No", "Yes")</f>
        <v>No</v>
      </c>
      <c r="T641" s="42" t="str">
        <f aca="false">SUBSTITUTE($U641," ","")</f>
        <v>902973304</v>
      </c>
      <c r="U641" s="42" t="s">
        <v>821</v>
      </c>
      <c r="V641" s="39" t="n">
        <v>16600</v>
      </c>
    </row>
    <row r="642" customFormat="false" ht="15" hidden="false" customHeight="false" outlineLevel="0" collapsed="false">
      <c r="B642" s="70" t="s">
        <v>823</v>
      </c>
      <c r="C642" s="71" t="str">
        <f aca="false">IFERROR(INDEX('13F Data'!A:A,MATCH($B642,'13F Data'!A:A,0)),"No CUSIP Match")</f>
        <v>No CUSIP Match</v>
      </c>
      <c r="D642" s="71" t="str">
        <f aca="false">IFERROR(IF($B642=$C642,"Yes","No"),"No CUSIP Match")</f>
        <v>No</v>
      </c>
      <c r="E642" s="71"/>
      <c r="F642" s="71" t="str">
        <f aca="false">IFERROR(INDEX('13F Data'!C:C, MATCH($B642,'13F Data'!A:A,0)),"No CUSIP Match")</f>
        <v>No CUSIP Match</v>
      </c>
      <c r="G642" s="72" t="str">
        <f aca="false">IFERROR(INDEX('13F Data'!D:D,MATCH($B642,'13F Data'!A:A,0)),"No CUSIP Match")</f>
        <v>No CUSIP Match</v>
      </c>
      <c r="J642" s="73" t="n">
        <f aca="false">$V642</f>
        <v>449600</v>
      </c>
      <c r="K642" s="71" t="str">
        <f aca="false">IFERROR(INDEX('EOD Data'!G:G, MATCH($A642, 'EOD Data'!B:B,0)), "No TKR Match")</f>
        <v>No TKR Match</v>
      </c>
      <c r="L642" s="71" t="str">
        <f aca="false">IFERROR(ROUND($J642*$K642,0),"Error")</f>
        <v>Error</v>
      </c>
      <c r="M642" s="71" t="str">
        <f aca="false">IFERROR(IF(AND($J642&lt;10000,$L642&lt;200000),"Yes","No"),"Error")</f>
        <v>No</v>
      </c>
      <c r="P642" s="42" t="str">
        <f aca="false">IF($N642="SOLE",$J642,"")</f>
        <v/>
      </c>
      <c r="Q642" s="42" t="str">
        <f aca="false">IFERROR(IF($N642="Sole",0,IF(AND($N642="OTR",$R642=0),$J642-$P642,IF(AND($N642="OTR", $R642&gt;0), $J642-$P642-$Q642, ""))),"")</f>
        <v/>
      </c>
      <c r="R642" s="42" t="str">
        <f aca="false">IF($P642=$J642, "0","")</f>
        <v/>
      </c>
      <c r="S642" s="42" t="str">
        <f aca="false">IF(OR(ISBLANK($B642),ISBLANK($C642), ISBLANK($E642), ISBLANK($F642), AND(ISBLANK($G642),ISBLANK($H642)), ISBLANK($I642), ISBLANK($L642), AND(ISBLANK($N642), ISBLANK($O642)), AND(ISBLANK($P642), ISBLANK($Q642), ISBLANK($R642))), "No", "Yes")</f>
        <v>No</v>
      </c>
      <c r="T642" s="42" t="str">
        <f aca="false">SUBSTITUTE($U642," ","")</f>
        <v>918090101</v>
      </c>
      <c r="U642" s="42" t="s">
        <v>823</v>
      </c>
      <c r="V642" s="39" t="n">
        <v>449600</v>
      </c>
    </row>
    <row r="643" customFormat="false" ht="15" hidden="false" customHeight="false" outlineLevel="0" collapsed="false">
      <c r="B643" s="70" t="s">
        <v>825</v>
      </c>
      <c r="C643" s="71" t="str">
        <f aca="false">IFERROR(INDEX('13F Data'!A:A,MATCH($B643,'13F Data'!A:A,0)),"No CUSIP Match")</f>
        <v>No CUSIP Match</v>
      </c>
      <c r="D643" s="71" t="str">
        <f aca="false">IFERROR(IF($B643=$C643,"Yes","No"),"No CUSIP Match")</f>
        <v>No</v>
      </c>
      <c r="E643" s="71"/>
      <c r="F643" s="71" t="str">
        <f aca="false">IFERROR(INDEX('13F Data'!C:C, MATCH($B643,'13F Data'!A:A,0)),"No CUSIP Match")</f>
        <v>No CUSIP Match</v>
      </c>
      <c r="G643" s="72" t="str">
        <f aca="false">IFERROR(INDEX('13F Data'!D:D,MATCH($B643,'13F Data'!A:A,0)),"No CUSIP Match")</f>
        <v>No CUSIP Match</v>
      </c>
      <c r="J643" s="73" t="n">
        <f aca="false">$V643</f>
        <v>861</v>
      </c>
      <c r="K643" s="71" t="str">
        <f aca="false">IFERROR(INDEX('EOD Data'!G:G, MATCH($A643, 'EOD Data'!B:B,0)), "No TKR Match")</f>
        <v>No TKR Match</v>
      </c>
      <c r="L643" s="71" t="str">
        <f aca="false">IFERROR(ROUND($J643*$K643,0),"Error")</f>
        <v>Error</v>
      </c>
      <c r="M643" s="71" t="str">
        <f aca="false">IFERROR(IF(AND($J643&lt;10000,$L643&lt;200000),"Yes","No"),"Error")</f>
        <v>No</v>
      </c>
      <c r="P643" s="42" t="str">
        <f aca="false">IF($N643="SOLE",$J643,"")</f>
        <v/>
      </c>
      <c r="Q643" s="42" t="str">
        <f aca="false">IFERROR(IF($N643="Sole",0,IF(AND($N643="OTR",$R643=0),$J643-$P643,IF(AND($N643="OTR", $R643&gt;0), $J643-$P643-$Q643, ""))),"")</f>
        <v/>
      </c>
      <c r="R643" s="42" t="str">
        <f aca="false">IF($P643=$J643, "0","")</f>
        <v/>
      </c>
      <c r="S643" s="42" t="str">
        <f aca="false">IF(OR(ISBLANK($B643),ISBLANK($C643), ISBLANK($E643), ISBLANK($F643), AND(ISBLANK($G643),ISBLANK($H643)), ISBLANK($I643), ISBLANK($L643), AND(ISBLANK($N643), ISBLANK($O643)), AND(ISBLANK($P643), ISBLANK($Q643), ISBLANK($R643))), "No", "Yes")</f>
        <v>No</v>
      </c>
      <c r="T643" s="42" t="str">
        <f aca="false">SUBSTITUTE($U643," ","")</f>
        <v>91913Y100</v>
      </c>
      <c r="U643" s="42" t="s">
        <v>825</v>
      </c>
      <c r="V643" s="39" t="n">
        <v>861</v>
      </c>
    </row>
    <row r="644" customFormat="false" ht="15" hidden="false" customHeight="false" outlineLevel="0" collapsed="false">
      <c r="B644" s="70" t="s">
        <v>825</v>
      </c>
      <c r="C644" s="71" t="str">
        <f aca="false">IFERROR(INDEX('13F Data'!A:A,MATCH($B644,'13F Data'!A:A,0)),"No CUSIP Match")</f>
        <v>No CUSIP Match</v>
      </c>
      <c r="D644" s="71" t="str">
        <f aca="false">IFERROR(IF($B644=$C644,"Yes","No"),"No CUSIP Match")</f>
        <v>No</v>
      </c>
      <c r="E644" s="71"/>
      <c r="F644" s="71" t="str">
        <f aca="false">IFERROR(INDEX('13F Data'!C:C, MATCH($B644,'13F Data'!A:A,0)),"No CUSIP Match")</f>
        <v>No CUSIP Match</v>
      </c>
      <c r="G644" s="72" t="str">
        <f aca="false">IFERROR(INDEX('13F Data'!D:D,MATCH($B644,'13F Data'!A:A,0)),"No CUSIP Match")</f>
        <v>No CUSIP Match</v>
      </c>
      <c r="J644" s="73" t="n">
        <f aca="false">$V644</f>
        <v>5400</v>
      </c>
      <c r="K644" s="71" t="str">
        <f aca="false">IFERROR(INDEX('EOD Data'!G:G, MATCH($A644, 'EOD Data'!B:B,0)), "No TKR Match")</f>
        <v>No TKR Match</v>
      </c>
      <c r="L644" s="71" t="str">
        <f aca="false">IFERROR(ROUND($J644*$K644,0),"Error")</f>
        <v>Error</v>
      </c>
      <c r="M644" s="71" t="str">
        <f aca="false">IFERROR(IF(AND($J644&lt;10000,$L644&lt;200000),"Yes","No"),"Error")</f>
        <v>No</v>
      </c>
      <c r="P644" s="42" t="str">
        <f aca="false">IF($N644="SOLE",$J644,"")</f>
        <v/>
      </c>
      <c r="Q644" s="42" t="str">
        <f aca="false">IFERROR(IF($N644="Sole",0,IF(AND($N644="OTR",$R644=0),$J644-$P644,IF(AND($N644="OTR", $R644&gt;0), $J644-$P644-$Q644, ""))),"")</f>
        <v/>
      </c>
      <c r="R644" s="42" t="str">
        <f aca="false">IF($P644=$J644, "0","")</f>
        <v/>
      </c>
      <c r="S644" s="42" t="str">
        <f aca="false">IF(OR(ISBLANK($B644),ISBLANK($C644), ISBLANK($E644), ISBLANK($F644), AND(ISBLANK($G644),ISBLANK($H644)), ISBLANK($I644), ISBLANK($L644), AND(ISBLANK($N644), ISBLANK($O644)), AND(ISBLANK($P644), ISBLANK($Q644), ISBLANK($R644))), "No", "Yes")</f>
        <v>No</v>
      </c>
      <c r="T644" s="42" t="str">
        <f aca="false">SUBSTITUTE($U644," ","")</f>
        <v>91913Y100</v>
      </c>
      <c r="U644" s="42" t="s">
        <v>825</v>
      </c>
      <c r="V644" s="39" t="n">
        <v>5400</v>
      </c>
    </row>
    <row r="645" customFormat="false" ht="15" hidden="false" customHeight="false" outlineLevel="0" collapsed="false">
      <c r="B645" s="70" t="s">
        <v>825</v>
      </c>
      <c r="C645" s="71" t="str">
        <f aca="false">IFERROR(INDEX('13F Data'!A:A,MATCH($B645,'13F Data'!A:A,0)),"No CUSIP Match")</f>
        <v>No CUSIP Match</v>
      </c>
      <c r="D645" s="71" t="str">
        <f aca="false">IFERROR(IF($B645=$C645,"Yes","No"),"No CUSIP Match")</f>
        <v>No</v>
      </c>
      <c r="E645" s="71"/>
      <c r="F645" s="71" t="str">
        <f aca="false">IFERROR(INDEX('13F Data'!C:C, MATCH($B645,'13F Data'!A:A,0)),"No CUSIP Match")</f>
        <v>No CUSIP Match</v>
      </c>
      <c r="G645" s="72" t="str">
        <f aca="false">IFERROR(INDEX('13F Data'!D:D,MATCH($B645,'13F Data'!A:A,0)),"No CUSIP Match")</f>
        <v>No CUSIP Match</v>
      </c>
      <c r="J645" s="73" t="n">
        <f aca="false">$V645</f>
        <v>5400</v>
      </c>
      <c r="K645" s="71" t="str">
        <f aca="false">IFERROR(INDEX('EOD Data'!G:G, MATCH($A645, 'EOD Data'!B:B,0)), "No TKR Match")</f>
        <v>No TKR Match</v>
      </c>
      <c r="L645" s="71" t="str">
        <f aca="false">IFERROR(ROUND($J645*$K645,0),"Error")</f>
        <v>Error</v>
      </c>
      <c r="M645" s="71" t="str">
        <f aca="false">IFERROR(IF(AND($J645&lt;10000,$L645&lt;200000),"Yes","No"),"Error")</f>
        <v>No</v>
      </c>
      <c r="P645" s="42" t="str">
        <f aca="false">IF($N645="SOLE",$J645,"")</f>
        <v/>
      </c>
      <c r="Q645" s="42" t="str">
        <f aca="false">IFERROR(IF($N645="Sole",0,IF(AND($N645="OTR",$R645=0),$J645-$P645,IF(AND($N645="OTR", $R645&gt;0), $J645-$P645-$Q645, ""))),"")</f>
        <v/>
      </c>
      <c r="R645" s="42" t="str">
        <f aca="false">IF($P645=$J645, "0","")</f>
        <v/>
      </c>
      <c r="S645" s="42" t="str">
        <f aca="false">IF(OR(ISBLANK($B645),ISBLANK($C645), ISBLANK($E645), ISBLANK($F645), AND(ISBLANK($G645),ISBLANK($H645)), ISBLANK($I645), ISBLANK($L645), AND(ISBLANK($N645), ISBLANK($O645)), AND(ISBLANK($P645), ISBLANK($Q645), ISBLANK($R645))), "No", "Yes")</f>
        <v>No</v>
      </c>
      <c r="T645" s="42" t="str">
        <f aca="false">SUBSTITUTE($U645," ","")</f>
        <v>91913Y100</v>
      </c>
      <c r="U645" s="42" t="s">
        <v>825</v>
      </c>
      <c r="V645" s="39" t="n">
        <v>5400</v>
      </c>
    </row>
    <row r="646" customFormat="false" ht="15" hidden="false" customHeight="false" outlineLevel="0" collapsed="false">
      <c r="B646" s="70" t="s">
        <v>827</v>
      </c>
      <c r="C646" s="71" t="str">
        <f aca="false">IFERROR(INDEX('13F Data'!A:A,MATCH($B646,'13F Data'!A:A,0)),"No CUSIP Match")</f>
        <v>No CUSIP Match</v>
      </c>
      <c r="D646" s="71" t="str">
        <f aca="false">IFERROR(IF($B646=$C646,"Yes","No"),"No CUSIP Match")</f>
        <v>No</v>
      </c>
      <c r="E646" s="71"/>
      <c r="F646" s="71" t="str">
        <f aca="false">IFERROR(INDEX('13F Data'!C:C, MATCH($B646,'13F Data'!A:A,0)),"No CUSIP Match")</f>
        <v>No CUSIP Match</v>
      </c>
      <c r="G646" s="72" t="str">
        <f aca="false">IFERROR(INDEX('13F Data'!D:D,MATCH($B646,'13F Data'!A:A,0)),"No CUSIP Match")</f>
        <v>No CUSIP Match</v>
      </c>
      <c r="J646" s="73" t="n">
        <f aca="false">$V646</f>
        <v>38332000</v>
      </c>
      <c r="K646" s="71" t="str">
        <f aca="false">IFERROR(INDEX('EOD Data'!G:G, MATCH($A646, 'EOD Data'!B:B,0)), "No TKR Match")</f>
        <v>No TKR Match</v>
      </c>
      <c r="L646" s="71" t="str">
        <f aca="false">IFERROR(ROUND($J646*$K646,0),"Error")</f>
        <v>Error</v>
      </c>
      <c r="M646" s="71" t="str">
        <f aca="false">IFERROR(IF(AND($J646&lt;10000,$L646&lt;200000),"Yes","No"),"Error")</f>
        <v>No</v>
      </c>
      <c r="P646" s="42" t="str">
        <f aca="false">IF($N646="SOLE",$J646,"")</f>
        <v/>
      </c>
      <c r="Q646" s="42" t="str">
        <f aca="false">IFERROR(IF($N646="Sole",0,IF(AND($N646="OTR",$R646=0),$J646-$P646,IF(AND($N646="OTR", $R646&gt;0), $J646-$P646-$Q646, ""))),"")</f>
        <v/>
      </c>
      <c r="R646" s="42" t="str">
        <f aca="false">IF($P646=$J646, "0","")</f>
        <v/>
      </c>
      <c r="S646" s="42" t="str">
        <f aca="false">IF(OR(ISBLANK($B646),ISBLANK($C646), ISBLANK($E646), ISBLANK($F646), AND(ISBLANK($G646),ISBLANK($H646)), ISBLANK($I646), ISBLANK($L646), AND(ISBLANK($N646), ISBLANK($O646)), AND(ISBLANK($P646), ISBLANK($Q646), ISBLANK($R646))), "No", "Yes")</f>
        <v>No</v>
      </c>
      <c r="T646" s="42" t="str">
        <f aca="false">SUBSTITUTE($U646," ","")</f>
        <v>01988PAF5</v>
      </c>
      <c r="U646" s="42" t="s">
        <v>827</v>
      </c>
      <c r="V646" s="39" t="n">
        <v>38332000</v>
      </c>
    </row>
    <row r="647" customFormat="false" ht="15" hidden="false" customHeight="false" outlineLevel="0" collapsed="false">
      <c r="B647" s="70" t="s">
        <v>829</v>
      </c>
      <c r="C647" s="71" t="str">
        <f aca="false">IFERROR(INDEX('13F Data'!A:A,MATCH($B647,'13F Data'!A:A,0)),"No CUSIP Match")</f>
        <v>No CUSIP Match</v>
      </c>
      <c r="D647" s="71" t="str">
        <f aca="false">IFERROR(IF($B647=$C647,"Yes","No"),"No CUSIP Match")</f>
        <v>No</v>
      </c>
      <c r="E647" s="71"/>
      <c r="F647" s="71" t="str">
        <f aca="false">IFERROR(INDEX('13F Data'!C:C, MATCH($B647,'13F Data'!A:A,0)),"No CUSIP Match")</f>
        <v>No CUSIP Match</v>
      </c>
      <c r="G647" s="72" t="str">
        <f aca="false">IFERROR(INDEX('13F Data'!D:D,MATCH($B647,'13F Data'!A:A,0)),"No CUSIP Match")</f>
        <v>No CUSIP Match</v>
      </c>
      <c r="J647" s="73" t="n">
        <f aca="false">$V647</f>
        <v>75</v>
      </c>
      <c r="K647" s="71" t="str">
        <f aca="false">IFERROR(INDEX('EOD Data'!G:G, MATCH($A647, 'EOD Data'!B:B,0)), "No TKR Match")</f>
        <v>No TKR Match</v>
      </c>
      <c r="L647" s="71" t="str">
        <f aca="false">IFERROR(ROUND($J647*$K647,0),"Error")</f>
        <v>Error</v>
      </c>
      <c r="M647" s="71" t="str">
        <f aca="false">IFERROR(IF(AND($J647&lt;10000,$L647&lt;200000),"Yes","No"),"Error")</f>
        <v>No</v>
      </c>
      <c r="P647" s="42" t="str">
        <f aca="false">IF($N647="SOLE",$J647,"")</f>
        <v/>
      </c>
      <c r="Q647" s="42" t="str">
        <f aca="false">IFERROR(IF($N647="Sole",0,IF(AND($N647="OTR",$R647=0),$J647-$P647,IF(AND($N647="OTR", $R647&gt;0), $J647-$P647-$Q647, ""))),"")</f>
        <v/>
      </c>
      <c r="R647" s="42" t="str">
        <f aca="false">IF($P647=$J647, "0","")</f>
        <v/>
      </c>
      <c r="S647" s="42" t="str">
        <f aca="false">IF(OR(ISBLANK($B647),ISBLANK($C647), ISBLANK($E647), ISBLANK($F647), AND(ISBLANK($G647),ISBLANK($H647)), ISBLANK($I647), ISBLANK($L647), AND(ISBLANK($N647), ISBLANK($O647)), AND(ISBLANK($P647), ISBLANK($Q647), ISBLANK($R647))), "No", "Yes")</f>
        <v>No</v>
      </c>
      <c r="T647" s="42" t="str">
        <f aca="false">SUBSTITUTE($U647," ","")</f>
        <v>92343V104</v>
      </c>
      <c r="U647" s="42" t="s">
        <v>829</v>
      </c>
      <c r="V647" s="39" t="n">
        <v>75</v>
      </c>
    </row>
    <row r="648" customFormat="false" ht="15" hidden="false" customHeight="false" outlineLevel="0" collapsed="false">
      <c r="B648" s="70" t="s">
        <v>829</v>
      </c>
      <c r="C648" s="71" t="str">
        <f aca="false">IFERROR(INDEX('13F Data'!A:A,MATCH($B648,'13F Data'!A:A,0)),"No CUSIP Match")</f>
        <v>No CUSIP Match</v>
      </c>
      <c r="D648" s="71" t="str">
        <f aca="false">IFERROR(IF($B648=$C648,"Yes","No"),"No CUSIP Match")</f>
        <v>No</v>
      </c>
      <c r="E648" s="71"/>
      <c r="F648" s="71" t="str">
        <f aca="false">IFERROR(INDEX('13F Data'!C:C, MATCH($B648,'13F Data'!A:A,0)),"No CUSIP Match")</f>
        <v>No CUSIP Match</v>
      </c>
      <c r="G648" s="72" t="str">
        <f aca="false">IFERROR(INDEX('13F Data'!D:D,MATCH($B648,'13F Data'!A:A,0)),"No CUSIP Match")</f>
        <v>No CUSIP Match</v>
      </c>
      <c r="J648" s="73" t="n">
        <f aca="false">$V648</f>
        <v>4000</v>
      </c>
      <c r="K648" s="71" t="str">
        <f aca="false">IFERROR(INDEX('EOD Data'!G:G, MATCH($A648, 'EOD Data'!B:B,0)), "No TKR Match")</f>
        <v>No TKR Match</v>
      </c>
      <c r="L648" s="71" t="str">
        <f aca="false">IFERROR(ROUND($J648*$K648,0),"Error")</f>
        <v>Error</v>
      </c>
      <c r="M648" s="71" t="str">
        <f aca="false">IFERROR(IF(AND($J648&lt;10000,$L648&lt;200000),"Yes","No"),"Error")</f>
        <v>No</v>
      </c>
      <c r="P648" s="42" t="str">
        <f aca="false">IF($N648="SOLE",$J648,"")</f>
        <v/>
      </c>
      <c r="Q648" s="42" t="str">
        <f aca="false">IFERROR(IF($N648="Sole",0,IF(AND($N648="OTR",$R648=0),$J648-$P648,IF(AND($N648="OTR", $R648&gt;0), $J648-$P648-$Q648, ""))),"")</f>
        <v/>
      </c>
      <c r="R648" s="42" t="str">
        <f aca="false">IF($P648=$J648, "0","")</f>
        <v/>
      </c>
      <c r="S648" s="42" t="str">
        <f aca="false">IF(OR(ISBLANK($B648),ISBLANK($C648), ISBLANK($E648), ISBLANK($F648), AND(ISBLANK($G648),ISBLANK($H648)), ISBLANK($I648), ISBLANK($L648), AND(ISBLANK($N648), ISBLANK($O648)), AND(ISBLANK($P648), ISBLANK($Q648), ISBLANK($R648))), "No", "Yes")</f>
        <v>No</v>
      </c>
      <c r="T648" s="42" t="str">
        <f aca="false">SUBSTITUTE($U648," ","")</f>
        <v>92343V104</v>
      </c>
      <c r="U648" s="42" t="s">
        <v>829</v>
      </c>
      <c r="V648" s="39" t="n">
        <v>4000</v>
      </c>
    </row>
    <row r="649" customFormat="false" ht="15" hidden="false" customHeight="false" outlineLevel="0" collapsed="false">
      <c r="B649" s="70" t="s">
        <v>829</v>
      </c>
      <c r="C649" s="71" t="str">
        <f aca="false">IFERROR(INDEX('13F Data'!A:A,MATCH($B649,'13F Data'!A:A,0)),"No CUSIP Match")</f>
        <v>No CUSIP Match</v>
      </c>
      <c r="D649" s="71" t="str">
        <f aca="false">IFERROR(IF($B649=$C649,"Yes","No"),"No CUSIP Match")</f>
        <v>No</v>
      </c>
      <c r="E649" s="71"/>
      <c r="F649" s="71" t="str">
        <f aca="false">IFERROR(INDEX('13F Data'!C:C, MATCH($B649,'13F Data'!A:A,0)),"No CUSIP Match")</f>
        <v>No CUSIP Match</v>
      </c>
      <c r="G649" s="72" t="str">
        <f aca="false">IFERROR(INDEX('13F Data'!D:D,MATCH($B649,'13F Data'!A:A,0)),"No CUSIP Match")</f>
        <v>No CUSIP Match</v>
      </c>
      <c r="J649" s="73" t="n">
        <f aca="false">$V649</f>
        <v>4000</v>
      </c>
      <c r="K649" s="71" t="str">
        <f aca="false">IFERROR(INDEX('EOD Data'!G:G, MATCH($A649, 'EOD Data'!B:B,0)), "No TKR Match")</f>
        <v>No TKR Match</v>
      </c>
      <c r="L649" s="71" t="str">
        <f aca="false">IFERROR(ROUND($J649*$K649,0),"Error")</f>
        <v>Error</v>
      </c>
      <c r="M649" s="71" t="str">
        <f aca="false">IFERROR(IF(AND($J649&lt;10000,$L649&lt;200000),"Yes","No"),"Error")</f>
        <v>No</v>
      </c>
      <c r="P649" s="42" t="str">
        <f aca="false">IF($N649="SOLE",$J649,"")</f>
        <v/>
      </c>
      <c r="Q649" s="42" t="str">
        <f aca="false">IFERROR(IF($N649="Sole",0,IF(AND($N649="OTR",$R649=0),$J649-$P649,IF(AND($N649="OTR", $R649&gt;0), $J649-$P649-$Q649, ""))),"")</f>
        <v/>
      </c>
      <c r="R649" s="42" t="str">
        <f aca="false">IF($P649=$J649, "0","")</f>
        <v/>
      </c>
      <c r="S649" s="42" t="str">
        <f aca="false">IF(OR(ISBLANK($B649),ISBLANK($C649), ISBLANK($E649), ISBLANK($F649), AND(ISBLANK($G649),ISBLANK($H649)), ISBLANK($I649), ISBLANK($L649), AND(ISBLANK($N649), ISBLANK($O649)), AND(ISBLANK($P649), ISBLANK($Q649), ISBLANK($R649))), "No", "Yes")</f>
        <v>No</v>
      </c>
      <c r="T649" s="42" t="str">
        <f aca="false">SUBSTITUTE($U649," ","")</f>
        <v>92343V104</v>
      </c>
      <c r="U649" s="42" t="s">
        <v>829</v>
      </c>
      <c r="V649" s="39" t="n">
        <v>4000</v>
      </c>
    </row>
    <row r="650" customFormat="false" ht="15" hidden="false" customHeight="false" outlineLevel="0" collapsed="false">
      <c r="B650" s="70" t="s">
        <v>831</v>
      </c>
      <c r="C650" s="71" t="str">
        <f aca="false">IFERROR(INDEX('13F Data'!A:A,MATCH($B650,'13F Data'!A:A,0)),"No CUSIP Match")</f>
        <v>No CUSIP Match</v>
      </c>
      <c r="D650" s="71" t="str">
        <f aca="false">IFERROR(IF($B650=$C650,"Yes","No"),"No CUSIP Match")</f>
        <v>No</v>
      </c>
      <c r="E650" s="71"/>
      <c r="F650" s="71" t="str">
        <f aca="false">IFERROR(INDEX('13F Data'!C:C, MATCH($B650,'13F Data'!A:A,0)),"No CUSIP Match")</f>
        <v>No CUSIP Match</v>
      </c>
      <c r="G650" s="72" t="str">
        <f aca="false">IFERROR(INDEX('13F Data'!D:D,MATCH($B650,'13F Data'!A:A,0)),"No CUSIP Match")</f>
        <v>No CUSIP Match</v>
      </c>
      <c r="J650" s="73" t="n">
        <f aca="false">$V650</f>
        <v>14</v>
      </c>
      <c r="K650" s="71" t="str">
        <f aca="false">IFERROR(INDEX('EOD Data'!G:G, MATCH($A650, 'EOD Data'!B:B,0)), "No TKR Match")</f>
        <v>No TKR Match</v>
      </c>
      <c r="L650" s="71" t="str">
        <f aca="false">IFERROR(ROUND($J650*$K650,0),"Error")</f>
        <v>Error</v>
      </c>
      <c r="M650" s="71" t="str">
        <f aca="false">IFERROR(IF(AND($J650&lt;10000,$L650&lt;200000),"Yes","No"),"Error")</f>
        <v>No</v>
      </c>
      <c r="P650" s="42" t="str">
        <f aca="false">IF($N650="SOLE",$J650,"")</f>
        <v/>
      </c>
      <c r="Q650" s="42" t="str">
        <f aca="false">IFERROR(IF($N650="Sole",0,IF(AND($N650="OTR",$R650=0),$J650-$P650,IF(AND($N650="OTR", $R650&gt;0), $J650-$P650-$Q650, ""))),"")</f>
        <v/>
      </c>
      <c r="R650" s="42" t="str">
        <f aca="false">IF($P650=$J650, "0","")</f>
        <v/>
      </c>
      <c r="S650" s="42" t="str">
        <f aca="false">IF(OR(ISBLANK($B650),ISBLANK($C650), ISBLANK($E650), ISBLANK($F650), AND(ISBLANK($G650),ISBLANK($H650)), ISBLANK($I650), ISBLANK($L650), AND(ISBLANK($N650), ISBLANK($O650)), AND(ISBLANK($P650), ISBLANK($Q650), ISBLANK($R650))), "No", "Yes")</f>
        <v>No</v>
      </c>
      <c r="T650" s="42" t="str">
        <f aca="false">SUBSTITUTE($U650," ","")</f>
        <v>92532F100</v>
      </c>
      <c r="U650" s="42" t="s">
        <v>831</v>
      </c>
      <c r="V650" s="39" t="n">
        <v>14</v>
      </c>
    </row>
    <row r="651" customFormat="false" ht="15" hidden="false" customHeight="false" outlineLevel="0" collapsed="false">
      <c r="B651" s="70" t="s">
        <v>831</v>
      </c>
      <c r="C651" s="71" t="str">
        <f aca="false">IFERROR(INDEX('13F Data'!A:A,MATCH($B651,'13F Data'!A:A,0)),"No CUSIP Match")</f>
        <v>No CUSIP Match</v>
      </c>
      <c r="D651" s="71" t="str">
        <f aca="false">IFERROR(IF($B651=$C651,"Yes","No"),"No CUSIP Match")</f>
        <v>No</v>
      </c>
      <c r="E651" s="71"/>
      <c r="F651" s="71" t="str">
        <f aca="false">IFERROR(INDEX('13F Data'!C:C, MATCH($B651,'13F Data'!A:A,0)),"No CUSIP Match")</f>
        <v>No CUSIP Match</v>
      </c>
      <c r="G651" s="72" t="str">
        <f aca="false">IFERROR(INDEX('13F Data'!D:D,MATCH($B651,'13F Data'!A:A,0)),"No CUSIP Match")</f>
        <v>No CUSIP Match</v>
      </c>
      <c r="J651" s="73" t="n">
        <f aca="false">$V651</f>
        <v>9500</v>
      </c>
      <c r="K651" s="71" t="str">
        <f aca="false">IFERROR(INDEX('EOD Data'!G:G, MATCH($A651, 'EOD Data'!B:B,0)), "No TKR Match")</f>
        <v>No TKR Match</v>
      </c>
      <c r="L651" s="71" t="str">
        <f aca="false">IFERROR(ROUND($J651*$K651,0),"Error")</f>
        <v>Error</v>
      </c>
      <c r="M651" s="71" t="str">
        <f aca="false">IFERROR(IF(AND($J651&lt;10000,$L651&lt;200000),"Yes","No"),"Error")</f>
        <v>No</v>
      </c>
      <c r="P651" s="42" t="str">
        <f aca="false">IF($N651="SOLE",$J651,"")</f>
        <v/>
      </c>
      <c r="Q651" s="42" t="str">
        <f aca="false">IFERROR(IF($N651="Sole",0,IF(AND($N651="OTR",$R651=0),$J651-$P651,IF(AND($N651="OTR", $R651&gt;0), $J651-$P651-$Q651, ""))),"")</f>
        <v/>
      </c>
      <c r="R651" s="42" t="str">
        <f aca="false">IF($P651=$J651, "0","")</f>
        <v/>
      </c>
      <c r="S651" s="42" t="str">
        <f aca="false">IF(OR(ISBLANK($B651),ISBLANK($C651), ISBLANK($E651), ISBLANK($F651), AND(ISBLANK($G651),ISBLANK($H651)), ISBLANK($I651), ISBLANK($L651), AND(ISBLANK($N651), ISBLANK($O651)), AND(ISBLANK($P651), ISBLANK($Q651), ISBLANK($R651))), "No", "Yes")</f>
        <v>No</v>
      </c>
      <c r="T651" s="42" t="str">
        <f aca="false">SUBSTITUTE($U651," ","")</f>
        <v>92532F100</v>
      </c>
      <c r="U651" s="42" t="s">
        <v>831</v>
      </c>
      <c r="V651" s="39" t="n">
        <v>9500</v>
      </c>
    </row>
    <row r="652" customFormat="false" ht="15" hidden="false" customHeight="false" outlineLevel="0" collapsed="false">
      <c r="B652" s="70" t="s">
        <v>831</v>
      </c>
      <c r="C652" s="71" t="str">
        <f aca="false">IFERROR(INDEX('13F Data'!A:A,MATCH($B652,'13F Data'!A:A,0)),"No CUSIP Match")</f>
        <v>No CUSIP Match</v>
      </c>
      <c r="D652" s="71" t="str">
        <f aca="false">IFERROR(IF($B652=$C652,"Yes","No"),"No CUSIP Match")</f>
        <v>No</v>
      </c>
      <c r="E652" s="71"/>
      <c r="F652" s="71" t="str">
        <f aca="false">IFERROR(INDEX('13F Data'!C:C, MATCH($B652,'13F Data'!A:A,0)),"No CUSIP Match")</f>
        <v>No CUSIP Match</v>
      </c>
      <c r="G652" s="72" t="str">
        <f aca="false">IFERROR(INDEX('13F Data'!D:D,MATCH($B652,'13F Data'!A:A,0)),"No CUSIP Match")</f>
        <v>No CUSIP Match</v>
      </c>
      <c r="J652" s="73" t="n">
        <f aca="false">$V652</f>
        <v>9500</v>
      </c>
      <c r="K652" s="71" t="str">
        <f aca="false">IFERROR(INDEX('EOD Data'!G:G, MATCH($A652, 'EOD Data'!B:B,0)), "No TKR Match")</f>
        <v>No TKR Match</v>
      </c>
      <c r="L652" s="71" t="str">
        <f aca="false">IFERROR(ROUND($J652*$K652,0),"Error")</f>
        <v>Error</v>
      </c>
      <c r="M652" s="71" t="str">
        <f aca="false">IFERROR(IF(AND($J652&lt;10000,$L652&lt;200000),"Yes","No"),"Error")</f>
        <v>No</v>
      </c>
      <c r="P652" s="42" t="str">
        <f aca="false">IF($N652="SOLE",$J652,"")</f>
        <v/>
      </c>
      <c r="Q652" s="42" t="str">
        <f aca="false">IFERROR(IF($N652="Sole",0,IF(AND($N652="OTR",$R652=0),$J652-$P652,IF(AND($N652="OTR", $R652&gt;0), $J652-$P652-$Q652, ""))),"")</f>
        <v/>
      </c>
      <c r="R652" s="42" t="str">
        <f aca="false">IF($P652=$J652, "0","")</f>
        <v/>
      </c>
      <c r="S652" s="42" t="str">
        <f aca="false">IF(OR(ISBLANK($B652),ISBLANK($C652), ISBLANK($E652), ISBLANK($F652), AND(ISBLANK($G652),ISBLANK($H652)), ISBLANK($I652), ISBLANK($L652), AND(ISBLANK($N652), ISBLANK($O652)), AND(ISBLANK($P652), ISBLANK($Q652), ISBLANK($R652))), "No", "Yes")</f>
        <v>No</v>
      </c>
      <c r="T652" s="42" t="str">
        <f aca="false">SUBSTITUTE($U652," ","")</f>
        <v>92532F100</v>
      </c>
      <c r="U652" s="42" t="s">
        <v>831</v>
      </c>
      <c r="V652" s="39" t="n">
        <v>9500</v>
      </c>
    </row>
    <row r="653" customFormat="false" ht="15" hidden="false" customHeight="false" outlineLevel="0" collapsed="false">
      <c r="B653" s="70" t="s">
        <v>833</v>
      </c>
      <c r="C653" s="71" t="str">
        <f aca="false">IFERROR(INDEX('13F Data'!A:A,MATCH($B653,'13F Data'!A:A,0)),"No CUSIP Match")</f>
        <v>No CUSIP Match</v>
      </c>
      <c r="D653" s="71" t="str">
        <f aca="false">IFERROR(IF($B653=$C653,"Yes","No"),"No CUSIP Match")</f>
        <v>No</v>
      </c>
      <c r="E653" s="71"/>
      <c r="F653" s="71" t="str">
        <f aca="false">IFERROR(INDEX('13F Data'!C:C, MATCH($B653,'13F Data'!A:A,0)),"No CUSIP Match")</f>
        <v>No CUSIP Match</v>
      </c>
      <c r="G653" s="72" t="str">
        <f aca="false">IFERROR(INDEX('13F Data'!D:D,MATCH($B653,'13F Data'!A:A,0)),"No CUSIP Match")</f>
        <v>No CUSIP Match</v>
      </c>
      <c r="J653" s="73" t="n">
        <f aca="false">$V653</f>
        <v>55000</v>
      </c>
      <c r="K653" s="71" t="str">
        <f aca="false">IFERROR(INDEX('EOD Data'!G:G, MATCH($A653, 'EOD Data'!B:B,0)), "No TKR Match")</f>
        <v>No TKR Match</v>
      </c>
      <c r="L653" s="71" t="str">
        <f aca="false">IFERROR(ROUND($J653*$K653,0),"Error")</f>
        <v>Error</v>
      </c>
      <c r="M653" s="71" t="str">
        <f aca="false">IFERROR(IF(AND($J653&lt;10000,$L653&lt;200000),"Yes","No"),"Error")</f>
        <v>No</v>
      </c>
      <c r="P653" s="42" t="str">
        <f aca="false">IF($N653="SOLE",$J653,"")</f>
        <v/>
      </c>
      <c r="Q653" s="42" t="str">
        <f aca="false">IFERROR(IF($N653="Sole",0,IF(AND($N653="OTR",$R653=0),$J653-$P653,IF(AND($N653="OTR", $R653&gt;0), $J653-$P653-$Q653, ""))),"")</f>
        <v/>
      </c>
      <c r="R653" s="42" t="str">
        <f aca="false">IF($P653=$J653, "0","")</f>
        <v/>
      </c>
      <c r="S653" s="42" t="str">
        <f aca="false">IF(OR(ISBLANK($B653),ISBLANK($C653), ISBLANK($E653), ISBLANK($F653), AND(ISBLANK($G653),ISBLANK($H653)), ISBLANK($I653), ISBLANK($L653), AND(ISBLANK($N653), ISBLANK($O653)), AND(ISBLANK($P653), ISBLANK($Q653), ISBLANK($R653))), "No", "Yes")</f>
        <v>No</v>
      </c>
      <c r="T653" s="42" t="str">
        <f aca="false">SUBSTITUTE($U653," ","")</f>
        <v>92537N108</v>
      </c>
      <c r="U653" s="42" t="s">
        <v>833</v>
      </c>
      <c r="V653" s="39" t="n">
        <v>55000</v>
      </c>
    </row>
    <row r="654" customFormat="false" ht="15" hidden="false" customHeight="false" outlineLevel="0" collapsed="false">
      <c r="B654" s="70" t="s">
        <v>835</v>
      </c>
      <c r="C654" s="71" t="str">
        <f aca="false">IFERROR(INDEX('13F Data'!A:A,MATCH($B654,'13F Data'!A:A,0)),"No CUSIP Match")</f>
        <v>No CUSIP Match</v>
      </c>
      <c r="D654" s="71" t="str">
        <f aca="false">IFERROR(IF($B654=$C654,"Yes","No"),"No CUSIP Match")</f>
        <v>No</v>
      </c>
      <c r="E654" s="71"/>
      <c r="F654" s="71" t="str">
        <f aca="false">IFERROR(INDEX('13F Data'!C:C, MATCH($B654,'13F Data'!A:A,0)),"No CUSIP Match")</f>
        <v>No CUSIP Match</v>
      </c>
      <c r="G654" s="72" t="str">
        <f aca="false">IFERROR(INDEX('13F Data'!D:D,MATCH($B654,'13F Data'!A:A,0)),"No CUSIP Match")</f>
        <v>No CUSIP Match</v>
      </c>
      <c r="J654" s="73" t="n">
        <f aca="false">$V654</f>
        <v>103726</v>
      </c>
      <c r="K654" s="71" t="str">
        <f aca="false">IFERROR(INDEX('EOD Data'!G:G, MATCH($A654, 'EOD Data'!B:B,0)), "No TKR Match")</f>
        <v>No TKR Match</v>
      </c>
      <c r="L654" s="71" t="str">
        <f aca="false">IFERROR(ROUND($J654*$K654,0),"Error")</f>
        <v>Error</v>
      </c>
      <c r="M654" s="71" t="str">
        <f aca="false">IFERROR(IF(AND($J654&lt;10000,$L654&lt;200000),"Yes","No"),"Error")</f>
        <v>No</v>
      </c>
      <c r="P654" s="42" t="str">
        <f aca="false">IF($N654="SOLE",$J654,"")</f>
        <v/>
      </c>
      <c r="Q654" s="42" t="str">
        <f aca="false">IFERROR(IF($N654="Sole",0,IF(AND($N654="OTR",$R654=0),$J654-$P654,IF(AND($N654="OTR", $R654&gt;0), $J654-$P654-$Q654, ""))),"")</f>
        <v/>
      </c>
      <c r="R654" s="42" t="str">
        <f aca="false">IF($P654=$J654, "0","")</f>
        <v/>
      </c>
      <c r="S654" s="42" t="str">
        <f aca="false">IF(OR(ISBLANK($B654),ISBLANK($C654), ISBLANK($E654), ISBLANK($F654), AND(ISBLANK($G654),ISBLANK($H654)), ISBLANK($I654), ISBLANK($L654), AND(ISBLANK($N654), ISBLANK($O654)), AND(ISBLANK($P654), ISBLANK($Q654), ISBLANK($R654))), "No", "Yes")</f>
        <v>No</v>
      </c>
      <c r="T654" s="42" t="str">
        <f aca="false">SUBSTITUTE($U654," ","")</f>
        <v>926400102</v>
      </c>
      <c r="U654" s="42" t="s">
        <v>835</v>
      </c>
      <c r="V654" s="39" t="n">
        <v>103726</v>
      </c>
    </row>
    <row r="655" customFormat="false" ht="15" hidden="false" customHeight="false" outlineLevel="0" collapsed="false">
      <c r="B655" s="70" t="s">
        <v>837</v>
      </c>
      <c r="C655" s="71" t="str">
        <f aca="false">IFERROR(INDEX('13F Data'!A:A,MATCH($B655,'13F Data'!A:A,0)),"No CUSIP Match")</f>
        <v>No CUSIP Match</v>
      </c>
      <c r="D655" s="71" t="str">
        <f aca="false">IFERROR(IF($B655=$C655,"Yes","No"),"No CUSIP Match")</f>
        <v>No</v>
      </c>
      <c r="E655" s="71"/>
      <c r="F655" s="71" t="str">
        <f aca="false">IFERROR(INDEX('13F Data'!C:C, MATCH($B655,'13F Data'!A:A,0)),"No CUSIP Match")</f>
        <v>No CUSIP Match</v>
      </c>
      <c r="G655" s="72" t="str">
        <f aca="false">IFERROR(INDEX('13F Data'!D:D,MATCH($B655,'13F Data'!A:A,0)),"No CUSIP Match")</f>
        <v>No CUSIP Match</v>
      </c>
      <c r="J655" s="73" t="n">
        <f aca="false">$V655</f>
        <v>9100</v>
      </c>
      <c r="K655" s="71" t="str">
        <f aca="false">IFERROR(INDEX('EOD Data'!G:G, MATCH($A655, 'EOD Data'!B:B,0)), "No TKR Match")</f>
        <v>No TKR Match</v>
      </c>
      <c r="L655" s="71" t="str">
        <f aca="false">IFERROR(ROUND($J655*$K655,0),"Error")</f>
        <v>Error</v>
      </c>
      <c r="M655" s="71" t="str">
        <f aca="false">IFERROR(IF(AND($J655&lt;10000,$L655&lt;200000),"Yes","No"),"Error")</f>
        <v>No</v>
      </c>
      <c r="P655" s="42" t="str">
        <f aca="false">IF($N655="SOLE",$J655,"")</f>
        <v/>
      </c>
      <c r="Q655" s="42" t="str">
        <f aca="false">IFERROR(IF($N655="Sole",0,IF(AND($N655="OTR",$R655=0),$J655-$P655,IF(AND($N655="OTR", $R655&gt;0), $J655-$P655-$Q655, ""))),"")</f>
        <v/>
      </c>
      <c r="R655" s="42" t="str">
        <f aca="false">IF($P655=$J655, "0","")</f>
        <v/>
      </c>
      <c r="S655" s="42" t="str">
        <f aca="false">IF(OR(ISBLANK($B655),ISBLANK($C655), ISBLANK($E655), ISBLANK($F655), AND(ISBLANK($G655),ISBLANK($H655)), ISBLANK($I655), ISBLANK($L655), AND(ISBLANK($N655), ISBLANK($O655)), AND(ISBLANK($P655), ISBLANK($Q655), ISBLANK($R655))), "No", "Yes")</f>
        <v>No</v>
      </c>
      <c r="T655" s="42" t="str">
        <f aca="false">SUBSTITUTE($U655," ","")</f>
        <v>92826C839</v>
      </c>
      <c r="U655" s="42" t="s">
        <v>837</v>
      </c>
      <c r="V655" s="39" t="n">
        <v>9100</v>
      </c>
    </row>
    <row r="656" customFormat="false" ht="15" hidden="false" customHeight="false" outlineLevel="0" collapsed="false">
      <c r="B656" s="70" t="s">
        <v>837</v>
      </c>
      <c r="C656" s="71" t="str">
        <f aca="false">IFERROR(INDEX('13F Data'!A:A,MATCH($B656,'13F Data'!A:A,0)),"No CUSIP Match")</f>
        <v>No CUSIP Match</v>
      </c>
      <c r="D656" s="71" t="str">
        <f aca="false">IFERROR(IF($B656=$C656,"Yes","No"),"No CUSIP Match")</f>
        <v>No</v>
      </c>
      <c r="E656" s="71"/>
      <c r="F656" s="71" t="str">
        <f aca="false">IFERROR(INDEX('13F Data'!C:C, MATCH($B656,'13F Data'!A:A,0)),"No CUSIP Match")</f>
        <v>No CUSIP Match</v>
      </c>
      <c r="G656" s="72" t="str">
        <f aca="false">IFERROR(INDEX('13F Data'!D:D,MATCH($B656,'13F Data'!A:A,0)),"No CUSIP Match")</f>
        <v>No CUSIP Match</v>
      </c>
      <c r="J656" s="73" t="n">
        <f aca="false">$V656</f>
        <v>9100</v>
      </c>
      <c r="K656" s="71" t="str">
        <f aca="false">IFERROR(INDEX('EOD Data'!G:G, MATCH($A656, 'EOD Data'!B:B,0)), "No TKR Match")</f>
        <v>No TKR Match</v>
      </c>
      <c r="L656" s="71" t="str">
        <f aca="false">IFERROR(ROUND($J656*$K656,0),"Error")</f>
        <v>Error</v>
      </c>
      <c r="M656" s="71" t="str">
        <f aca="false">IFERROR(IF(AND($J656&lt;10000,$L656&lt;200000),"Yes","No"),"Error")</f>
        <v>No</v>
      </c>
      <c r="P656" s="42" t="str">
        <f aca="false">IF($N656="SOLE",$J656,"")</f>
        <v/>
      </c>
      <c r="Q656" s="42" t="str">
        <f aca="false">IFERROR(IF($N656="Sole",0,IF(AND($N656="OTR",$R656=0),$J656-$P656,IF(AND($N656="OTR", $R656&gt;0), $J656-$P656-$Q656, ""))),"")</f>
        <v/>
      </c>
      <c r="R656" s="42" t="str">
        <f aca="false">IF($P656=$J656, "0","")</f>
        <v/>
      </c>
      <c r="S656" s="42" t="str">
        <f aca="false">IF(OR(ISBLANK($B656),ISBLANK($C656), ISBLANK($E656), ISBLANK($F656), AND(ISBLANK($G656),ISBLANK($H656)), ISBLANK($I656), ISBLANK($L656), AND(ISBLANK($N656), ISBLANK($O656)), AND(ISBLANK($P656), ISBLANK($Q656), ISBLANK($R656))), "No", "Yes")</f>
        <v>No</v>
      </c>
      <c r="T656" s="42" t="str">
        <f aca="false">SUBSTITUTE($U656," ","")</f>
        <v>92826C839</v>
      </c>
      <c r="U656" s="42" t="s">
        <v>837</v>
      </c>
      <c r="V656" s="39" t="n">
        <v>9100</v>
      </c>
    </row>
    <row r="657" customFormat="false" ht="15" hidden="false" customHeight="false" outlineLevel="0" collapsed="false">
      <c r="B657" s="70" t="s">
        <v>839</v>
      </c>
      <c r="C657" s="71" t="str">
        <f aca="false">IFERROR(INDEX('13F Data'!A:A,MATCH($B657,'13F Data'!A:A,0)),"No CUSIP Match")</f>
        <v>No CUSIP Match</v>
      </c>
      <c r="D657" s="71" t="str">
        <f aca="false">IFERROR(IF($B657=$C657,"Yes","No"),"No CUSIP Match")</f>
        <v>No</v>
      </c>
      <c r="E657" s="71"/>
      <c r="F657" s="71" t="str">
        <f aca="false">IFERROR(INDEX('13F Data'!C:C, MATCH($B657,'13F Data'!A:A,0)),"No CUSIP Match")</f>
        <v>No CUSIP Match</v>
      </c>
      <c r="G657" s="72" t="str">
        <f aca="false">IFERROR(INDEX('13F Data'!D:D,MATCH($B657,'13F Data'!A:A,0)),"No CUSIP Match")</f>
        <v>No CUSIP Match</v>
      </c>
      <c r="J657" s="73" t="n">
        <f aca="false">$V657</f>
        <v>172197</v>
      </c>
      <c r="K657" s="71" t="str">
        <f aca="false">IFERROR(INDEX('EOD Data'!G:G, MATCH($A657, 'EOD Data'!B:B,0)), "No TKR Match")</f>
        <v>No TKR Match</v>
      </c>
      <c r="L657" s="71" t="str">
        <f aca="false">IFERROR(ROUND($J657*$K657,0),"Error")</f>
        <v>Error</v>
      </c>
      <c r="M657" s="71" t="str">
        <f aca="false">IFERROR(IF(AND($J657&lt;10000,$L657&lt;200000),"Yes","No"),"Error")</f>
        <v>No</v>
      </c>
      <c r="P657" s="42" t="str">
        <f aca="false">IF($N657="SOLE",$J657,"")</f>
        <v/>
      </c>
      <c r="Q657" s="42" t="str">
        <f aca="false">IFERROR(IF($N657="Sole",0,IF(AND($N657="OTR",$R657=0),$J657-$P657,IF(AND($N657="OTR", $R657&gt;0), $J657-$P657-$Q657, ""))),"")</f>
        <v/>
      </c>
      <c r="R657" s="42" t="str">
        <f aca="false">IF($P657=$J657, "0","")</f>
        <v/>
      </c>
      <c r="S657" s="42" t="str">
        <f aca="false">IF(OR(ISBLANK($B657),ISBLANK($C657), ISBLANK($E657), ISBLANK($F657), AND(ISBLANK($G657),ISBLANK($H657)), ISBLANK($I657), ISBLANK($L657), AND(ISBLANK($N657), ISBLANK($O657)), AND(ISBLANK($P657), ISBLANK($Q657), ISBLANK($R657))), "No", "Yes")</f>
        <v>No</v>
      </c>
      <c r="T657" s="42" t="str">
        <f aca="false">SUBSTITUTE($U657," ","")</f>
        <v>92858V101</v>
      </c>
      <c r="U657" s="42" t="s">
        <v>839</v>
      </c>
      <c r="V657" s="39" t="n">
        <v>172197</v>
      </c>
    </row>
    <row r="658" customFormat="false" ht="15" hidden="false" customHeight="false" outlineLevel="0" collapsed="false">
      <c r="B658" s="70" t="s">
        <v>841</v>
      </c>
      <c r="C658" s="71" t="str">
        <f aca="false">IFERROR(INDEX('13F Data'!A:A,MATCH($B658,'13F Data'!A:A,0)),"No CUSIP Match")</f>
        <v>No CUSIP Match</v>
      </c>
      <c r="D658" s="71" t="str">
        <f aca="false">IFERROR(IF($B658=$C658,"Yes","No"),"No CUSIP Match")</f>
        <v>No</v>
      </c>
      <c r="E658" s="71"/>
      <c r="F658" s="71" t="str">
        <f aca="false">IFERROR(INDEX('13F Data'!C:C, MATCH($B658,'13F Data'!A:A,0)),"No CUSIP Match")</f>
        <v>No CUSIP Match</v>
      </c>
      <c r="G658" s="72" t="str">
        <f aca="false">IFERROR(INDEX('13F Data'!D:D,MATCH($B658,'13F Data'!A:A,0)),"No CUSIP Match")</f>
        <v>No CUSIP Match</v>
      </c>
      <c r="J658" s="73" t="n">
        <f aca="false">$V658</f>
        <v>2500</v>
      </c>
      <c r="K658" s="71" t="str">
        <f aca="false">IFERROR(INDEX('EOD Data'!G:G, MATCH($A658, 'EOD Data'!B:B,0)), "No TKR Match")</f>
        <v>No TKR Match</v>
      </c>
      <c r="L658" s="71" t="str">
        <f aca="false">IFERROR(ROUND($J658*$K658,0),"Error")</f>
        <v>Error</v>
      </c>
      <c r="M658" s="71" t="str">
        <f aca="false">IFERROR(IF(AND($J658&lt;10000,$L658&lt;200000),"Yes","No"),"Error")</f>
        <v>No</v>
      </c>
      <c r="P658" s="42" t="str">
        <f aca="false">IF($N658="SOLE",$J658,"")</f>
        <v/>
      </c>
      <c r="Q658" s="42" t="str">
        <f aca="false">IFERROR(IF($N658="Sole",0,IF(AND($N658="OTR",$R658=0),$J658-$P658,IF(AND($N658="OTR", $R658&gt;0), $J658-$P658-$Q658, ""))),"")</f>
        <v/>
      </c>
      <c r="R658" s="42" t="str">
        <f aca="false">IF($P658=$J658, "0","")</f>
        <v/>
      </c>
      <c r="S658" s="42" t="str">
        <f aca="false">IF(OR(ISBLANK($B658),ISBLANK($C658), ISBLANK($E658), ISBLANK($F658), AND(ISBLANK($G658),ISBLANK($H658)), ISBLANK($I658), ISBLANK($L658), AND(ISBLANK($N658), ISBLANK($O658)), AND(ISBLANK($P658), ISBLANK($Q658), ISBLANK($R658))), "No", "Yes")</f>
        <v>No</v>
      </c>
      <c r="T658" s="42" t="str">
        <f aca="false">SUBSTITUTE($U658," ","")</f>
        <v>931142103</v>
      </c>
      <c r="U658" s="42" t="s">
        <v>841</v>
      </c>
      <c r="V658" s="39" t="n">
        <v>2500</v>
      </c>
    </row>
    <row r="659" customFormat="false" ht="15" hidden="false" customHeight="false" outlineLevel="0" collapsed="false">
      <c r="B659" s="70" t="s">
        <v>841</v>
      </c>
      <c r="C659" s="71" t="str">
        <f aca="false">IFERROR(INDEX('13F Data'!A:A,MATCH($B659,'13F Data'!A:A,0)),"No CUSIP Match")</f>
        <v>No CUSIP Match</v>
      </c>
      <c r="D659" s="71" t="str">
        <f aca="false">IFERROR(IF($B659=$C659,"Yes","No"),"No CUSIP Match")</f>
        <v>No</v>
      </c>
      <c r="E659" s="71"/>
      <c r="F659" s="71" t="str">
        <f aca="false">IFERROR(INDEX('13F Data'!C:C, MATCH($B659,'13F Data'!A:A,0)),"No CUSIP Match")</f>
        <v>No CUSIP Match</v>
      </c>
      <c r="G659" s="72" t="str">
        <f aca="false">IFERROR(INDEX('13F Data'!D:D,MATCH($B659,'13F Data'!A:A,0)),"No CUSIP Match")</f>
        <v>No CUSIP Match</v>
      </c>
      <c r="J659" s="73" t="n">
        <f aca="false">$V659</f>
        <v>2500</v>
      </c>
      <c r="K659" s="71" t="str">
        <f aca="false">IFERROR(INDEX('EOD Data'!G:G, MATCH($A659, 'EOD Data'!B:B,0)), "No TKR Match")</f>
        <v>No TKR Match</v>
      </c>
      <c r="L659" s="71" t="str">
        <f aca="false">IFERROR(ROUND($J659*$K659,0),"Error")</f>
        <v>Error</v>
      </c>
      <c r="M659" s="71" t="str">
        <f aca="false">IFERROR(IF(AND($J659&lt;10000,$L659&lt;200000),"Yes","No"),"Error")</f>
        <v>No</v>
      </c>
      <c r="P659" s="42" t="str">
        <f aca="false">IF($N659="SOLE",$J659,"")</f>
        <v/>
      </c>
      <c r="Q659" s="42" t="str">
        <f aca="false">IFERROR(IF($N659="Sole",0,IF(AND($N659="OTR",$R659=0),$J659-$P659,IF(AND($N659="OTR", $R659&gt;0), $J659-$P659-$Q659, ""))),"")</f>
        <v/>
      </c>
      <c r="R659" s="42" t="str">
        <f aca="false">IF($P659=$J659, "0","")</f>
        <v/>
      </c>
      <c r="S659" s="42" t="str">
        <f aca="false">IF(OR(ISBLANK($B659),ISBLANK($C659), ISBLANK($E659), ISBLANK($F659), AND(ISBLANK($G659),ISBLANK($H659)), ISBLANK($I659), ISBLANK($L659), AND(ISBLANK($N659), ISBLANK($O659)), AND(ISBLANK($P659), ISBLANK($Q659), ISBLANK($R659))), "No", "Yes")</f>
        <v>No</v>
      </c>
      <c r="T659" s="42" t="str">
        <f aca="false">SUBSTITUTE($U659," ","")</f>
        <v>931142103</v>
      </c>
      <c r="U659" s="42" t="s">
        <v>841</v>
      </c>
      <c r="V659" s="39" t="n">
        <v>2500</v>
      </c>
    </row>
    <row r="660" customFormat="false" ht="15" hidden="false" customHeight="false" outlineLevel="0" collapsed="false">
      <c r="B660" s="70" t="s">
        <v>843</v>
      </c>
      <c r="C660" s="71" t="str">
        <f aca="false">IFERROR(INDEX('13F Data'!A:A,MATCH($B660,'13F Data'!A:A,0)),"No CUSIP Match")</f>
        <v>No CUSIP Match</v>
      </c>
      <c r="D660" s="71" t="str">
        <f aca="false">IFERROR(IF($B660=$C660,"Yes","No"),"No CUSIP Match")</f>
        <v>No</v>
      </c>
      <c r="E660" s="71"/>
      <c r="F660" s="71" t="str">
        <f aca="false">IFERROR(INDEX('13F Data'!C:C, MATCH($B660,'13F Data'!A:A,0)),"No CUSIP Match")</f>
        <v>No CUSIP Match</v>
      </c>
      <c r="G660" s="72" t="str">
        <f aca="false">IFERROR(INDEX('13F Data'!D:D,MATCH($B660,'13F Data'!A:A,0)),"No CUSIP Match")</f>
        <v>No CUSIP Match</v>
      </c>
      <c r="J660" s="73" t="n">
        <f aca="false">$V660</f>
        <v>178423</v>
      </c>
      <c r="K660" s="71" t="str">
        <f aca="false">IFERROR(INDEX('EOD Data'!G:G, MATCH($A660, 'EOD Data'!B:B,0)), "No TKR Match")</f>
        <v>No TKR Match</v>
      </c>
      <c r="L660" s="71" t="str">
        <f aca="false">IFERROR(ROUND($J660*$K660,0),"Error")</f>
        <v>Error</v>
      </c>
      <c r="M660" s="71" t="str">
        <f aca="false">IFERROR(IF(AND($J660&lt;10000,$L660&lt;200000),"Yes","No"),"Error")</f>
        <v>No</v>
      </c>
      <c r="P660" s="42" t="str">
        <f aca="false">IF($N660="SOLE",$J660,"")</f>
        <v/>
      </c>
      <c r="Q660" s="42" t="str">
        <f aca="false">IFERROR(IF($N660="Sole",0,IF(AND($N660="OTR",$R660=0),$J660-$P660,IF(AND($N660="OTR", $R660&gt;0), $J660-$P660-$Q660, ""))),"")</f>
        <v/>
      </c>
      <c r="R660" s="42" t="str">
        <f aca="false">IF($P660=$J660, "0","")</f>
        <v/>
      </c>
      <c r="S660" s="42" t="str">
        <f aca="false">IF(OR(ISBLANK($B660),ISBLANK($C660), ISBLANK($E660), ISBLANK($F660), AND(ISBLANK($G660),ISBLANK($H660)), ISBLANK($I660), ISBLANK($L660), AND(ISBLANK($N660), ISBLANK($O660)), AND(ISBLANK($P660), ISBLANK($Q660), ISBLANK($R660))), "No", "Yes")</f>
        <v>No</v>
      </c>
      <c r="T660" s="42" t="str">
        <f aca="false">SUBSTITUTE($U660," ","")</f>
        <v>254687106</v>
      </c>
      <c r="U660" s="42" t="s">
        <v>843</v>
      </c>
      <c r="V660" s="39" t="n">
        <v>178423</v>
      </c>
    </row>
    <row r="661" customFormat="false" ht="15" hidden="false" customHeight="false" outlineLevel="0" collapsed="false">
      <c r="B661" s="70" t="s">
        <v>843</v>
      </c>
      <c r="C661" s="71" t="str">
        <f aca="false">IFERROR(INDEX('13F Data'!A:A,MATCH($B661,'13F Data'!A:A,0)),"No CUSIP Match")</f>
        <v>No CUSIP Match</v>
      </c>
      <c r="D661" s="71" t="str">
        <f aca="false">IFERROR(IF($B661=$C661,"Yes","No"),"No CUSIP Match")</f>
        <v>No</v>
      </c>
      <c r="E661" s="71"/>
      <c r="F661" s="71" t="str">
        <f aca="false">IFERROR(INDEX('13F Data'!C:C, MATCH($B661,'13F Data'!A:A,0)),"No CUSIP Match")</f>
        <v>No CUSIP Match</v>
      </c>
      <c r="G661" s="72" t="str">
        <f aca="false">IFERROR(INDEX('13F Data'!D:D,MATCH($B661,'13F Data'!A:A,0)),"No CUSIP Match")</f>
        <v>No CUSIP Match</v>
      </c>
      <c r="J661" s="73" t="n">
        <f aca="false">$V661</f>
        <v>2100</v>
      </c>
      <c r="K661" s="71" t="str">
        <f aca="false">IFERROR(INDEX('EOD Data'!G:G, MATCH($A661, 'EOD Data'!B:B,0)), "No TKR Match")</f>
        <v>No TKR Match</v>
      </c>
      <c r="L661" s="71" t="str">
        <f aca="false">IFERROR(ROUND($J661*$K661,0),"Error")</f>
        <v>Error</v>
      </c>
      <c r="M661" s="71" t="str">
        <f aca="false">IFERROR(IF(AND($J661&lt;10000,$L661&lt;200000),"Yes","No"),"Error")</f>
        <v>No</v>
      </c>
      <c r="P661" s="42" t="str">
        <f aca="false">IF($N661="SOLE",$J661,"")</f>
        <v/>
      </c>
      <c r="Q661" s="42" t="str">
        <f aca="false">IFERROR(IF($N661="Sole",0,IF(AND($N661="OTR",$R661=0),$J661-$P661,IF(AND($N661="OTR", $R661&gt;0), $J661-$P661-$Q661, ""))),"")</f>
        <v/>
      </c>
      <c r="R661" s="42" t="str">
        <f aca="false">IF($P661=$J661, "0","")</f>
        <v/>
      </c>
      <c r="S661" s="42" t="str">
        <f aca="false">IF(OR(ISBLANK($B661),ISBLANK($C661), ISBLANK($E661), ISBLANK($F661), AND(ISBLANK($G661),ISBLANK($H661)), ISBLANK($I661), ISBLANK($L661), AND(ISBLANK($N661), ISBLANK($O661)), AND(ISBLANK($P661), ISBLANK($Q661), ISBLANK($R661))), "No", "Yes")</f>
        <v>No</v>
      </c>
      <c r="T661" s="42" t="str">
        <f aca="false">SUBSTITUTE($U661," ","")</f>
        <v>254687106</v>
      </c>
      <c r="U661" s="42" t="s">
        <v>843</v>
      </c>
      <c r="V661" s="39" t="n">
        <v>2100</v>
      </c>
    </row>
    <row r="662" customFormat="false" ht="15" hidden="false" customHeight="false" outlineLevel="0" collapsed="false">
      <c r="B662" s="70" t="s">
        <v>843</v>
      </c>
      <c r="C662" s="71" t="str">
        <f aca="false">IFERROR(INDEX('13F Data'!A:A,MATCH($B662,'13F Data'!A:A,0)),"No CUSIP Match")</f>
        <v>No CUSIP Match</v>
      </c>
      <c r="D662" s="71" t="str">
        <f aca="false">IFERROR(IF($B662=$C662,"Yes","No"),"No CUSIP Match")</f>
        <v>No</v>
      </c>
      <c r="E662" s="71"/>
      <c r="F662" s="71" t="str">
        <f aca="false">IFERROR(INDEX('13F Data'!C:C, MATCH($B662,'13F Data'!A:A,0)),"No CUSIP Match")</f>
        <v>No CUSIP Match</v>
      </c>
      <c r="G662" s="72" t="str">
        <f aca="false">IFERROR(INDEX('13F Data'!D:D,MATCH($B662,'13F Data'!A:A,0)),"No CUSIP Match")</f>
        <v>No CUSIP Match</v>
      </c>
      <c r="J662" s="73" t="n">
        <f aca="false">$V662</f>
        <v>2100</v>
      </c>
      <c r="K662" s="71" t="str">
        <f aca="false">IFERROR(INDEX('EOD Data'!G:G, MATCH($A662, 'EOD Data'!B:B,0)), "No TKR Match")</f>
        <v>No TKR Match</v>
      </c>
      <c r="L662" s="71" t="str">
        <f aca="false">IFERROR(ROUND($J662*$K662,0),"Error")</f>
        <v>Error</v>
      </c>
      <c r="M662" s="71" t="str">
        <f aca="false">IFERROR(IF(AND($J662&lt;10000,$L662&lt;200000),"Yes","No"),"Error")</f>
        <v>No</v>
      </c>
      <c r="P662" s="42" t="str">
        <f aca="false">IF($N662="SOLE",$J662,"")</f>
        <v/>
      </c>
      <c r="Q662" s="42" t="str">
        <f aca="false">IFERROR(IF($N662="Sole",0,IF(AND($N662="OTR",$R662=0),$J662-$P662,IF(AND($N662="OTR", $R662&gt;0), $J662-$P662-$Q662, ""))),"")</f>
        <v/>
      </c>
      <c r="R662" s="42" t="str">
        <f aca="false">IF($P662=$J662, "0","")</f>
        <v/>
      </c>
      <c r="S662" s="42" t="str">
        <f aca="false">IF(OR(ISBLANK($B662),ISBLANK($C662), ISBLANK($E662), ISBLANK($F662), AND(ISBLANK($G662),ISBLANK($H662)), ISBLANK($I662), ISBLANK($L662), AND(ISBLANK($N662), ISBLANK($O662)), AND(ISBLANK($P662), ISBLANK($Q662), ISBLANK($R662))), "No", "Yes")</f>
        <v>No</v>
      </c>
      <c r="T662" s="42" t="str">
        <f aca="false">SUBSTITUTE($U662," ","")</f>
        <v>254687106</v>
      </c>
      <c r="U662" s="42" t="s">
        <v>843</v>
      </c>
      <c r="V662" s="39" t="n">
        <v>2100</v>
      </c>
    </row>
    <row r="663" customFormat="false" ht="15" hidden="false" customHeight="false" outlineLevel="0" collapsed="false">
      <c r="B663" s="70" t="s">
        <v>845</v>
      </c>
      <c r="C663" s="71" t="str">
        <f aca="false">IFERROR(INDEX('13F Data'!A:A,MATCH($B663,'13F Data'!A:A,0)),"No CUSIP Match")</f>
        <v>No CUSIP Match</v>
      </c>
      <c r="D663" s="71" t="str">
        <f aca="false">IFERROR(IF($B663=$C663,"Yes","No"),"No CUSIP Match")</f>
        <v>No</v>
      </c>
      <c r="E663" s="71"/>
      <c r="F663" s="71" t="str">
        <f aca="false">IFERROR(INDEX('13F Data'!C:C, MATCH($B663,'13F Data'!A:A,0)),"No CUSIP Match")</f>
        <v>No CUSIP Match</v>
      </c>
      <c r="G663" s="72" t="str">
        <f aca="false">IFERROR(INDEX('13F Data'!D:D,MATCH($B663,'13F Data'!A:A,0)),"No CUSIP Match")</f>
        <v>No CUSIP Match</v>
      </c>
      <c r="J663" s="73" t="n">
        <f aca="false">$V663</f>
        <v>836893</v>
      </c>
      <c r="K663" s="71" t="str">
        <f aca="false">IFERROR(INDEX('EOD Data'!G:G, MATCH($A663, 'EOD Data'!B:B,0)), "No TKR Match")</f>
        <v>No TKR Match</v>
      </c>
      <c r="L663" s="71" t="str">
        <f aca="false">IFERROR(ROUND($J663*$K663,0),"Error")</f>
        <v>Error</v>
      </c>
      <c r="M663" s="71" t="str">
        <f aca="false">IFERROR(IF(AND($J663&lt;10000,$L663&lt;200000),"Yes","No"),"Error")</f>
        <v>No</v>
      </c>
      <c r="P663" s="42" t="str">
        <f aca="false">IF($N663="SOLE",$J663,"")</f>
        <v/>
      </c>
      <c r="Q663" s="42" t="str">
        <f aca="false">IFERROR(IF($N663="Sole",0,IF(AND($N663="OTR",$R663=0),$J663-$P663,IF(AND($N663="OTR", $R663&gt;0), $J663-$P663-$Q663, ""))),"")</f>
        <v/>
      </c>
      <c r="R663" s="42" t="str">
        <f aca="false">IF($P663=$J663, "0","")</f>
        <v/>
      </c>
      <c r="S663" s="42" t="str">
        <f aca="false">IF(OR(ISBLANK($B663),ISBLANK($C663), ISBLANK($E663), ISBLANK($F663), AND(ISBLANK($G663),ISBLANK($H663)), ISBLANK($I663), ISBLANK($L663), AND(ISBLANK($N663), ISBLANK($O663)), AND(ISBLANK($P663), ISBLANK($Q663), ISBLANK($R663))), "No", "Yes")</f>
        <v>No</v>
      </c>
      <c r="T663" s="42" t="str">
        <f aca="false">SUBSTITUTE($U663," ","")</f>
        <v>934423104</v>
      </c>
      <c r="U663" s="42" t="s">
        <v>845</v>
      </c>
      <c r="V663" s="39" t="n">
        <v>836893</v>
      </c>
    </row>
    <row r="664" customFormat="false" ht="15" hidden="false" customHeight="false" outlineLevel="0" collapsed="false">
      <c r="B664" s="70" t="s">
        <v>847</v>
      </c>
      <c r="C664" s="71" t="str">
        <f aca="false">IFERROR(INDEX('13F Data'!A:A,MATCH($B664,'13F Data'!A:A,0)),"No CUSIP Match")</f>
        <v>No CUSIP Match</v>
      </c>
      <c r="D664" s="71" t="str">
        <f aca="false">IFERROR(IF($B664=$C664,"Yes","No"),"No CUSIP Match")</f>
        <v>No</v>
      </c>
      <c r="E664" s="71"/>
      <c r="F664" s="71" t="str">
        <f aca="false">IFERROR(INDEX('13F Data'!C:C, MATCH($B664,'13F Data'!A:A,0)),"No CUSIP Match")</f>
        <v>No CUSIP Match</v>
      </c>
      <c r="G664" s="72" t="str">
        <f aca="false">IFERROR(INDEX('13F Data'!D:D,MATCH($B664,'13F Data'!A:A,0)),"No CUSIP Match")</f>
        <v>No CUSIP Match</v>
      </c>
      <c r="J664" s="73" t="n">
        <f aca="false">$V664</f>
        <v>100600</v>
      </c>
      <c r="K664" s="71" t="str">
        <f aca="false">IFERROR(INDEX('EOD Data'!G:G, MATCH($A664, 'EOD Data'!B:B,0)), "No TKR Match")</f>
        <v>No TKR Match</v>
      </c>
      <c r="L664" s="71" t="str">
        <f aca="false">IFERROR(ROUND($J664*$K664,0),"Error")</f>
        <v>Error</v>
      </c>
      <c r="M664" s="71" t="str">
        <f aca="false">IFERROR(IF(AND($J664&lt;10000,$L664&lt;200000),"Yes","No"),"Error")</f>
        <v>No</v>
      </c>
      <c r="P664" s="42" t="str">
        <f aca="false">IF($N664="SOLE",$J664,"")</f>
        <v/>
      </c>
      <c r="Q664" s="42" t="str">
        <f aca="false">IFERROR(IF($N664="Sole",0,IF(AND($N664="OTR",$R664=0),$J664-$P664,IF(AND($N664="OTR", $R664&gt;0), $J664-$P664-$Q664, ""))),"")</f>
        <v/>
      </c>
      <c r="R664" s="42" t="str">
        <f aca="false">IF($P664=$J664, "0","")</f>
        <v/>
      </c>
      <c r="S664" s="42" t="str">
        <f aca="false">IF(OR(ISBLANK($B664),ISBLANK($C664), ISBLANK($E664), ISBLANK($F664), AND(ISBLANK($G664),ISBLANK($H664)), ISBLANK($I664), ISBLANK($L664), AND(ISBLANK($N664), ISBLANK($O664)), AND(ISBLANK($P664), ISBLANK($Q664), ISBLANK($R664))), "No", "Yes")</f>
        <v>No</v>
      </c>
      <c r="T664" s="42" t="str">
        <f aca="false">SUBSTITUTE($U664," ","")</f>
        <v>949746101</v>
      </c>
      <c r="U664" s="42" t="s">
        <v>847</v>
      </c>
      <c r="V664" s="39" t="n">
        <v>100600</v>
      </c>
    </row>
    <row r="665" customFormat="false" ht="15" hidden="false" customHeight="false" outlineLevel="0" collapsed="false">
      <c r="B665" s="70" t="s">
        <v>847</v>
      </c>
      <c r="C665" s="71" t="str">
        <f aca="false">IFERROR(INDEX('13F Data'!A:A,MATCH($B665,'13F Data'!A:A,0)),"No CUSIP Match")</f>
        <v>No CUSIP Match</v>
      </c>
      <c r="D665" s="71" t="str">
        <f aca="false">IFERROR(IF($B665=$C665,"Yes","No"),"No CUSIP Match")</f>
        <v>No</v>
      </c>
      <c r="E665" s="71"/>
      <c r="F665" s="71" t="str">
        <f aca="false">IFERROR(INDEX('13F Data'!C:C, MATCH($B665,'13F Data'!A:A,0)),"No CUSIP Match")</f>
        <v>No CUSIP Match</v>
      </c>
      <c r="G665" s="72" t="str">
        <f aca="false">IFERROR(INDEX('13F Data'!D:D,MATCH($B665,'13F Data'!A:A,0)),"No CUSIP Match")</f>
        <v>No CUSIP Match</v>
      </c>
      <c r="J665" s="73" t="n">
        <f aca="false">$V665</f>
        <v>100600</v>
      </c>
      <c r="K665" s="71" t="str">
        <f aca="false">IFERROR(INDEX('EOD Data'!G:G, MATCH($A665, 'EOD Data'!B:B,0)), "No TKR Match")</f>
        <v>No TKR Match</v>
      </c>
      <c r="L665" s="71" t="str">
        <f aca="false">IFERROR(ROUND($J665*$K665,0),"Error")</f>
        <v>Error</v>
      </c>
      <c r="M665" s="71" t="str">
        <f aca="false">IFERROR(IF(AND($J665&lt;10000,$L665&lt;200000),"Yes","No"),"Error")</f>
        <v>No</v>
      </c>
      <c r="P665" s="42" t="str">
        <f aca="false">IF($N665="SOLE",$J665,"")</f>
        <v/>
      </c>
      <c r="Q665" s="42" t="str">
        <f aca="false">IFERROR(IF($N665="Sole",0,IF(AND($N665="OTR",$R665=0),$J665-$P665,IF(AND($N665="OTR", $R665&gt;0), $J665-$P665-$Q665, ""))),"")</f>
        <v/>
      </c>
      <c r="R665" s="42" t="str">
        <f aca="false">IF($P665=$J665, "0","")</f>
        <v/>
      </c>
      <c r="S665" s="42" t="str">
        <f aca="false">IF(OR(ISBLANK($B665),ISBLANK($C665), ISBLANK($E665), ISBLANK($F665), AND(ISBLANK($G665),ISBLANK($H665)), ISBLANK($I665), ISBLANK($L665), AND(ISBLANK($N665), ISBLANK($O665)), AND(ISBLANK($P665), ISBLANK($Q665), ISBLANK($R665))), "No", "Yes")</f>
        <v>No</v>
      </c>
      <c r="T665" s="42" t="str">
        <f aca="false">SUBSTITUTE($U665," ","")</f>
        <v>949746101</v>
      </c>
      <c r="U665" s="42" t="s">
        <v>847</v>
      </c>
      <c r="V665" s="39" t="n">
        <v>100600</v>
      </c>
    </row>
    <row r="666" customFormat="false" ht="15" hidden="false" customHeight="false" outlineLevel="0" collapsed="false">
      <c r="B666" s="70" t="s">
        <v>849</v>
      </c>
      <c r="C666" s="71" t="str">
        <f aca="false">IFERROR(INDEX('13F Data'!A:A,MATCH($B666,'13F Data'!A:A,0)),"No CUSIP Match")</f>
        <v>No CUSIP Match</v>
      </c>
      <c r="D666" s="71" t="str">
        <f aca="false">IFERROR(IF($B666=$C666,"Yes","No"),"No CUSIP Match")</f>
        <v>No</v>
      </c>
      <c r="E666" s="71"/>
      <c r="F666" s="71" t="str">
        <f aca="false">IFERROR(INDEX('13F Data'!C:C, MATCH($B666,'13F Data'!A:A,0)),"No CUSIP Match")</f>
        <v>No CUSIP Match</v>
      </c>
      <c r="G666" s="72" t="str">
        <f aca="false">IFERROR(INDEX('13F Data'!D:D,MATCH($B666,'13F Data'!A:A,0)),"No CUSIP Match")</f>
        <v>No CUSIP Match</v>
      </c>
      <c r="J666" s="73" t="n">
        <f aca="false">$V666</f>
        <v>190400</v>
      </c>
      <c r="K666" s="71" t="str">
        <f aca="false">IFERROR(INDEX('EOD Data'!G:G, MATCH($A666, 'EOD Data'!B:B,0)), "No TKR Match")</f>
        <v>No TKR Match</v>
      </c>
      <c r="L666" s="71" t="str">
        <f aca="false">IFERROR(ROUND($J666*$K666,0),"Error")</f>
        <v>Error</v>
      </c>
      <c r="M666" s="71" t="str">
        <f aca="false">IFERROR(IF(AND($J666&lt;10000,$L666&lt;200000),"Yes","No"),"Error")</f>
        <v>No</v>
      </c>
      <c r="P666" s="42" t="str">
        <f aca="false">IF($N666="SOLE",$J666,"")</f>
        <v/>
      </c>
      <c r="Q666" s="42" t="str">
        <f aca="false">IFERROR(IF($N666="Sole",0,IF(AND($N666="OTR",$R666=0),$J666-$P666,IF(AND($N666="OTR", $R666&gt;0), $J666-$P666-$Q666, ""))),"")</f>
        <v/>
      </c>
      <c r="R666" s="42" t="str">
        <f aca="false">IF($P666=$J666, "0","")</f>
        <v/>
      </c>
      <c r="S666" s="42" t="str">
        <f aca="false">IF(OR(ISBLANK($B666),ISBLANK($C666), ISBLANK($E666), ISBLANK($F666), AND(ISBLANK($G666),ISBLANK($H666)), ISBLANK($I666), ISBLANK($L666), AND(ISBLANK($N666), ISBLANK($O666)), AND(ISBLANK($P666), ISBLANK($Q666), ISBLANK($R666))), "No", "Yes")</f>
        <v>No</v>
      </c>
      <c r="T666" s="42" t="str">
        <f aca="false">SUBSTITUTE($U666," ","")</f>
        <v>96145D105</v>
      </c>
      <c r="U666" s="42" t="s">
        <v>849</v>
      </c>
      <c r="V666" s="39" t="n">
        <v>190400</v>
      </c>
    </row>
    <row r="667" customFormat="false" ht="15" hidden="false" customHeight="false" outlineLevel="0" collapsed="false">
      <c r="B667" s="70" t="s">
        <v>851</v>
      </c>
      <c r="C667" s="71" t="str">
        <f aca="false">IFERROR(INDEX('13F Data'!A:A,MATCH($B667,'13F Data'!A:A,0)),"No CUSIP Match")</f>
        <v>No CUSIP Match</v>
      </c>
      <c r="D667" s="71" t="str">
        <f aca="false">IFERROR(IF($B667=$C667,"Yes","No"),"No CUSIP Match")</f>
        <v>No</v>
      </c>
      <c r="E667" s="71"/>
      <c r="F667" s="71" t="str">
        <f aca="false">IFERROR(INDEX('13F Data'!C:C, MATCH($B667,'13F Data'!A:A,0)),"No CUSIP Match")</f>
        <v>No CUSIP Match</v>
      </c>
      <c r="G667" s="72" t="str">
        <f aca="false">IFERROR(INDEX('13F Data'!D:D,MATCH($B667,'13F Data'!A:A,0)),"No CUSIP Match")</f>
        <v>No CUSIP Match</v>
      </c>
      <c r="J667" s="73" t="n">
        <f aca="false">$V667</f>
        <v>5315</v>
      </c>
      <c r="K667" s="71" t="str">
        <f aca="false">IFERROR(INDEX('EOD Data'!G:G, MATCH($A667, 'EOD Data'!B:B,0)), "No TKR Match")</f>
        <v>No TKR Match</v>
      </c>
      <c r="L667" s="71" t="str">
        <f aca="false">IFERROR(ROUND($J667*$K667,0),"Error")</f>
        <v>Error</v>
      </c>
      <c r="M667" s="71" t="str">
        <f aca="false">IFERROR(IF(AND($J667&lt;10000,$L667&lt;200000),"Yes","No"),"Error")</f>
        <v>No</v>
      </c>
      <c r="P667" s="42" t="str">
        <f aca="false">IF($N667="SOLE",$J667,"")</f>
        <v/>
      </c>
      <c r="Q667" s="42" t="str">
        <f aca="false">IFERROR(IF($N667="Sole",0,IF(AND($N667="OTR",$R667=0),$J667-$P667,IF(AND($N667="OTR", $R667&gt;0), $J667-$P667-$Q667, ""))),"")</f>
        <v/>
      </c>
      <c r="R667" s="42" t="str">
        <f aca="false">IF($P667=$J667, "0","")</f>
        <v/>
      </c>
      <c r="S667" s="42" t="str">
        <f aca="false">IF(OR(ISBLANK($B667),ISBLANK($C667), ISBLANK($E667), ISBLANK($F667), AND(ISBLANK($G667),ISBLANK($H667)), ISBLANK($I667), ISBLANK($L667), AND(ISBLANK($N667), ISBLANK($O667)), AND(ISBLANK($P667), ISBLANK($Q667), ISBLANK($R667))), "No", "Yes")</f>
        <v>No</v>
      </c>
      <c r="T667" s="42" t="str">
        <f aca="false">SUBSTITUTE($U667," ","")</f>
        <v>963320106</v>
      </c>
      <c r="U667" s="42" t="s">
        <v>851</v>
      </c>
      <c r="V667" s="39" t="n">
        <v>5315</v>
      </c>
    </row>
    <row r="668" customFormat="false" ht="15" hidden="false" customHeight="false" outlineLevel="0" collapsed="false">
      <c r="B668" s="70" t="s">
        <v>853</v>
      </c>
      <c r="C668" s="71" t="str">
        <f aca="false">IFERROR(INDEX('13F Data'!A:A,MATCH($B668,'13F Data'!A:A,0)),"No CUSIP Match")</f>
        <v>No CUSIP Match</v>
      </c>
      <c r="D668" s="71" t="str">
        <f aca="false">IFERROR(IF($B668=$C668,"Yes","No"),"No CUSIP Match")</f>
        <v>No</v>
      </c>
      <c r="E668" s="71"/>
      <c r="F668" s="71" t="str">
        <f aca="false">IFERROR(INDEX('13F Data'!C:C, MATCH($B668,'13F Data'!A:A,0)),"No CUSIP Match")</f>
        <v>No CUSIP Match</v>
      </c>
      <c r="G668" s="72" t="str">
        <f aca="false">IFERROR(INDEX('13F Data'!D:D,MATCH($B668,'13F Data'!A:A,0)),"No CUSIP Match")</f>
        <v>No CUSIP Match</v>
      </c>
      <c r="J668" s="73" t="n">
        <f aca="false">$V668</f>
        <v>424214</v>
      </c>
      <c r="K668" s="71" t="str">
        <f aca="false">IFERROR(INDEX('EOD Data'!G:G, MATCH($A668, 'EOD Data'!B:B,0)), "No TKR Match")</f>
        <v>No TKR Match</v>
      </c>
      <c r="L668" s="71" t="str">
        <f aca="false">IFERROR(ROUND($J668*$K668,0),"Error")</f>
        <v>Error</v>
      </c>
      <c r="M668" s="71" t="str">
        <f aca="false">IFERROR(IF(AND($J668&lt;10000,$L668&lt;200000),"Yes","No"),"Error")</f>
        <v>No</v>
      </c>
      <c r="P668" s="42" t="str">
        <f aca="false">IF($N668="SOLE",$J668,"")</f>
        <v/>
      </c>
      <c r="Q668" s="42" t="str">
        <f aca="false">IFERROR(IF($N668="Sole",0,IF(AND($N668="OTR",$R668=0),$J668-$P668,IF(AND($N668="OTR", $R668&gt;0), $J668-$P668-$Q668, ""))),"")</f>
        <v/>
      </c>
      <c r="R668" s="42" t="str">
        <f aca="false">IF($P668=$J668, "0","")</f>
        <v/>
      </c>
      <c r="S668" s="42" t="str">
        <f aca="false">IF(OR(ISBLANK($B668),ISBLANK($C668), ISBLANK($E668), ISBLANK($F668), AND(ISBLANK($G668),ISBLANK($H668)), ISBLANK($I668), ISBLANK($L668), AND(ISBLANK($N668), ISBLANK($O668)), AND(ISBLANK($P668), ISBLANK($Q668), ISBLANK($R668))), "No", "Yes")</f>
        <v>No</v>
      </c>
      <c r="T668" s="42" t="str">
        <f aca="false">SUBSTITUTE($U668," ","")</f>
        <v>96758W101</v>
      </c>
      <c r="U668" s="42" t="s">
        <v>853</v>
      </c>
      <c r="V668" s="39" t="n">
        <v>424214</v>
      </c>
    </row>
    <row r="669" customFormat="false" ht="15" hidden="false" customHeight="false" outlineLevel="0" collapsed="false">
      <c r="B669" s="70" t="s">
        <v>855</v>
      </c>
      <c r="C669" s="71" t="str">
        <f aca="false">IFERROR(INDEX('13F Data'!A:A,MATCH($B669,'13F Data'!A:A,0)),"No CUSIP Match")</f>
        <v>No CUSIP Match</v>
      </c>
      <c r="D669" s="71" t="str">
        <f aca="false">IFERROR(IF($B669=$C669,"Yes","No"),"No CUSIP Match")</f>
        <v>No</v>
      </c>
      <c r="E669" s="71"/>
      <c r="F669" s="71" t="str">
        <f aca="false">IFERROR(INDEX('13F Data'!C:C, MATCH($B669,'13F Data'!A:A,0)),"No CUSIP Match")</f>
        <v>No CUSIP Match</v>
      </c>
      <c r="G669" s="72" t="str">
        <f aca="false">IFERROR(INDEX('13F Data'!D:D,MATCH($B669,'13F Data'!A:A,0)),"No CUSIP Match")</f>
        <v>No CUSIP Match</v>
      </c>
      <c r="J669" s="73" t="n">
        <f aca="false">$V669</f>
        <v>52700</v>
      </c>
      <c r="K669" s="71" t="str">
        <f aca="false">IFERROR(INDEX('EOD Data'!G:G, MATCH($A669, 'EOD Data'!B:B,0)), "No TKR Match")</f>
        <v>No TKR Match</v>
      </c>
      <c r="L669" s="71" t="str">
        <f aca="false">IFERROR(ROUND($J669*$K669,0),"Error")</f>
        <v>Error</v>
      </c>
      <c r="M669" s="71" t="str">
        <f aca="false">IFERROR(IF(AND($J669&lt;10000,$L669&lt;200000),"Yes","No"),"Error")</f>
        <v>No</v>
      </c>
      <c r="P669" s="42" t="str">
        <f aca="false">IF($N669="SOLE",$J669,"")</f>
        <v/>
      </c>
      <c r="Q669" s="42" t="str">
        <f aca="false">IFERROR(IF($N669="Sole",0,IF(AND($N669="OTR",$R669=0),$J669-$P669,IF(AND($N669="OTR", $R669&gt;0), $J669-$P669-$Q669, ""))),"")</f>
        <v/>
      </c>
      <c r="R669" s="42" t="str">
        <f aca="false">IF($P669=$J669, "0","")</f>
        <v/>
      </c>
      <c r="S669" s="42" t="str">
        <f aca="false">IF(OR(ISBLANK($B669),ISBLANK($C669), ISBLANK($E669), ISBLANK($F669), AND(ISBLANK($G669),ISBLANK($H669)), ISBLANK($I669), ISBLANK($L669), AND(ISBLANK($N669), ISBLANK($O669)), AND(ISBLANK($P669), ISBLANK($Q669), ISBLANK($R669))), "No", "Yes")</f>
        <v>No</v>
      </c>
      <c r="T669" s="42" t="str">
        <f aca="false">SUBSTITUTE($U669," ","")</f>
        <v>969457100</v>
      </c>
      <c r="U669" s="42" t="s">
        <v>855</v>
      </c>
      <c r="V669" s="39" t="n">
        <v>52700</v>
      </c>
    </row>
    <row r="670" customFormat="false" ht="15" hidden="false" customHeight="false" outlineLevel="0" collapsed="false">
      <c r="B670" s="70" t="s">
        <v>857</v>
      </c>
      <c r="C670" s="71" t="str">
        <f aca="false">IFERROR(INDEX('13F Data'!A:A,MATCH($B670,'13F Data'!A:A,0)),"No CUSIP Match")</f>
        <v>No CUSIP Match</v>
      </c>
      <c r="D670" s="71" t="str">
        <f aca="false">IFERROR(IF($B670=$C670,"Yes","No"),"No CUSIP Match")</f>
        <v>No</v>
      </c>
      <c r="E670" s="71"/>
      <c r="F670" s="71" t="str">
        <f aca="false">IFERROR(INDEX('13F Data'!C:C, MATCH($B670,'13F Data'!A:A,0)),"No CUSIP Match")</f>
        <v>No CUSIP Match</v>
      </c>
      <c r="G670" s="72" t="str">
        <f aca="false">IFERROR(INDEX('13F Data'!D:D,MATCH($B670,'13F Data'!A:A,0)),"No CUSIP Match")</f>
        <v>No CUSIP Match</v>
      </c>
      <c r="J670" s="73" t="n">
        <f aca="false">$V670</f>
        <v>23000000</v>
      </c>
      <c r="K670" s="71" t="str">
        <f aca="false">IFERROR(INDEX('EOD Data'!G:G, MATCH($A670, 'EOD Data'!B:B,0)), "No TKR Match")</f>
        <v>No TKR Match</v>
      </c>
      <c r="L670" s="71" t="str">
        <f aca="false">IFERROR(ROUND($J670*$K670,0),"Error")</f>
        <v>Error</v>
      </c>
      <c r="M670" s="71" t="str">
        <f aca="false">IFERROR(IF(AND($J670&lt;10000,$L670&lt;200000),"Yes","No"),"Error")</f>
        <v>No</v>
      </c>
      <c r="P670" s="42" t="str">
        <f aca="false">IF($N670="SOLE",$J670,"")</f>
        <v/>
      </c>
      <c r="Q670" s="42" t="str">
        <f aca="false">IFERROR(IF($N670="Sole",0,IF(AND($N670="OTR",$R670=0),$J670-$P670,IF(AND($N670="OTR", $R670&gt;0), $J670-$P670-$Q670, ""))),"")</f>
        <v/>
      </c>
      <c r="R670" s="42" t="str">
        <f aca="false">IF($P670=$J670, "0","")</f>
        <v/>
      </c>
      <c r="S670" s="42" t="str">
        <f aca="false">IF(OR(ISBLANK($B670),ISBLANK($C670), ISBLANK($E670), ISBLANK($F670), AND(ISBLANK($G670),ISBLANK($H670)), ISBLANK($I670), ISBLANK($L670), AND(ISBLANK($N670), ISBLANK($O670)), AND(ISBLANK($P670), ISBLANK($Q670), ISBLANK($R670))), "No", "Yes")</f>
        <v>No</v>
      </c>
      <c r="T670" s="42" t="str">
        <f aca="false">SUBSTITUTE($U670," ","")</f>
        <v>97717PAE4</v>
      </c>
      <c r="U670" s="42" t="s">
        <v>857</v>
      </c>
      <c r="V670" s="39" t="n">
        <v>23000000</v>
      </c>
    </row>
    <row r="671" customFormat="false" ht="15" hidden="false" customHeight="false" outlineLevel="0" collapsed="false">
      <c r="B671" s="70" t="s">
        <v>859</v>
      </c>
      <c r="C671" s="71" t="str">
        <f aca="false">IFERROR(INDEX('13F Data'!A:A,MATCH($B671,'13F Data'!A:A,0)),"No CUSIP Match")</f>
        <v>No CUSIP Match</v>
      </c>
      <c r="D671" s="71" t="str">
        <f aca="false">IFERROR(IF($B671=$C671,"Yes","No"),"No CUSIP Match")</f>
        <v>No</v>
      </c>
      <c r="E671" s="71"/>
      <c r="F671" s="71" t="str">
        <f aca="false">IFERROR(INDEX('13F Data'!C:C, MATCH($B671,'13F Data'!A:A,0)),"No CUSIP Match")</f>
        <v>No CUSIP Match</v>
      </c>
      <c r="G671" s="72" t="str">
        <f aca="false">IFERROR(INDEX('13F Data'!D:D,MATCH($B671,'13F Data'!A:A,0)),"No CUSIP Match")</f>
        <v>No CUSIP Match</v>
      </c>
      <c r="J671" s="73" t="n">
        <f aca="false">$V671</f>
        <v>82000000</v>
      </c>
      <c r="K671" s="71" t="str">
        <f aca="false">IFERROR(INDEX('EOD Data'!G:G, MATCH($A671, 'EOD Data'!B:B,0)), "No TKR Match")</f>
        <v>No TKR Match</v>
      </c>
      <c r="L671" s="71" t="str">
        <f aca="false">IFERROR(ROUND($J671*$K671,0),"Error")</f>
        <v>Error</v>
      </c>
      <c r="M671" s="71" t="str">
        <f aca="false">IFERROR(IF(AND($J671&lt;10000,$L671&lt;200000),"Yes","No"),"Error")</f>
        <v>No</v>
      </c>
      <c r="P671" s="42" t="str">
        <f aca="false">IF($N671="SOLE",$J671,"")</f>
        <v/>
      </c>
      <c r="Q671" s="42" t="str">
        <f aca="false">IFERROR(IF($N671="Sole",0,IF(AND($N671="OTR",$R671=0),$J671-$P671,IF(AND($N671="OTR", $R671&gt;0), $J671-$P671-$Q671, ""))),"")</f>
        <v/>
      </c>
      <c r="R671" s="42" t="str">
        <f aca="false">IF($P671=$J671, "0","")</f>
        <v/>
      </c>
      <c r="S671" s="42" t="str">
        <f aca="false">IF(OR(ISBLANK($B671),ISBLANK($C671), ISBLANK($E671), ISBLANK($F671), AND(ISBLANK($G671),ISBLANK($H671)), ISBLANK($I671), ISBLANK($L671), AND(ISBLANK($N671), ISBLANK($O671)), AND(ISBLANK($P671), ISBLANK($Q671), ISBLANK($R671))), "No", "Yes")</f>
        <v>No</v>
      </c>
      <c r="T671" s="42" t="str">
        <f aca="false">SUBSTITUTE($U671," ","")</f>
        <v>977852AD4</v>
      </c>
      <c r="U671" s="42" t="s">
        <v>859</v>
      </c>
      <c r="V671" s="39" t="n">
        <v>82000000</v>
      </c>
    </row>
    <row r="672" customFormat="false" ht="15" hidden="false" customHeight="false" outlineLevel="0" collapsed="false">
      <c r="B672" s="70" t="s">
        <v>861</v>
      </c>
      <c r="C672" s="71" t="str">
        <f aca="false">IFERROR(INDEX('13F Data'!A:A,MATCH($B672,'13F Data'!A:A,0)),"No CUSIP Match")</f>
        <v>No CUSIP Match</v>
      </c>
      <c r="D672" s="71" t="str">
        <f aca="false">IFERROR(IF($B672=$C672,"Yes","No"),"No CUSIP Match")</f>
        <v>No</v>
      </c>
      <c r="E672" s="71"/>
      <c r="F672" s="71" t="str">
        <f aca="false">IFERROR(INDEX('13F Data'!C:C, MATCH($B672,'13F Data'!A:A,0)),"No CUSIP Match")</f>
        <v>No CUSIP Match</v>
      </c>
      <c r="G672" s="72" t="str">
        <f aca="false">IFERROR(INDEX('13F Data'!D:D,MATCH($B672,'13F Data'!A:A,0)),"No CUSIP Match")</f>
        <v>No CUSIP Match</v>
      </c>
      <c r="J672" s="73" t="n">
        <f aca="false">$V672</f>
        <v>311807</v>
      </c>
      <c r="K672" s="71" t="str">
        <f aca="false">IFERROR(INDEX('EOD Data'!G:G, MATCH($A672, 'EOD Data'!B:B,0)), "No TKR Match")</f>
        <v>No TKR Match</v>
      </c>
      <c r="L672" s="71" t="str">
        <f aca="false">IFERROR(ROUND($J672*$K672,0),"Error")</f>
        <v>Error</v>
      </c>
      <c r="M672" s="71" t="str">
        <f aca="false">IFERROR(IF(AND($J672&lt;10000,$L672&lt;200000),"Yes","No"),"Error")</f>
        <v>No</v>
      </c>
      <c r="P672" s="42" t="str">
        <f aca="false">IF($N672="SOLE",$J672,"")</f>
        <v/>
      </c>
      <c r="Q672" s="42" t="str">
        <f aca="false">IFERROR(IF($N672="Sole",0,IF(AND($N672="OTR",$R672=0),$J672-$P672,IF(AND($N672="OTR", $R672&gt;0), $J672-$P672-$Q672, ""))),"")</f>
        <v/>
      </c>
      <c r="R672" s="42" t="str">
        <f aca="false">IF($P672=$J672, "0","")</f>
        <v/>
      </c>
      <c r="S672" s="42" t="str">
        <f aca="false">IF(OR(ISBLANK($B672),ISBLANK($C672), ISBLANK($E672), ISBLANK($F672), AND(ISBLANK($G672),ISBLANK($H672)), ISBLANK($I672), ISBLANK($L672), AND(ISBLANK($N672), ISBLANK($O672)), AND(ISBLANK($P672), ISBLANK($Q672), ISBLANK($R672))), "No", "Yes")</f>
        <v>No</v>
      </c>
      <c r="T672" s="42" t="str">
        <f aca="false">SUBSTITUTE($U672," ","")</f>
        <v>978097103</v>
      </c>
      <c r="U672" s="42" t="s">
        <v>861</v>
      </c>
      <c r="V672" s="39" t="n">
        <v>311807</v>
      </c>
    </row>
    <row r="673" customFormat="false" ht="15" hidden="false" customHeight="false" outlineLevel="0" collapsed="false">
      <c r="B673" s="70" t="s">
        <v>863</v>
      </c>
      <c r="C673" s="71" t="str">
        <f aca="false">IFERROR(INDEX('13F Data'!A:A,MATCH($B673,'13F Data'!A:A,0)),"No CUSIP Match")</f>
        <v>No CUSIP Match</v>
      </c>
      <c r="D673" s="71" t="str">
        <f aca="false">IFERROR(IF($B673=$C673,"Yes","No"),"No CUSIP Match")</f>
        <v>No</v>
      </c>
      <c r="E673" s="71"/>
      <c r="F673" s="71" t="str">
        <f aca="false">IFERROR(INDEX('13F Data'!C:C, MATCH($B673,'13F Data'!A:A,0)),"No CUSIP Match")</f>
        <v>No CUSIP Match</v>
      </c>
      <c r="G673" s="72" t="str">
        <f aca="false">IFERROR(INDEX('13F Data'!D:D,MATCH($B673,'13F Data'!A:A,0)),"No CUSIP Match")</f>
        <v>No CUSIP Match</v>
      </c>
      <c r="J673" s="73" t="n">
        <f aca="false">$V673</f>
        <v>41000000</v>
      </c>
      <c r="K673" s="71" t="str">
        <f aca="false">IFERROR(INDEX('EOD Data'!G:G, MATCH($A673, 'EOD Data'!B:B,0)), "No TKR Match")</f>
        <v>No TKR Match</v>
      </c>
      <c r="L673" s="71" t="str">
        <f aca="false">IFERROR(ROUND($J673*$K673,0),"Error")</f>
        <v>Error</v>
      </c>
      <c r="M673" s="71" t="str">
        <f aca="false">IFERROR(IF(AND($J673&lt;10000,$L673&lt;200000),"Yes","No"),"Error")</f>
        <v>No</v>
      </c>
      <c r="P673" s="42" t="str">
        <f aca="false">IF($N673="SOLE",$J673,"")</f>
        <v/>
      </c>
      <c r="Q673" s="42" t="str">
        <f aca="false">IFERROR(IF($N673="Sole",0,IF(AND($N673="OTR",$R673=0),$J673-$P673,IF(AND($N673="OTR", $R673&gt;0), $J673-$P673-$Q673, ""))),"")</f>
        <v/>
      </c>
      <c r="R673" s="42" t="str">
        <f aca="false">IF($P673=$J673, "0","")</f>
        <v/>
      </c>
      <c r="S673" s="42" t="str">
        <f aca="false">IF(OR(ISBLANK($B673),ISBLANK($C673), ISBLANK($E673), ISBLANK($F673), AND(ISBLANK($G673),ISBLANK($H673)), ISBLANK($I673), ISBLANK($L673), AND(ISBLANK($N673), ISBLANK($O673)), AND(ISBLANK($P673), ISBLANK($Q673), ISBLANK($R673))), "No", "Yes")</f>
        <v>No</v>
      </c>
      <c r="T673" s="42" t="str">
        <f aca="false">SUBSTITUTE($U673," ","")</f>
        <v>98139AAC9</v>
      </c>
      <c r="U673" s="42" t="s">
        <v>863</v>
      </c>
      <c r="V673" s="39" t="n">
        <v>41000000</v>
      </c>
    </row>
    <row r="674" customFormat="false" ht="15" hidden="false" customHeight="false" outlineLevel="0" collapsed="false">
      <c r="B674" s="70" t="s">
        <v>865</v>
      </c>
      <c r="C674" s="71" t="str">
        <f aca="false">IFERROR(INDEX('13F Data'!A:A,MATCH($B674,'13F Data'!A:A,0)),"No CUSIP Match")</f>
        <v>No CUSIP Match</v>
      </c>
      <c r="D674" s="71" t="str">
        <f aca="false">IFERROR(IF($B674=$C674,"Yes","No"),"No CUSIP Match")</f>
        <v>No</v>
      </c>
      <c r="E674" s="71"/>
      <c r="F674" s="71" t="str">
        <f aca="false">IFERROR(INDEX('13F Data'!C:C, MATCH($B674,'13F Data'!A:A,0)),"No CUSIP Match")</f>
        <v>No CUSIP Match</v>
      </c>
      <c r="G674" s="72" t="str">
        <f aca="false">IFERROR(INDEX('13F Data'!D:D,MATCH($B674,'13F Data'!A:A,0)),"No CUSIP Match")</f>
        <v>No CUSIP Match</v>
      </c>
      <c r="J674" s="73" t="n">
        <f aca="false">$V674</f>
        <v>1761</v>
      </c>
      <c r="K674" s="71" t="str">
        <f aca="false">IFERROR(INDEX('EOD Data'!G:G, MATCH($A674, 'EOD Data'!B:B,0)), "No TKR Match")</f>
        <v>No TKR Match</v>
      </c>
      <c r="L674" s="71" t="str">
        <f aca="false">IFERROR(ROUND($J674*$K674,0),"Error")</f>
        <v>Error</v>
      </c>
      <c r="M674" s="71" t="str">
        <f aca="false">IFERROR(IF(AND($J674&lt;10000,$L674&lt;200000),"Yes","No"),"Error")</f>
        <v>No</v>
      </c>
      <c r="P674" s="42" t="str">
        <f aca="false">IF($N674="SOLE",$J674,"")</f>
        <v/>
      </c>
      <c r="Q674" s="42" t="str">
        <f aca="false">IFERROR(IF($N674="Sole",0,IF(AND($N674="OTR",$R674=0),$J674-$P674,IF(AND($N674="OTR", $R674&gt;0), $J674-$P674-$Q674, ""))),"")</f>
        <v/>
      </c>
      <c r="R674" s="42" t="str">
        <f aca="false">IF($P674=$J674, "0","")</f>
        <v/>
      </c>
      <c r="S674" s="42" t="str">
        <f aca="false">IF(OR(ISBLANK($B674),ISBLANK($C674), ISBLANK($E674), ISBLANK($F674), AND(ISBLANK($G674),ISBLANK($H674)), ISBLANK($I674), ISBLANK($L674), AND(ISBLANK($N674), ISBLANK($O674)), AND(ISBLANK($P674), ISBLANK($Q674), ISBLANK($R674))), "No", "Yes")</f>
        <v>No</v>
      </c>
      <c r="T674" s="42" t="str">
        <f aca="false">SUBSTITUTE($U674," ","")</f>
        <v>983134107</v>
      </c>
      <c r="U674" s="42" t="s">
        <v>865</v>
      </c>
      <c r="V674" s="39" t="n">
        <v>1761</v>
      </c>
    </row>
    <row r="675" customFormat="false" ht="15" hidden="false" customHeight="false" outlineLevel="0" collapsed="false">
      <c r="B675" s="70" t="s">
        <v>865</v>
      </c>
      <c r="C675" s="71" t="str">
        <f aca="false">IFERROR(INDEX('13F Data'!A:A,MATCH($B675,'13F Data'!A:A,0)),"No CUSIP Match")</f>
        <v>No CUSIP Match</v>
      </c>
      <c r="D675" s="71" t="str">
        <f aca="false">IFERROR(IF($B675=$C675,"Yes","No"),"No CUSIP Match")</f>
        <v>No</v>
      </c>
      <c r="E675" s="71"/>
      <c r="F675" s="71" t="str">
        <f aca="false">IFERROR(INDEX('13F Data'!C:C, MATCH($B675,'13F Data'!A:A,0)),"No CUSIP Match")</f>
        <v>No CUSIP Match</v>
      </c>
      <c r="G675" s="72" t="str">
        <f aca="false">IFERROR(INDEX('13F Data'!D:D,MATCH($B675,'13F Data'!A:A,0)),"No CUSIP Match")</f>
        <v>No CUSIP Match</v>
      </c>
      <c r="J675" s="73" t="n">
        <f aca="false">$V675</f>
        <v>4000</v>
      </c>
      <c r="K675" s="71" t="str">
        <f aca="false">IFERROR(INDEX('EOD Data'!G:G, MATCH($A675, 'EOD Data'!B:B,0)), "No TKR Match")</f>
        <v>No TKR Match</v>
      </c>
      <c r="L675" s="71" t="str">
        <f aca="false">IFERROR(ROUND($J675*$K675,0),"Error")</f>
        <v>Error</v>
      </c>
      <c r="M675" s="71" t="str">
        <f aca="false">IFERROR(IF(AND($J675&lt;10000,$L675&lt;200000),"Yes","No"),"Error")</f>
        <v>No</v>
      </c>
      <c r="P675" s="42" t="str">
        <f aca="false">IF($N675="SOLE",$J675,"")</f>
        <v/>
      </c>
      <c r="Q675" s="42" t="str">
        <f aca="false">IFERROR(IF($N675="Sole",0,IF(AND($N675="OTR",$R675=0),$J675-$P675,IF(AND($N675="OTR", $R675&gt;0), $J675-$P675-$Q675, ""))),"")</f>
        <v/>
      </c>
      <c r="R675" s="42" t="str">
        <f aca="false">IF($P675=$J675, "0","")</f>
        <v/>
      </c>
      <c r="S675" s="42" t="str">
        <f aca="false">IF(OR(ISBLANK($B675),ISBLANK($C675), ISBLANK($E675), ISBLANK($F675), AND(ISBLANK($G675),ISBLANK($H675)), ISBLANK($I675), ISBLANK($L675), AND(ISBLANK($N675), ISBLANK($O675)), AND(ISBLANK($P675), ISBLANK($Q675), ISBLANK($R675))), "No", "Yes")</f>
        <v>No</v>
      </c>
      <c r="T675" s="42" t="str">
        <f aca="false">SUBSTITUTE($U675," ","")</f>
        <v>983134107</v>
      </c>
      <c r="U675" s="42" t="s">
        <v>865</v>
      </c>
      <c r="V675" s="39" t="n">
        <v>4000</v>
      </c>
    </row>
    <row r="676" customFormat="false" ht="15" hidden="false" customHeight="false" outlineLevel="0" collapsed="false">
      <c r="B676" s="70" t="s">
        <v>865</v>
      </c>
      <c r="C676" s="71" t="str">
        <f aca="false">IFERROR(INDEX('13F Data'!A:A,MATCH($B676,'13F Data'!A:A,0)),"No CUSIP Match")</f>
        <v>No CUSIP Match</v>
      </c>
      <c r="D676" s="71" t="str">
        <f aca="false">IFERROR(IF($B676=$C676,"Yes","No"),"No CUSIP Match")</f>
        <v>No</v>
      </c>
      <c r="E676" s="71"/>
      <c r="F676" s="71" t="str">
        <f aca="false">IFERROR(INDEX('13F Data'!C:C, MATCH($B676,'13F Data'!A:A,0)),"No CUSIP Match")</f>
        <v>No CUSIP Match</v>
      </c>
      <c r="G676" s="72" t="str">
        <f aca="false">IFERROR(INDEX('13F Data'!D:D,MATCH($B676,'13F Data'!A:A,0)),"No CUSIP Match")</f>
        <v>No CUSIP Match</v>
      </c>
      <c r="J676" s="73" t="n">
        <f aca="false">$V676</f>
        <v>4000</v>
      </c>
      <c r="K676" s="71" t="str">
        <f aca="false">IFERROR(INDEX('EOD Data'!G:G, MATCH($A676, 'EOD Data'!B:B,0)), "No TKR Match")</f>
        <v>No TKR Match</v>
      </c>
      <c r="L676" s="71" t="str">
        <f aca="false">IFERROR(ROUND($J676*$K676,0),"Error")</f>
        <v>Error</v>
      </c>
      <c r="M676" s="71" t="str">
        <f aca="false">IFERROR(IF(AND($J676&lt;10000,$L676&lt;200000),"Yes","No"),"Error")</f>
        <v>No</v>
      </c>
      <c r="P676" s="42" t="str">
        <f aca="false">IF($N676="SOLE",$J676,"")</f>
        <v/>
      </c>
      <c r="Q676" s="42" t="str">
        <f aca="false">IFERROR(IF($N676="Sole",0,IF(AND($N676="OTR",$R676=0),$J676-$P676,IF(AND($N676="OTR", $R676&gt;0), $J676-$P676-$Q676, ""))),"")</f>
        <v/>
      </c>
      <c r="R676" s="42" t="str">
        <f aca="false">IF($P676=$J676, "0","")</f>
        <v/>
      </c>
      <c r="S676" s="42" t="str">
        <f aca="false">IF(OR(ISBLANK($B676),ISBLANK($C676), ISBLANK($E676), ISBLANK($F676), AND(ISBLANK($G676),ISBLANK($H676)), ISBLANK($I676), ISBLANK($L676), AND(ISBLANK($N676), ISBLANK($O676)), AND(ISBLANK($P676), ISBLANK($Q676), ISBLANK($R676))), "No", "Yes")</f>
        <v>No</v>
      </c>
      <c r="T676" s="42" t="str">
        <f aca="false">SUBSTITUTE($U676," ","")</f>
        <v>983134107</v>
      </c>
      <c r="U676" s="42" t="s">
        <v>865</v>
      </c>
      <c r="V676" s="39" t="n">
        <v>4000</v>
      </c>
    </row>
    <row r="677" customFormat="false" ht="15" hidden="false" customHeight="false" outlineLevel="0" collapsed="false">
      <c r="B677" s="70" t="s">
        <v>867</v>
      </c>
      <c r="C677" s="71" t="str">
        <f aca="false">IFERROR(INDEX('13F Data'!A:A,MATCH($B677,'13F Data'!A:A,0)),"No CUSIP Match")</f>
        <v>No CUSIP Match</v>
      </c>
      <c r="D677" s="71" t="str">
        <f aca="false">IFERROR(IF($B677=$C677,"Yes","No"),"No CUSIP Match")</f>
        <v>No</v>
      </c>
      <c r="E677" s="71"/>
      <c r="F677" s="71" t="str">
        <f aca="false">IFERROR(INDEX('13F Data'!C:C, MATCH($B677,'13F Data'!A:A,0)),"No CUSIP Match")</f>
        <v>No CUSIP Match</v>
      </c>
      <c r="G677" s="72" t="str">
        <f aca="false">IFERROR(INDEX('13F Data'!D:D,MATCH($B677,'13F Data'!A:A,0)),"No CUSIP Match")</f>
        <v>No CUSIP Match</v>
      </c>
      <c r="J677" s="73" t="n">
        <f aca="false">$V677</f>
        <v>11000000</v>
      </c>
      <c r="K677" s="71" t="str">
        <f aca="false">IFERROR(INDEX('EOD Data'!G:G, MATCH($A677, 'EOD Data'!B:B,0)), "No TKR Match")</f>
        <v>No TKR Match</v>
      </c>
      <c r="L677" s="71" t="str">
        <f aca="false">IFERROR(ROUND($J677*$K677,0),"Error")</f>
        <v>Error</v>
      </c>
      <c r="M677" s="71" t="str">
        <f aca="false">IFERROR(IF(AND($J677&lt;10000,$L677&lt;200000),"Yes","No"),"Error")</f>
        <v>No</v>
      </c>
      <c r="P677" s="42" t="str">
        <f aca="false">IF($N677="SOLE",$J677,"")</f>
        <v/>
      </c>
      <c r="Q677" s="42" t="str">
        <f aca="false">IFERROR(IF($N677="Sole",0,IF(AND($N677="OTR",$R677=0),$J677-$P677,IF(AND($N677="OTR", $R677&gt;0), $J677-$P677-$Q677, ""))),"")</f>
        <v/>
      </c>
      <c r="R677" s="42" t="str">
        <f aca="false">IF($P677=$J677, "0","")</f>
        <v/>
      </c>
      <c r="S677" s="42" t="str">
        <f aca="false">IF(OR(ISBLANK($B677),ISBLANK($C677), ISBLANK($E677), ISBLANK($F677), AND(ISBLANK($G677),ISBLANK($H677)), ISBLANK($I677), ISBLANK($L677), AND(ISBLANK($N677), ISBLANK($O677)), AND(ISBLANK($P677), ISBLANK($Q677), ISBLANK($R677))), "No", "Yes")</f>
        <v>No</v>
      </c>
      <c r="T677" s="42" t="str">
        <f aca="false">SUBSTITUTE($U677," ","")</f>
        <v>98423FAB5</v>
      </c>
      <c r="U677" s="42" t="s">
        <v>867</v>
      </c>
      <c r="V677" s="39" t="n">
        <v>11000000</v>
      </c>
    </row>
    <row r="678" customFormat="false" ht="15" hidden="false" customHeight="false" outlineLevel="0" collapsed="false">
      <c r="B678" s="70" t="s">
        <v>869</v>
      </c>
      <c r="C678" s="71" t="str">
        <f aca="false">IFERROR(INDEX('13F Data'!A:A,MATCH($B678,'13F Data'!A:A,0)),"No CUSIP Match")</f>
        <v>No CUSIP Match</v>
      </c>
      <c r="D678" s="71" t="str">
        <f aca="false">IFERROR(IF($B678=$C678,"Yes","No"),"No CUSIP Match")</f>
        <v>No</v>
      </c>
      <c r="E678" s="71"/>
      <c r="F678" s="71" t="str">
        <f aca="false">IFERROR(INDEX('13F Data'!C:C, MATCH($B678,'13F Data'!A:A,0)),"No CUSIP Match")</f>
        <v>No CUSIP Match</v>
      </c>
      <c r="G678" s="72" t="str">
        <f aca="false">IFERROR(INDEX('13F Data'!D:D,MATCH($B678,'13F Data'!A:A,0)),"No CUSIP Match")</f>
        <v>No CUSIP Match</v>
      </c>
      <c r="J678" s="73" t="n">
        <f aca="false">$V678</f>
        <v>577</v>
      </c>
      <c r="K678" s="71" t="str">
        <f aca="false">IFERROR(INDEX('EOD Data'!G:G, MATCH($A678, 'EOD Data'!B:B,0)), "No TKR Match")</f>
        <v>No TKR Match</v>
      </c>
      <c r="L678" s="71" t="str">
        <f aca="false">IFERROR(ROUND($J678*$K678,0),"Error")</f>
        <v>Error</v>
      </c>
      <c r="M678" s="71" t="str">
        <f aca="false">IFERROR(IF(AND($J678&lt;10000,$L678&lt;200000),"Yes","No"),"Error")</f>
        <v>No</v>
      </c>
      <c r="P678" s="42" t="str">
        <f aca="false">IF($N678="SOLE",$J678,"")</f>
        <v/>
      </c>
      <c r="Q678" s="42" t="str">
        <f aca="false">IFERROR(IF($N678="Sole",0,IF(AND($N678="OTR",$R678=0),$J678-$P678,IF(AND($N678="OTR", $R678&gt;0), $J678-$P678-$Q678, ""))),"")</f>
        <v/>
      </c>
      <c r="R678" s="42" t="str">
        <f aca="false">IF($P678=$J678, "0","")</f>
        <v/>
      </c>
      <c r="S678" s="42" t="str">
        <f aca="false">IF(OR(ISBLANK($B678),ISBLANK($C678), ISBLANK($E678), ISBLANK($F678), AND(ISBLANK($G678),ISBLANK($H678)), ISBLANK($I678), ISBLANK($L678), AND(ISBLANK($N678), ISBLANK($O678)), AND(ISBLANK($P678), ISBLANK($Q678), ISBLANK($R678))), "No", "Yes")</f>
        <v>No</v>
      </c>
      <c r="T678" s="42" t="str">
        <f aca="false">SUBSTITUTE($U678," ","")</f>
        <v>988498101</v>
      </c>
      <c r="U678" s="42" t="s">
        <v>869</v>
      </c>
      <c r="V678" s="39" t="n">
        <v>577</v>
      </c>
    </row>
    <row r="679" customFormat="false" ht="15" hidden="false" customHeight="false" outlineLevel="0" collapsed="false">
      <c r="B679" s="70" t="s">
        <v>869</v>
      </c>
      <c r="C679" s="71" t="str">
        <f aca="false">IFERROR(INDEX('13F Data'!A:A,MATCH($B679,'13F Data'!A:A,0)),"No CUSIP Match")</f>
        <v>No CUSIP Match</v>
      </c>
      <c r="D679" s="71" t="str">
        <f aca="false">IFERROR(IF($B679=$C679,"Yes","No"),"No CUSIP Match")</f>
        <v>No</v>
      </c>
      <c r="E679" s="71"/>
      <c r="F679" s="71" t="str">
        <f aca="false">IFERROR(INDEX('13F Data'!C:C, MATCH($B679,'13F Data'!A:A,0)),"No CUSIP Match")</f>
        <v>No CUSIP Match</v>
      </c>
      <c r="G679" s="72" t="str">
        <f aca="false">IFERROR(INDEX('13F Data'!D:D,MATCH($B679,'13F Data'!A:A,0)),"No CUSIP Match")</f>
        <v>No CUSIP Match</v>
      </c>
      <c r="J679" s="73" t="n">
        <f aca="false">$V679</f>
        <v>3300</v>
      </c>
      <c r="K679" s="71" t="str">
        <f aca="false">IFERROR(INDEX('EOD Data'!G:G, MATCH($A679, 'EOD Data'!B:B,0)), "No TKR Match")</f>
        <v>No TKR Match</v>
      </c>
      <c r="L679" s="71" t="str">
        <f aca="false">IFERROR(ROUND($J679*$K679,0),"Error")</f>
        <v>Error</v>
      </c>
      <c r="M679" s="71" t="str">
        <f aca="false">IFERROR(IF(AND($J679&lt;10000,$L679&lt;200000),"Yes","No"),"Error")</f>
        <v>No</v>
      </c>
      <c r="P679" s="42" t="str">
        <f aca="false">IF($N679="SOLE",$J679,"")</f>
        <v/>
      </c>
      <c r="Q679" s="42" t="str">
        <f aca="false">IFERROR(IF($N679="Sole",0,IF(AND($N679="OTR",$R679=0),$J679-$P679,IF(AND($N679="OTR", $R679&gt;0), $J679-$P679-$Q679, ""))),"")</f>
        <v/>
      </c>
      <c r="R679" s="42" t="str">
        <f aca="false">IF($P679=$J679, "0","")</f>
        <v/>
      </c>
      <c r="S679" s="42" t="str">
        <f aca="false">IF(OR(ISBLANK($B679),ISBLANK($C679), ISBLANK($E679), ISBLANK($F679), AND(ISBLANK($G679),ISBLANK($H679)), ISBLANK($I679), ISBLANK($L679), AND(ISBLANK($N679), ISBLANK($O679)), AND(ISBLANK($P679), ISBLANK($Q679), ISBLANK($R679))), "No", "Yes")</f>
        <v>No</v>
      </c>
      <c r="T679" s="42" t="str">
        <f aca="false">SUBSTITUTE($U679," ","")</f>
        <v>988498101</v>
      </c>
      <c r="U679" s="42" t="s">
        <v>869</v>
      </c>
      <c r="V679" s="39" t="n">
        <v>3300</v>
      </c>
    </row>
    <row r="680" customFormat="false" ht="15" hidden="false" customHeight="false" outlineLevel="0" collapsed="false">
      <c r="B680" s="70" t="s">
        <v>869</v>
      </c>
      <c r="C680" s="71" t="str">
        <f aca="false">IFERROR(INDEX('13F Data'!A:A,MATCH($B680,'13F Data'!A:A,0)),"No CUSIP Match")</f>
        <v>No CUSIP Match</v>
      </c>
      <c r="D680" s="71" t="str">
        <f aca="false">IFERROR(IF($B680=$C680,"Yes","No"),"No CUSIP Match")</f>
        <v>No</v>
      </c>
      <c r="E680" s="71"/>
      <c r="F680" s="71" t="str">
        <f aca="false">IFERROR(INDEX('13F Data'!C:C, MATCH($B680,'13F Data'!A:A,0)),"No CUSIP Match")</f>
        <v>No CUSIP Match</v>
      </c>
      <c r="G680" s="72" t="str">
        <f aca="false">IFERROR(INDEX('13F Data'!D:D,MATCH($B680,'13F Data'!A:A,0)),"No CUSIP Match")</f>
        <v>No CUSIP Match</v>
      </c>
      <c r="J680" s="73" t="n">
        <f aca="false">$V680</f>
        <v>3300</v>
      </c>
      <c r="K680" s="71" t="str">
        <f aca="false">IFERROR(INDEX('EOD Data'!G:G, MATCH($A680, 'EOD Data'!B:B,0)), "No TKR Match")</f>
        <v>No TKR Match</v>
      </c>
      <c r="L680" s="71" t="str">
        <f aca="false">IFERROR(ROUND($J680*$K680,0),"Error")</f>
        <v>Error</v>
      </c>
      <c r="M680" s="71" t="str">
        <f aca="false">IFERROR(IF(AND($J680&lt;10000,$L680&lt;200000),"Yes","No"),"Error")</f>
        <v>No</v>
      </c>
      <c r="P680" s="42" t="str">
        <f aca="false">IF($N680="SOLE",$J680,"")</f>
        <v/>
      </c>
      <c r="Q680" s="42" t="str">
        <f aca="false">IFERROR(IF($N680="Sole",0,IF(AND($N680="OTR",$R680=0),$J680-$P680,IF(AND($N680="OTR", $R680&gt;0), $J680-$P680-$Q680, ""))),"")</f>
        <v/>
      </c>
      <c r="R680" s="42" t="str">
        <f aca="false">IF($P680=$J680, "0","")</f>
        <v/>
      </c>
      <c r="S680" s="42" t="str">
        <f aca="false">IF(OR(ISBLANK($B680),ISBLANK($C680), ISBLANK($E680), ISBLANK($F680), AND(ISBLANK($G680),ISBLANK($H680)), ISBLANK($I680), ISBLANK($L680), AND(ISBLANK($N680), ISBLANK($O680)), AND(ISBLANK($P680), ISBLANK($Q680), ISBLANK($R680))), "No", "Yes")</f>
        <v>No</v>
      </c>
      <c r="T680" s="42" t="str">
        <f aca="false">SUBSTITUTE($U680," ","")</f>
        <v>988498101</v>
      </c>
      <c r="U680" s="42" t="s">
        <v>869</v>
      </c>
      <c r="V680" s="39" t="n">
        <v>3300</v>
      </c>
    </row>
    <row r="681" customFormat="false" ht="15" hidden="false" customHeight="false" outlineLevel="0" collapsed="false">
      <c r="B681" s="70" t="s">
        <v>871</v>
      </c>
      <c r="C681" s="71" t="str">
        <f aca="false">IFERROR(INDEX('13F Data'!A:A,MATCH($B681,'13F Data'!A:A,0)),"No CUSIP Match")</f>
        <v>No CUSIP Match</v>
      </c>
      <c r="D681" s="71" t="str">
        <f aca="false">IFERROR(IF($B681=$C681,"Yes","No"),"No CUSIP Match")</f>
        <v>No</v>
      </c>
      <c r="E681" s="71"/>
      <c r="F681" s="71" t="str">
        <f aca="false">IFERROR(INDEX('13F Data'!C:C, MATCH($B681,'13F Data'!A:A,0)),"No CUSIP Match")</f>
        <v>No CUSIP Match</v>
      </c>
      <c r="G681" s="72" t="str">
        <f aca="false">IFERROR(INDEX('13F Data'!D:D,MATCH($B681,'13F Data'!A:A,0)),"No CUSIP Match")</f>
        <v>No CUSIP Match</v>
      </c>
      <c r="J681" s="73" t="n">
        <f aca="false">$V681</f>
        <v>26800</v>
      </c>
      <c r="K681" s="71" t="str">
        <f aca="false">IFERROR(INDEX('EOD Data'!G:G, MATCH($A681, 'EOD Data'!B:B,0)), "No TKR Match")</f>
        <v>No TKR Match</v>
      </c>
      <c r="L681" s="71" t="str">
        <f aca="false">IFERROR(ROUND($J681*$K681,0),"Error")</f>
        <v>Error</v>
      </c>
      <c r="M681" s="71" t="str">
        <f aca="false">IFERROR(IF(AND($J681&lt;10000,$L681&lt;200000),"Yes","No"),"Error")</f>
        <v>No</v>
      </c>
      <c r="P681" s="42" t="str">
        <f aca="false">IF($N681="SOLE",$J681,"")</f>
        <v/>
      </c>
      <c r="Q681" s="42" t="str">
        <f aca="false">IFERROR(IF($N681="Sole",0,IF(AND($N681="OTR",$R681=0),$J681-$P681,IF(AND($N681="OTR", $R681&gt;0), $J681-$P681-$Q681, ""))),"")</f>
        <v/>
      </c>
      <c r="R681" s="42" t="str">
        <f aca="false">IF($P681=$J681, "0","")</f>
        <v/>
      </c>
      <c r="S681" s="42" t="str">
        <f aca="false">IF(OR(ISBLANK($B681),ISBLANK($C681), ISBLANK($E681), ISBLANK($F681), AND(ISBLANK($G681),ISBLANK($H681)), ISBLANK($I681), ISBLANK($L681), AND(ISBLANK($N681), ISBLANK($O681)), AND(ISBLANK($P681), ISBLANK($Q681), ISBLANK($R681))), "No", "Yes")</f>
        <v>No</v>
      </c>
      <c r="T681" s="42" t="str">
        <f aca="false">SUBSTITUTE($U681," ","")</f>
        <v>989701107</v>
      </c>
      <c r="U681" s="42" t="s">
        <v>871</v>
      </c>
      <c r="V681" s="39" t="n">
        <v>26800</v>
      </c>
    </row>
    <row r="682" customFormat="false" ht="15" hidden="false" customHeight="false" outlineLevel="0" collapsed="false">
      <c r="B682" s="70" t="s">
        <v>873</v>
      </c>
      <c r="C682" s="71" t="str">
        <f aca="false">IFERROR(INDEX('13F Data'!A:A,MATCH($B682,'13F Data'!A:A,0)),"No CUSIP Match")</f>
        <v>No CUSIP Match</v>
      </c>
      <c r="D682" s="71" t="str">
        <f aca="false">IFERROR(IF($B682=$C682,"Yes","No"),"No CUSIP Match")</f>
        <v>No</v>
      </c>
      <c r="E682" s="71"/>
      <c r="F682" s="71" t="str">
        <f aca="false">IFERROR(INDEX('13F Data'!C:C, MATCH($B682,'13F Data'!A:A,0)),"No CUSIP Match")</f>
        <v>No CUSIP Match</v>
      </c>
      <c r="G682" s="72" t="str">
        <f aca="false">IFERROR(INDEX('13F Data'!D:D,MATCH($B682,'13F Data'!A:A,0)),"No CUSIP Match")</f>
        <v>No CUSIP Match</v>
      </c>
      <c r="J682" s="73" t="n">
        <f aca="false">$V682</f>
        <v>604668</v>
      </c>
      <c r="K682" s="71" t="str">
        <f aca="false">IFERROR(INDEX('EOD Data'!G:G, MATCH($A682, 'EOD Data'!B:B,0)), "No TKR Match")</f>
        <v>No TKR Match</v>
      </c>
      <c r="L682" s="71" t="str">
        <f aca="false">IFERROR(ROUND($J682*$K682,0),"Error")</f>
        <v>Error</v>
      </c>
      <c r="M682" s="71" t="str">
        <f aca="false">IFERROR(IF(AND($J682&lt;10000,$L682&lt;200000),"Yes","No"),"Error")</f>
        <v>No</v>
      </c>
      <c r="P682" s="42" t="str">
        <f aca="false">IF($N682="SOLE",$J682,"")</f>
        <v/>
      </c>
      <c r="Q682" s="42" t="str">
        <f aca="false">IFERROR(IF($N682="Sole",0,IF(AND($N682="OTR",$R682=0),$J682-$P682,IF(AND($N682="OTR", $R682&gt;0), $J682-$P682-$Q682, ""))),"")</f>
        <v/>
      </c>
      <c r="R682" s="42" t="str">
        <f aca="false">IF($P682=$J682, "0","")</f>
        <v/>
      </c>
      <c r="S682" s="42" t="str">
        <f aca="false">IF(OR(ISBLANK($B682),ISBLANK($C682), ISBLANK($E682), ISBLANK($F682), AND(ISBLANK($G682),ISBLANK($H682)), ISBLANK($I682), ISBLANK($L682), AND(ISBLANK($N682), ISBLANK($O682)), AND(ISBLANK($P682), ISBLANK($Q682), ISBLANK($R682))), "No", "Yes")</f>
        <v>No</v>
      </c>
      <c r="T682" s="42" t="str">
        <f aca="false">SUBSTITUTE($U682," ","")</f>
        <v>98980F104</v>
      </c>
      <c r="U682" s="42" t="s">
        <v>873</v>
      </c>
      <c r="V682" s="39" t="n">
        <v>604668</v>
      </c>
    </row>
    <row r="683" customFormat="false" ht="15" hidden="false" customHeight="false" outlineLevel="0" collapsed="false">
      <c r="B683" s="70" t="s">
        <v>873</v>
      </c>
      <c r="C683" s="71" t="str">
        <f aca="false">IFERROR(INDEX('13F Data'!A:A,MATCH($B683,'13F Data'!A:A,0)),"No CUSIP Match")</f>
        <v>No CUSIP Match</v>
      </c>
      <c r="D683" s="71" t="str">
        <f aca="false">IFERROR(IF($B683=$C683,"Yes","No"),"No CUSIP Match")</f>
        <v>No</v>
      </c>
      <c r="E683" s="71"/>
      <c r="F683" s="71" t="str">
        <f aca="false">IFERROR(INDEX('13F Data'!C:C, MATCH($B683,'13F Data'!A:A,0)),"No CUSIP Match")</f>
        <v>No CUSIP Match</v>
      </c>
      <c r="G683" s="72" t="str">
        <f aca="false">IFERROR(INDEX('13F Data'!D:D,MATCH($B683,'13F Data'!A:A,0)),"No CUSIP Match")</f>
        <v>No CUSIP Match</v>
      </c>
      <c r="J683" s="73" t="n">
        <f aca="false">$V683</f>
        <v>62100</v>
      </c>
      <c r="K683" s="71" t="str">
        <f aca="false">IFERROR(INDEX('EOD Data'!G:G, MATCH($A683, 'EOD Data'!B:B,0)), "No TKR Match")</f>
        <v>No TKR Match</v>
      </c>
      <c r="L683" s="71" t="str">
        <f aca="false">IFERROR(ROUND($J683*$K683,0),"Error")</f>
        <v>Error</v>
      </c>
      <c r="M683" s="71" t="str">
        <f aca="false">IFERROR(IF(AND($J683&lt;10000,$L683&lt;200000),"Yes","No"),"Error")</f>
        <v>No</v>
      </c>
      <c r="P683" s="42" t="str">
        <f aca="false">IF($N683="SOLE",$J683,"")</f>
        <v/>
      </c>
      <c r="Q683" s="42" t="str">
        <f aca="false">IFERROR(IF($N683="Sole",0,IF(AND($N683="OTR",$R683=0),$J683-$P683,IF(AND($N683="OTR", $R683&gt;0), $J683-$P683-$Q683, ""))),"")</f>
        <v/>
      </c>
      <c r="R683" s="42" t="str">
        <f aca="false">IF($P683=$J683, "0","")</f>
        <v/>
      </c>
      <c r="S683" s="42" t="str">
        <f aca="false">IF(OR(ISBLANK($B683),ISBLANK($C683), ISBLANK($E683), ISBLANK($F683), AND(ISBLANK($G683),ISBLANK($H683)), ISBLANK($I683), ISBLANK($L683), AND(ISBLANK($N683), ISBLANK($O683)), AND(ISBLANK($P683), ISBLANK($Q683), ISBLANK($R683))), "No", "Yes")</f>
        <v>No</v>
      </c>
      <c r="T683" s="42" t="str">
        <f aca="false">SUBSTITUTE($U683," ","")</f>
        <v>98980F104</v>
      </c>
      <c r="U683" s="42" t="s">
        <v>873</v>
      </c>
      <c r="V683" s="39" t="n">
        <v>62100</v>
      </c>
    </row>
    <row r="684" customFormat="false" ht="15" hidden="false" customHeight="false" outlineLevel="0" collapsed="false">
      <c r="B684" s="70"/>
      <c r="C684" s="71"/>
      <c r="D684" s="71"/>
      <c r="E684" s="71"/>
      <c r="F684" s="71"/>
      <c r="G684" s="72"/>
      <c r="J684" s="71"/>
      <c r="K684" s="71"/>
      <c r="L684" s="71"/>
      <c r="M684" s="71"/>
    </row>
    <row r="685" customFormat="false" ht="15" hidden="false" customHeight="false" outlineLevel="0" collapsed="false">
      <c r="B685" s="70"/>
      <c r="C685" s="71"/>
      <c r="D685" s="71"/>
      <c r="E685" s="71"/>
      <c r="F685" s="71"/>
      <c r="G685" s="72"/>
      <c r="J685" s="71"/>
      <c r="K685" s="71"/>
      <c r="L685" s="71"/>
      <c r="M685" s="71"/>
    </row>
    <row r="686" customFormat="false" ht="15" hidden="false" customHeight="false" outlineLevel="0" collapsed="false">
      <c r="B686" s="70"/>
      <c r="C686" s="71"/>
      <c r="D686" s="71"/>
      <c r="E686" s="71"/>
      <c r="F686" s="71"/>
      <c r="G686" s="72"/>
      <c r="J686" s="71"/>
      <c r="K686" s="71"/>
      <c r="L686" s="71"/>
      <c r="M686" s="71"/>
    </row>
    <row r="687" customFormat="false" ht="15" hidden="false" customHeight="false" outlineLevel="0" collapsed="false">
      <c r="B687" s="70"/>
      <c r="C687" s="71"/>
      <c r="D687" s="71"/>
      <c r="E687" s="71"/>
      <c r="F687" s="71"/>
      <c r="G687" s="72"/>
      <c r="J687" s="71"/>
      <c r="K687" s="71"/>
      <c r="L687" s="71"/>
      <c r="M687" s="71"/>
    </row>
    <row r="688" customFormat="false" ht="15" hidden="false" customHeight="false" outlineLevel="0" collapsed="false">
      <c r="B688" s="70"/>
      <c r="C688" s="71"/>
      <c r="D688" s="71"/>
      <c r="E688" s="71"/>
      <c r="F688" s="71"/>
      <c r="G688" s="72"/>
      <c r="J688" s="71"/>
      <c r="K688" s="71"/>
      <c r="L688" s="71"/>
      <c r="M688" s="71"/>
    </row>
    <row r="689" customFormat="false" ht="15" hidden="false" customHeight="false" outlineLevel="0" collapsed="false">
      <c r="B689" s="70"/>
      <c r="C689" s="71"/>
      <c r="D689" s="71"/>
      <c r="E689" s="71"/>
      <c r="F689" s="71"/>
      <c r="G689" s="72"/>
      <c r="J689" s="71"/>
      <c r="K689" s="71"/>
      <c r="L689" s="71"/>
      <c r="M689" s="71"/>
    </row>
    <row r="690" customFormat="false" ht="15" hidden="false" customHeight="false" outlineLevel="0" collapsed="false">
      <c r="B690" s="70"/>
      <c r="C690" s="71"/>
      <c r="D690" s="71"/>
      <c r="E690" s="71"/>
      <c r="F690" s="71"/>
      <c r="G690" s="72"/>
      <c r="J690" s="71"/>
      <c r="K690" s="71"/>
      <c r="L690" s="71"/>
      <c r="M690" s="71"/>
    </row>
    <row r="691" customFormat="false" ht="15" hidden="false" customHeight="false" outlineLevel="0" collapsed="false">
      <c r="B691" s="70"/>
      <c r="C691" s="71"/>
      <c r="D691" s="71"/>
      <c r="E691" s="71"/>
      <c r="F691" s="71"/>
      <c r="G691" s="72"/>
      <c r="J691" s="71"/>
      <c r="K691" s="71"/>
      <c r="L691" s="71"/>
      <c r="M691" s="71"/>
    </row>
    <row r="692" customFormat="false" ht="15" hidden="false" customHeight="false" outlineLevel="0" collapsed="false">
      <c r="B692" s="70"/>
      <c r="C692" s="71"/>
      <c r="D692" s="71"/>
      <c r="E692" s="71"/>
      <c r="F692" s="71"/>
      <c r="G692" s="72"/>
      <c r="J692" s="71"/>
      <c r="K692" s="71"/>
      <c r="L692" s="71"/>
      <c r="M692" s="71"/>
    </row>
    <row r="693" customFormat="false" ht="15" hidden="false" customHeight="false" outlineLevel="0" collapsed="false">
      <c r="B693" s="70"/>
      <c r="C693" s="71"/>
      <c r="D693" s="71"/>
      <c r="E693" s="71"/>
      <c r="F693" s="71"/>
      <c r="G693" s="72"/>
      <c r="J693" s="71"/>
      <c r="K693" s="71"/>
      <c r="L693" s="71"/>
      <c r="M693" s="71"/>
    </row>
    <row r="694" customFormat="false" ht="15" hidden="false" customHeight="false" outlineLevel="0" collapsed="false">
      <c r="B694" s="70"/>
      <c r="C694" s="71"/>
      <c r="D694" s="71"/>
      <c r="E694" s="71"/>
      <c r="F694" s="71"/>
      <c r="G694" s="72"/>
      <c r="J694" s="71"/>
      <c r="K694" s="71"/>
      <c r="L694" s="71"/>
      <c r="M694" s="71"/>
    </row>
    <row r="695" customFormat="false" ht="15" hidden="false" customHeight="false" outlineLevel="0" collapsed="false">
      <c r="B695" s="70"/>
      <c r="C695" s="71"/>
      <c r="D695" s="71"/>
      <c r="E695" s="71"/>
      <c r="F695" s="71"/>
      <c r="G695" s="72"/>
      <c r="J695" s="71"/>
      <c r="K695" s="71"/>
      <c r="L695" s="71"/>
      <c r="M695" s="71"/>
    </row>
    <row r="696" customFormat="false" ht="15" hidden="false" customHeight="false" outlineLevel="0" collapsed="false">
      <c r="B696" s="70"/>
      <c r="C696" s="71"/>
      <c r="D696" s="71"/>
      <c r="E696" s="71"/>
      <c r="F696" s="71"/>
      <c r="G696" s="72"/>
      <c r="J696" s="71"/>
      <c r="K696" s="71"/>
      <c r="L696" s="71"/>
      <c r="M696" s="71"/>
    </row>
    <row r="697" customFormat="false" ht="15" hidden="false" customHeight="false" outlineLevel="0" collapsed="false">
      <c r="B697" s="70"/>
      <c r="C697" s="71"/>
      <c r="D697" s="71"/>
      <c r="E697" s="71"/>
      <c r="F697" s="71"/>
      <c r="G697" s="72"/>
      <c r="J697" s="71"/>
      <c r="K697" s="71"/>
      <c r="L697" s="71"/>
      <c r="M697" s="71"/>
    </row>
    <row r="698" customFormat="false" ht="15" hidden="false" customHeight="false" outlineLevel="0" collapsed="false">
      <c r="B698" s="70"/>
      <c r="C698" s="71"/>
      <c r="D698" s="71"/>
      <c r="E698" s="71"/>
      <c r="F698" s="71"/>
      <c r="G698" s="72"/>
      <c r="J698" s="71"/>
      <c r="K698" s="71"/>
      <c r="L698" s="71"/>
      <c r="M698" s="71"/>
    </row>
    <row r="699" customFormat="false" ht="15" hidden="false" customHeight="false" outlineLevel="0" collapsed="false">
      <c r="B699" s="70"/>
      <c r="C699" s="71"/>
      <c r="D699" s="71"/>
      <c r="E699" s="71"/>
      <c r="F699" s="71"/>
      <c r="G699" s="72"/>
      <c r="J699" s="71"/>
      <c r="K699" s="71"/>
      <c r="L699" s="71"/>
      <c r="M699" s="71"/>
    </row>
    <row r="700" customFormat="false" ht="15" hidden="false" customHeight="false" outlineLevel="0" collapsed="false">
      <c r="B700" s="70"/>
      <c r="C700" s="71"/>
      <c r="D700" s="71"/>
      <c r="E700" s="71"/>
      <c r="F700" s="71"/>
      <c r="G700" s="72"/>
      <c r="J700" s="71"/>
      <c r="K700" s="71"/>
      <c r="L700" s="71"/>
      <c r="M700" s="71"/>
    </row>
    <row r="701" customFormat="false" ht="15" hidden="false" customHeight="false" outlineLevel="0" collapsed="false">
      <c r="B701" s="70"/>
      <c r="C701" s="71"/>
      <c r="D701" s="71"/>
      <c r="E701" s="71"/>
      <c r="F701" s="71"/>
      <c r="G701" s="72"/>
      <c r="J701" s="71"/>
      <c r="K701" s="71"/>
      <c r="L701" s="71"/>
      <c r="M701" s="71"/>
    </row>
    <row r="702" customFormat="false" ht="15" hidden="false" customHeight="false" outlineLevel="0" collapsed="false">
      <c r="B702" s="70"/>
      <c r="C702" s="71"/>
      <c r="D702" s="71"/>
      <c r="E702" s="71"/>
      <c r="F702" s="71"/>
      <c r="G702" s="72"/>
      <c r="J702" s="71"/>
      <c r="K702" s="71"/>
      <c r="L702" s="71"/>
      <c r="M702" s="71"/>
    </row>
    <row r="703" customFormat="false" ht="15" hidden="false" customHeight="false" outlineLevel="0" collapsed="false">
      <c r="B703" s="70"/>
      <c r="C703" s="71"/>
      <c r="D703" s="71"/>
      <c r="E703" s="71"/>
      <c r="F703" s="71"/>
      <c r="G703" s="72"/>
      <c r="J703" s="71"/>
      <c r="K703" s="71"/>
      <c r="L703" s="71"/>
      <c r="M703" s="71"/>
    </row>
    <row r="704" customFormat="false" ht="15" hidden="false" customHeight="false" outlineLevel="0" collapsed="false">
      <c r="B704" s="70"/>
      <c r="C704" s="71"/>
      <c r="D704" s="71"/>
      <c r="E704" s="71"/>
      <c r="F704" s="71"/>
      <c r="G704" s="72"/>
      <c r="J704" s="71"/>
      <c r="K704" s="71"/>
      <c r="L704" s="71"/>
      <c r="M704" s="71"/>
    </row>
    <row r="705" customFormat="false" ht="15" hidden="false" customHeight="false" outlineLevel="0" collapsed="false">
      <c r="B705" s="70"/>
      <c r="C705" s="71"/>
      <c r="D705" s="71"/>
      <c r="E705" s="71"/>
      <c r="F705" s="71"/>
      <c r="G705" s="72"/>
      <c r="J705" s="71"/>
      <c r="K705" s="71"/>
      <c r="L705" s="71"/>
      <c r="M705" s="71"/>
    </row>
    <row r="706" customFormat="false" ht="15" hidden="false" customHeight="false" outlineLevel="0" collapsed="false">
      <c r="B706" s="70"/>
      <c r="C706" s="71"/>
      <c r="D706" s="71"/>
      <c r="E706" s="71"/>
      <c r="F706" s="71"/>
      <c r="G706" s="72"/>
      <c r="J706" s="71"/>
      <c r="K706" s="71"/>
      <c r="L706" s="71"/>
      <c r="M706" s="71"/>
    </row>
    <row r="707" customFormat="false" ht="15" hidden="false" customHeight="false" outlineLevel="0" collapsed="false">
      <c r="B707" s="70"/>
      <c r="C707" s="71"/>
      <c r="D707" s="71"/>
      <c r="E707" s="71"/>
      <c r="F707" s="71"/>
      <c r="G707" s="72"/>
      <c r="J707" s="71"/>
      <c r="K707" s="71"/>
      <c r="L707" s="71"/>
      <c r="M707" s="71"/>
    </row>
    <row r="708" customFormat="false" ht="15" hidden="false" customHeight="false" outlineLevel="0" collapsed="false">
      <c r="B708" s="70"/>
      <c r="C708" s="71"/>
      <c r="D708" s="71"/>
      <c r="E708" s="71"/>
      <c r="F708" s="71"/>
      <c r="G708" s="72"/>
      <c r="J708" s="71"/>
      <c r="K708" s="71"/>
      <c r="L708" s="71"/>
      <c r="M708" s="71"/>
    </row>
    <row r="709" customFormat="false" ht="15" hidden="false" customHeight="false" outlineLevel="0" collapsed="false">
      <c r="B709" s="70"/>
      <c r="C709" s="71"/>
      <c r="D709" s="71"/>
      <c r="E709" s="71"/>
      <c r="F709" s="71"/>
      <c r="G709" s="72"/>
      <c r="J709" s="71"/>
      <c r="K709" s="71"/>
      <c r="L709" s="71"/>
      <c r="M709" s="71"/>
    </row>
    <row r="710" customFormat="false" ht="15" hidden="false" customHeight="false" outlineLevel="0" collapsed="false">
      <c r="B710" s="70"/>
      <c r="C710" s="71"/>
      <c r="D710" s="71"/>
      <c r="E710" s="71"/>
      <c r="F710" s="71"/>
      <c r="G710" s="72"/>
      <c r="J710" s="71"/>
      <c r="K710" s="71"/>
      <c r="L710" s="71"/>
      <c r="M710" s="71"/>
    </row>
    <row r="711" customFormat="false" ht="15" hidden="false" customHeight="false" outlineLevel="0" collapsed="false">
      <c r="B711" s="70"/>
      <c r="C711" s="71"/>
      <c r="D711" s="71"/>
      <c r="E711" s="71"/>
      <c r="F711" s="71"/>
      <c r="G711" s="72"/>
      <c r="J711" s="71"/>
      <c r="K711" s="71"/>
      <c r="L711" s="71"/>
      <c r="M711" s="71"/>
    </row>
    <row r="712" customFormat="false" ht="15" hidden="false" customHeight="false" outlineLevel="0" collapsed="false">
      <c r="B712" s="70"/>
      <c r="C712" s="71"/>
      <c r="D712" s="71"/>
      <c r="E712" s="71"/>
      <c r="F712" s="71"/>
      <c r="G712" s="72"/>
      <c r="J712" s="71"/>
      <c r="K712" s="71"/>
      <c r="L712" s="71"/>
      <c r="M712" s="71"/>
    </row>
    <row r="713" customFormat="false" ht="15" hidden="false" customHeight="false" outlineLevel="0" collapsed="false">
      <c r="B713" s="70"/>
      <c r="C713" s="71"/>
      <c r="D713" s="71"/>
      <c r="E713" s="71"/>
      <c r="F713" s="71"/>
      <c r="G713" s="72"/>
      <c r="J713" s="71"/>
      <c r="K713" s="71"/>
      <c r="L713" s="71"/>
      <c r="M713" s="71"/>
    </row>
    <row r="714" customFormat="false" ht="15" hidden="false" customHeight="false" outlineLevel="0" collapsed="false">
      <c r="B714" s="70"/>
      <c r="C714" s="71"/>
      <c r="D714" s="71"/>
      <c r="E714" s="71"/>
      <c r="F714" s="71"/>
      <c r="G714" s="72"/>
      <c r="J714" s="71"/>
      <c r="K714" s="71"/>
      <c r="L714" s="71"/>
      <c r="M714" s="71"/>
    </row>
    <row r="715" customFormat="false" ht="15" hidden="false" customHeight="false" outlineLevel="0" collapsed="false">
      <c r="B715" s="70"/>
      <c r="C715" s="71"/>
      <c r="D715" s="71"/>
      <c r="E715" s="71"/>
      <c r="F715" s="71"/>
      <c r="G715" s="72"/>
      <c r="J715" s="71"/>
      <c r="K715" s="71"/>
      <c r="L715" s="71"/>
      <c r="M715" s="71"/>
    </row>
    <row r="716" customFormat="false" ht="15" hidden="false" customHeight="false" outlineLevel="0" collapsed="false">
      <c r="B716" s="70"/>
      <c r="C716" s="71"/>
      <c r="D716" s="71"/>
      <c r="E716" s="71"/>
      <c r="F716" s="71"/>
      <c r="G716" s="72"/>
      <c r="J716" s="71"/>
      <c r="K716" s="71"/>
      <c r="L716" s="71"/>
      <c r="M716" s="71"/>
    </row>
    <row r="717" customFormat="false" ht="15" hidden="false" customHeight="false" outlineLevel="0" collapsed="false">
      <c r="B717" s="70"/>
      <c r="C717" s="71"/>
      <c r="D717" s="71"/>
      <c r="E717" s="71"/>
      <c r="F717" s="71"/>
      <c r="G717" s="72"/>
      <c r="J717" s="71"/>
      <c r="K717" s="71"/>
      <c r="L717" s="71"/>
      <c r="M717" s="71"/>
    </row>
    <row r="718" customFormat="false" ht="15" hidden="false" customHeight="false" outlineLevel="0" collapsed="false">
      <c r="B718" s="70"/>
      <c r="C718" s="71"/>
      <c r="D718" s="71"/>
      <c r="E718" s="71"/>
      <c r="F718" s="71"/>
      <c r="G718" s="72"/>
      <c r="J718" s="71"/>
      <c r="K718" s="71"/>
      <c r="L718" s="71"/>
      <c r="M718" s="71"/>
    </row>
    <row r="719" customFormat="false" ht="15" hidden="false" customHeight="false" outlineLevel="0" collapsed="false">
      <c r="B719" s="70"/>
      <c r="C719" s="71"/>
      <c r="D719" s="71"/>
      <c r="E719" s="71"/>
      <c r="F719" s="71"/>
      <c r="G719" s="72"/>
      <c r="J719" s="71"/>
      <c r="K719" s="71"/>
      <c r="L719" s="71"/>
      <c r="M719" s="71"/>
    </row>
    <row r="720" customFormat="false" ht="15" hidden="false" customHeight="false" outlineLevel="0" collapsed="false">
      <c r="B720" s="70"/>
      <c r="C720" s="71"/>
      <c r="D720" s="71"/>
      <c r="E720" s="71"/>
      <c r="F720" s="71"/>
      <c r="G720" s="72"/>
      <c r="J720" s="71"/>
      <c r="K720" s="71"/>
      <c r="L720" s="71"/>
      <c r="M720" s="71"/>
    </row>
    <row r="721" customFormat="false" ht="15" hidden="false" customHeight="false" outlineLevel="0" collapsed="false">
      <c r="B721" s="70"/>
      <c r="C721" s="71"/>
      <c r="D721" s="71"/>
      <c r="E721" s="71"/>
      <c r="F721" s="71"/>
      <c r="G721" s="72"/>
      <c r="J721" s="71"/>
      <c r="K721" s="71"/>
      <c r="L721" s="71"/>
      <c r="M721" s="71"/>
    </row>
    <row r="722" customFormat="false" ht="15" hidden="false" customHeight="false" outlineLevel="0" collapsed="false">
      <c r="B722" s="70"/>
      <c r="C722" s="71"/>
      <c r="D722" s="71"/>
      <c r="E722" s="71"/>
      <c r="F722" s="71"/>
      <c r="G722" s="72"/>
      <c r="J722" s="71"/>
      <c r="K722" s="71"/>
      <c r="L722" s="71"/>
      <c r="M722" s="71"/>
    </row>
    <row r="723" customFormat="false" ht="15" hidden="false" customHeight="false" outlineLevel="0" collapsed="false">
      <c r="B723" s="70"/>
      <c r="C723" s="71"/>
      <c r="D723" s="71"/>
      <c r="E723" s="71"/>
      <c r="F723" s="71"/>
      <c r="G723" s="72"/>
      <c r="J723" s="71"/>
      <c r="K723" s="71"/>
      <c r="L723" s="71"/>
      <c r="M723" s="71"/>
    </row>
    <row r="724" customFormat="false" ht="15" hidden="false" customHeight="false" outlineLevel="0" collapsed="false">
      <c r="B724" s="70"/>
      <c r="C724" s="71"/>
      <c r="D724" s="71"/>
      <c r="E724" s="71"/>
      <c r="F724" s="71"/>
      <c r="G724" s="72"/>
      <c r="J724" s="71"/>
      <c r="K724" s="71"/>
      <c r="L724" s="71"/>
      <c r="M724" s="71"/>
    </row>
    <row r="725" customFormat="false" ht="15" hidden="false" customHeight="false" outlineLevel="0" collapsed="false">
      <c r="B725" s="70"/>
      <c r="C725" s="71"/>
      <c r="D725" s="71"/>
      <c r="E725" s="71"/>
      <c r="F725" s="71"/>
      <c r="G725" s="72"/>
      <c r="J725" s="71"/>
      <c r="K725" s="71"/>
      <c r="L725" s="71"/>
      <c r="M725" s="71"/>
    </row>
    <row r="726" customFormat="false" ht="15" hidden="false" customHeight="false" outlineLevel="0" collapsed="false">
      <c r="B726" s="70"/>
      <c r="C726" s="71"/>
      <c r="D726" s="71"/>
      <c r="E726" s="71"/>
      <c r="F726" s="71"/>
      <c r="G726" s="72"/>
      <c r="J726" s="71"/>
      <c r="K726" s="71"/>
      <c r="L726" s="71"/>
      <c r="M726" s="71"/>
    </row>
    <row r="727" customFormat="false" ht="15" hidden="false" customHeight="false" outlineLevel="0" collapsed="false">
      <c r="B727" s="70"/>
      <c r="C727" s="71"/>
      <c r="D727" s="71"/>
      <c r="E727" s="71"/>
      <c r="F727" s="71"/>
      <c r="G727" s="72"/>
      <c r="J727" s="71"/>
      <c r="K727" s="71"/>
      <c r="L727" s="71"/>
      <c r="M727" s="71"/>
    </row>
    <row r="728" customFormat="false" ht="15" hidden="false" customHeight="false" outlineLevel="0" collapsed="false">
      <c r="B728" s="70"/>
      <c r="C728" s="71"/>
      <c r="D728" s="71"/>
      <c r="E728" s="71"/>
      <c r="F728" s="71"/>
      <c r="G728" s="72"/>
      <c r="J728" s="71"/>
      <c r="K728" s="71"/>
      <c r="L728" s="71"/>
      <c r="M728" s="71"/>
    </row>
    <row r="729" customFormat="false" ht="15" hidden="false" customHeight="false" outlineLevel="0" collapsed="false">
      <c r="B729" s="70"/>
      <c r="C729" s="71"/>
      <c r="D729" s="71"/>
      <c r="E729" s="71"/>
      <c r="F729" s="71"/>
      <c r="G729" s="72"/>
      <c r="J729" s="71"/>
      <c r="K729" s="71"/>
      <c r="L729" s="71"/>
      <c r="M729" s="71"/>
    </row>
    <row r="730" customFormat="false" ht="15" hidden="false" customHeight="false" outlineLevel="0" collapsed="false">
      <c r="B730" s="70"/>
      <c r="C730" s="71"/>
      <c r="D730" s="71"/>
      <c r="E730" s="71"/>
      <c r="F730" s="71"/>
      <c r="G730" s="72"/>
      <c r="J730" s="71"/>
      <c r="K730" s="71"/>
      <c r="L730" s="71"/>
      <c r="M730" s="71"/>
    </row>
    <row r="731" customFormat="false" ht="15" hidden="false" customHeight="false" outlineLevel="0" collapsed="false">
      <c r="B731" s="70"/>
      <c r="C731" s="71"/>
      <c r="D731" s="71"/>
      <c r="E731" s="71"/>
      <c r="F731" s="71"/>
      <c r="G731" s="72"/>
      <c r="J731" s="71"/>
      <c r="K731" s="71"/>
      <c r="L731" s="71"/>
      <c r="M731" s="71"/>
    </row>
    <row r="732" customFormat="false" ht="15" hidden="false" customHeight="false" outlineLevel="0" collapsed="false">
      <c r="B732" s="70"/>
      <c r="C732" s="71"/>
      <c r="D732" s="71"/>
      <c r="E732" s="71"/>
      <c r="F732" s="71"/>
      <c r="G732" s="72"/>
      <c r="J732" s="71"/>
      <c r="K732" s="71"/>
      <c r="L732" s="71"/>
      <c r="M732" s="71"/>
    </row>
    <row r="733" customFormat="false" ht="15" hidden="false" customHeight="false" outlineLevel="0" collapsed="false">
      <c r="B733" s="70"/>
      <c r="C733" s="71"/>
      <c r="D733" s="71"/>
      <c r="E733" s="71"/>
      <c r="F733" s="71"/>
      <c r="G733" s="72"/>
      <c r="J733" s="71"/>
      <c r="K733" s="71"/>
      <c r="L733" s="71"/>
      <c r="M733" s="71"/>
    </row>
    <row r="734" customFormat="false" ht="15" hidden="false" customHeight="false" outlineLevel="0" collapsed="false">
      <c r="B734" s="70"/>
      <c r="C734" s="71"/>
      <c r="D734" s="71"/>
      <c r="E734" s="71"/>
      <c r="F734" s="71"/>
      <c r="G734" s="72"/>
      <c r="J734" s="71"/>
      <c r="K734" s="71"/>
      <c r="L734" s="71"/>
      <c r="M734" s="71"/>
    </row>
    <row r="735" customFormat="false" ht="15" hidden="false" customHeight="false" outlineLevel="0" collapsed="false">
      <c r="B735" s="70"/>
      <c r="C735" s="71"/>
      <c r="D735" s="71"/>
      <c r="E735" s="71"/>
      <c r="F735" s="71"/>
      <c r="G735" s="72"/>
      <c r="J735" s="71"/>
      <c r="K735" s="71"/>
      <c r="L735" s="71"/>
      <c r="M735" s="71"/>
    </row>
    <row r="736" customFormat="false" ht="15" hidden="false" customHeight="false" outlineLevel="0" collapsed="false">
      <c r="B736" s="70"/>
      <c r="C736" s="71"/>
      <c r="D736" s="71"/>
      <c r="E736" s="71"/>
      <c r="F736" s="71"/>
      <c r="G736" s="72"/>
      <c r="J736" s="71"/>
      <c r="K736" s="71"/>
      <c r="L736" s="71"/>
      <c r="M736" s="71"/>
    </row>
    <row r="737" customFormat="false" ht="15" hidden="false" customHeight="false" outlineLevel="0" collapsed="false">
      <c r="B737" s="70"/>
      <c r="C737" s="71"/>
      <c r="D737" s="71"/>
      <c r="E737" s="71"/>
      <c r="F737" s="71"/>
      <c r="G737" s="72"/>
      <c r="J737" s="71"/>
      <c r="K737" s="71"/>
      <c r="L737" s="71"/>
      <c r="M737" s="71"/>
    </row>
    <row r="738" customFormat="false" ht="15" hidden="false" customHeight="false" outlineLevel="0" collapsed="false">
      <c r="B738" s="70"/>
      <c r="C738" s="71"/>
      <c r="D738" s="71"/>
      <c r="E738" s="71"/>
      <c r="F738" s="71"/>
      <c r="G738" s="72"/>
      <c r="J738" s="71"/>
      <c r="K738" s="71"/>
      <c r="L738" s="71"/>
      <c r="M738" s="71"/>
    </row>
    <row r="739" customFormat="false" ht="15" hidden="false" customHeight="false" outlineLevel="0" collapsed="false">
      <c r="B739" s="70"/>
      <c r="C739" s="71"/>
      <c r="D739" s="71"/>
      <c r="E739" s="71"/>
      <c r="F739" s="71"/>
      <c r="G739" s="72"/>
      <c r="J739" s="71"/>
      <c r="K739" s="71"/>
      <c r="L739" s="71"/>
      <c r="M739" s="71"/>
    </row>
    <row r="740" customFormat="false" ht="15" hidden="false" customHeight="false" outlineLevel="0" collapsed="false">
      <c r="B740" s="70"/>
      <c r="C740" s="71"/>
      <c r="D740" s="71"/>
      <c r="E740" s="71"/>
      <c r="F740" s="71"/>
      <c r="G740" s="72"/>
      <c r="J740" s="71"/>
      <c r="K740" s="71"/>
      <c r="L740" s="71"/>
      <c r="M740" s="71"/>
    </row>
    <row r="741" customFormat="false" ht="15" hidden="false" customHeight="false" outlineLevel="0" collapsed="false">
      <c r="B741" s="70"/>
      <c r="C741" s="71"/>
      <c r="D741" s="71"/>
      <c r="E741" s="71"/>
      <c r="F741" s="71"/>
      <c r="G741" s="72"/>
      <c r="J741" s="71"/>
      <c r="K741" s="71"/>
      <c r="L741" s="71"/>
      <c r="M741" s="71"/>
    </row>
    <row r="742" customFormat="false" ht="15" hidden="false" customHeight="false" outlineLevel="0" collapsed="false">
      <c r="B742" s="70"/>
      <c r="C742" s="71"/>
      <c r="D742" s="71"/>
      <c r="E742" s="71"/>
      <c r="F742" s="71"/>
      <c r="G742" s="72"/>
      <c r="J742" s="71"/>
      <c r="K742" s="71"/>
      <c r="L742" s="71"/>
      <c r="M742" s="71"/>
    </row>
    <row r="743" customFormat="false" ht="15" hidden="false" customHeight="false" outlineLevel="0" collapsed="false">
      <c r="B743" s="70"/>
      <c r="C743" s="71"/>
      <c r="D743" s="71"/>
      <c r="E743" s="71"/>
      <c r="F743" s="71"/>
      <c r="G743" s="72"/>
      <c r="J743" s="71"/>
      <c r="K743" s="71"/>
      <c r="L743" s="71"/>
      <c r="M743" s="71"/>
    </row>
    <row r="744" customFormat="false" ht="15" hidden="false" customHeight="false" outlineLevel="0" collapsed="false">
      <c r="B744" s="70"/>
      <c r="C744" s="71"/>
      <c r="D744" s="71"/>
      <c r="E744" s="71"/>
      <c r="F744" s="71"/>
      <c r="G744" s="72"/>
      <c r="J744" s="71"/>
      <c r="K744" s="71"/>
      <c r="L744" s="71"/>
      <c r="M744" s="71"/>
    </row>
    <row r="745" customFormat="false" ht="15" hidden="false" customHeight="false" outlineLevel="0" collapsed="false">
      <c r="B745" s="70"/>
      <c r="C745" s="71"/>
      <c r="D745" s="71"/>
      <c r="E745" s="71"/>
      <c r="F745" s="71"/>
      <c r="G745" s="72"/>
      <c r="J745" s="71"/>
      <c r="K745" s="71"/>
      <c r="L745" s="71"/>
      <c r="M745" s="71"/>
    </row>
    <row r="746" customFormat="false" ht="15" hidden="false" customHeight="false" outlineLevel="0" collapsed="false">
      <c r="B746" s="70"/>
      <c r="C746" s="71"/>
      <c r="D746" s="71"/>
      <c r="E746" s="71"/>
      <c r="F746" s="71"/>
      <c r="G746" s="72"/>
      <c r="J746" s="71"/>
      <c r="K746" s="71"/>
      <c r="L746" s="71"/>
      <c r="M746" s="71"/>
    </row>
    <row r="747" customFormat="false" ht="15" hidden="false" customHeight="false" outlineLevel="0" collapsed="false">
      <c r="B747" s="70"/>
      <c r="C747" s="71"/>
      <c r="D747" s="71"/>
      <c r="E747" s="71"/>
      <c r="F747" s="71"/>
      <c r="G747" s="72"/>
      <c r="J747" s="71"/>
      <c r="K747" s="71"/>
      <c r="L747" s="71"/>
      <c r="M747" s="71"/>
    </row>
    <row r="748" customFormat="false" ht="15" hidden="false" customHeight="false" outlineLevel="0" collapsed="false">
      <c r="B748" s="70"/>
      <c r="C748" s="71"/>
      <c r="D748" s="71"/>
      <c r="E748" s="71"/>
      <c r="F748" s="71"/>
      <c r="G748" s="72"/>
      <c r="J748" s="71"/>
      <c r="K748" s="71"/>
      <c r="L748" s="71"/>
      <c r="M748" s="71"/>
    </row>
    <row r="749" customFormat="false" ht="15" hidden="false" customHeight="false" outlineLevel="0" collapsed="false">
      <c r="B749" s="70"/>
      <c r="C749" s="71"/>
      <c r="D749" s="71"/>
      <c r="E749" s="71"/>
      <c r="F749" s="71"/>
      <c r="G749" s="72"/>
      <c r="J749" s="71"/>
      <c r="K749" s="71"/>
      <c r="L749" s="71"/>
      <c r="M749" s="71"/>
    </row>
    <row r="750" customFormat="false" ht="15" hidden="false" customHeight="false" outlineLevel="0" collapsed="false">
      <c r="B750" s="70"/>
      <c r="C750" s="71"/>
      <c r="D750" s="71"/>
      <c r="E750" s="71"/>
      <c r="F750" s="71"/>
      <c r="G750" s="72"/>
      <c r="J750" s="71"/>
      <c r="K750" s="71"/>
      <c r="L750" s="71"/>
      <c r="M750" s="71"/>
    </row>
    <row r="751" customFormat="false" ht="15" hidden="false" customHeight="false" outlineLevel="0" collapsed="false">
      <c r="B751" s="70"/>
      <c r="C751" s="71"/>
      <c r="D751" s="71"/>
      <c r="E751" s="71"/>
      <c r="F751" s="71"/>
      <c r="G751" s="72"/>
      <c r="J751" s="71"/>
      <c r="K751" s="71"/>
      <c r="L751" s="71"/>
      <c r="M751" s="71"/>
    </row>
    <row r="752" customFormat="false" ht="15" hidden="false" customHeight="false" outlineLevel="0" collapsed="false">
      <c r="B752" s="70"/>
      <c r="C752" s="71"/>
      <c r="D752" s="71"/>
      <c r="E752" s="71"/>
      <c r="F752" s="71"/>
      <c r="G752" s="72"/>
      <c r="J752" s="71"/>
      <c r="K752" s="71"/>
      <c r="L752" s="71"/>
      <c r="M752" s="71"/>
    </row>
    <row r="753" customFormat="false" ht="15" hidden="false" customHeight="false" outlineLevel="0" collapsed="false">
      <c r="B753" s="70"/>
      <c r="C753" s="71"/>
      <c r="D753" s="71"/>
      <c r="E753" s="71"/>
      <c r="F753" s="71"/>
      <c r="G753" s="72"/>
      <c r="J753" s="71"/>
      <c r="K753" s="71"/>
      <c r="L753" s="71"/>
      <c r="M753" s="71"/>
    </row>
    <row r="754" customFormat="false" ht="15" hidden="false" customHeight="false" outlineLevel="0" collapsed="false">
      <c r="B754" s="70"/>
      <c r="C754" s="71"/>
      <c r="D754" s="71"/>
      <c r="E754" s="71"/>
      <c r="F754" s="71"/>
      <c r="G754" s="72"/>
      <c r="J754" s="71"/>
      <c r="K754" s="71"/>
      <c r="L754" s="71"/>
      <c r="M754" s="71"/>
    </row>
    <row r="755" customFormat="false" ht="15" hidden="false" customHeight="false" outlineLevel="0" collapsed="false">
      <c r="B755" s="70"/>
      <c r="C755" s="71"/>
      <c r="D755" s="71"/>
      <c r="E755" s="71"/>
      <c r="F755" s="71"/>
      <c r="G755" s="72"/>
      <c r="J755" s="71"/>
      <c r="K755" s="71"/>
      <c r="L755" s="71"/>
      <c r="M755" s="71"/>
    </row>
    <row r="756" customFormat="false" ht="15" hidden="false" customHeight="false" outlineLevel="0" collapsed="false">
      <c r="B756" s="70"/>
      <c r="C756" s="71"/>
      <c r="D756" s="71"/>
      <c r="E756" s="71"/>
      <c r="F756" s="71"/>
      <c r="G756" s="72"/>
      <c r="J756" s="71"/>
      <c r="K756" s="71"/>
      <c r="L756" s="71"/>
      <c r="M756" s="71"/>
    </row>
    <row r="757" customFormat="false" ht="15" hidden="false" customHeight="false" outlineLevel="0" collapsed="false">
      <c r="B757" s="70"/>
      <c r="C757" s="71"/>
      <c r="D757" s="71"/>
      <c r="E757" s="71"/>
      <c r="F757" s="71"/>
      <c r="G757" s="72"/>
      <c r="J757" s="71"/>
      <c r="K757" s="71"/>
      <c r="L757" s="71"/>
      <c r="M757" s="71"/>
    </row>
    <row r="758" customFormat="false" ht="15" hidden="false" customHeight="false" outlineLevel="0" collapsed="false">
      <c r="B758" s="70"/>
      <c r="C758" s="71"/>
      <c r="D758" s="71"/>
      <c r="E758" s="71"/>
      <c r="F758" s="71"/>
      <c r="G758" s="72"/>
      <c r="J758" s="71"/>
      <c r="K758" s="71"/>
      <c r="L758" s="71"/>
      <c r="M758" s="71"/>
    </row>
    <row r="759" customFormat="false" ht="15" hidden="false" customHeight="false" outlineLevel="0" collapsed="false">
      <c r="B759" s="70"/>
      <c r="C759" s="71"/>
      <c r="D759" s="71"/>
      <c r="E759" s="71"/>
      <c r="F759" s="71"/>
      <c r="G759" s="72"/>
      <c r="J759" s="71"/>
      <c r="K759" s="71"/>
      <c r="L759" s="71"/>
      <c r="M759" s="71"/>
    </row>
    <row r="760" customFormat="false" ht="15" hidden="false" customHeight="false" outlineLevel="0" collapsed="false">
      <c r="B760" s="70"/>
      <c r="C760" s="71"/>
      <c r="D760" s="71"/>
      <c r="E760" s="71"/>
      <c r="F760" s="71"/>
      <c r="G760" s="72"/>
      <c r="J760" s="71"/>
      <c r="K760" s="71"/>
      <c r="L760" s="71"/>
      <c r="M760" s="71"/>
    </row>
    <row r="761" customFormat="false" ht="15" hidden="false" customHeight="false" outlineLevel="0" collapsed="false">
      <c r="B761" s="70"/>
      <c r="C761" s="71"/>
      <c r="D761" s="71"/>
      <c r="E761" s="71"/>
      <c r="F761" s="71"/>
      <c r="G761" s="72"/>
      <c r="J761" s="71"/>
      <c r="K761" s="71"/>
      <c r="L761" s="71"/>
      <c r="M761" s="71"/>
    </row>
    <row r="762" customFormat="false" ht="15" hidden="false" customHeight="false" outlineLevel="0" collapsed="false">
      <c r="B762" s="70"/>
      <c r="C762" s="71"/>
      <c r="D762" s="71"/>
      <c r="E762" s="71"/>
      <c r="F762" s="71"/>
      <c r="G762" s="72"/>
      <c r="J762" s="71"/>
      <c r="K762" s="71"/>
      <c r="L762" s="71"/>
      <c r="M762" s="71"/>
    </row>
    <row r="763" customFormat="false" ht="15" hidden="false" customHeight="false" outlineLevel="0" collapsed="false">
      <c r="B763" s="70"/>
      <c r="C763" s="71"/>
      <c r="D763" s="71"/>
      <c r="E763" s="71"/>
      <c r="F763" s="71"/>
      <c r="G763" s="72"/>
      <c r="J763" s="71"/>
      <c r="K763" s="71"/>
      <c r="L763" s="71"/>
      <c r="M763" s="71"/>
    </row>
    <row r="764" customFormat="false" ht="15" hidden="false" customHeight="false" outlineLevel="0" collapsed="false">
      <c r="B764" s="70"/>
      <c r="C764" s="71"/>
      <c r="D764" s="71"/>
      <c r="E764" s="71"/>
      <c r="F764" s="71"/>
      <c r="G764" s="72"/>
      <c r="J764" s="71"/>
      <c r="K764" s="71"/>
      <c r="L764" s="71"/>
      <c r="M764" s="71"/>
    </row>
    <row r="765" customFormat="false" ht="15" hidden="false" customHeight="false" outlineLevel="0" collapsed="false">
      <c r="B765" s="70"/>
      <c r="C765" s="71"/>
      <c r="D765" s="71"/>
      <c r="E765" s="71"/>
      <c r="F765" s="71"/>
      <c r="G765" s="72"/>
      <c r="J765" s="71"/>
      <c r="K765" s="71"/>
      <c r="L765" s="71"/>
      <c r="M765" s="71"/>
    </row>
    <row r="766" customFormat="false" ht="15" hidden="false" customHeight="false" outlineLevel="0" collapsed="false">
      <c r="B766" s="70"/>
      <c r="C766" s="71"/>
      <c r="D766" s="71"/>
      <c r="E766" s="71"/>
      <c r="F766" s="71"/>
      <c r="G766" s="72"/>
      <c r="J766" s="71"/>
      <c r="K766" s="71"/>
      <c r="L766" s="71"/>
      <c r="M766" s="71"/>
    </row>
    <row r="767" customFormat="false" ht="15" hidden="false" customHeight="false" outlineLevel="0" collapsed="false">
      <c r="B767" s="70"/>
      <c r="C767" s="71"/>
      <c r="D767" s="71"/>
      <c r="E767" s="71"/>
      <c r="F767" s="71"/>
      <c r="G767" s="72"/>
      <c r="J767" s="71"/>
      <c r="K767" s="71"/>
      <c r="L767" s="71"/>
      <c r="M767" s="71"/>
    </row>
    <row r="768" customFormat="false" ht="15" hidden="false" customHeight="false" outlineLevel="0" collapsed="false">
      <c r="B768" s="70"/>
      <c r="C768" s="71"/>
      <c r="D768" s="71"/>
      <c r="E768" s="71"/>
      <c r="F768" s="71"/>
      <c r="G768" s="72"/>
      <c r="J768" s="71"/>
      <c r="K768" s="71"/>
      <c r="L768" s="71"/>
      <c r="M768" s="71"/>
    </row>
    <row r="769" customFormat="false" ht="15" hidden="false" customHeight="false" outlineLevel="0" collapsed="false">
      <c r="B769" s="70"/>
      <c r="C769" s="71"/>
      <c r="D769" s="71"/>
      <c r="E769" s="71"/>
      <c r="F769" s="71"/>
      <c r="G769" s="72"/>
      <c r="J769" s="71"/>
      <c r="K769" s="71"/>
      <c r="L769" s="71"/>
      <c r="M769" s="71"/>
    </row>
    <row r="770" customFormat="false" ht="15" hidden="false" customHeight="false" outlineLevel="0" collapsed="false">
      <c r="B770" s="70"/>
      <c r="C770" s="71"/>
      <c r="D770" s="71"/>
      <c r="E770" s="71"/>
      <c r="F770" s="71"/>
      <c r="G770" s="72"/>
      <c r="J770" s="71"/>
      <c r="K770" s="71"/>
      <c r="L770" s="71"/>
      <c r="M770" s="71"/>
    </row>
    <row r="771" customFormat="false" ht="15" hidden="false" customHeight="false" outlineLevel="0" collapsed="false">
      <c r="B771" s="70"/>
      <c r="C771" s="71"/>
      <c r="D771" s="71"/>
      <c r="E771" s="71"/>
      <c r="F771" s="71"/>
      <c r="G771" s="72"/>
      <c r="J771" s="71"/>
      <c r="K771" s="71"/>
      <c r="L771" s="71"/>
      <c r="M771" s="71"/>
    </row>
    <row r="772" customFormat="false" ht="15" hidden="false" customHeight="false" outlineLevel="0" collapsed="false">
      <c r="B772" s="70"/>
      <c r="C772" s="71"/>
      <c r="D772" s="71"/>
      <c r="E772" s="71"/>
      <c r="F772" s="71"/>
      <c r="G772" s="72"/>
      <c r="J772" s="71"/>
      <c r="K772" s="71"/>
      <c r="L772" s="71"/>
      <c r="M772" s="71"/>
    </row>
    <row r="773" customFormat="false" ht="15" hidden="false" customHeight="false" outlineLevel="0" collapsed="false">
      <c r="B773" s="70"/>
      <c r="C773" s="71"/>
      <c r="D773" s="71"/>
      <c r="E773" s="71"/>
      <c r="F773" s="71"/>
      <c r="G773" s="72"/>
      <c r="J773" s="71"/>
      <c r="K773" s="71"/>
      <c r="L773" s="71"/>
      <c r="M773" s="71"/>
    </row>
    <row r="774" customFormat="false" ht="15" hidden="false" customHeight="false" outlineLevel="0" collapsed="false">
      <c r="B774" s="70"/>
      <c r="C774" s="71"/>
      <c r="D774" s="71"/>
      <c r="E774" s="71"/>
      <c r="F774" s="71"/>
      <c r="G774" s="72"/>
      <c r="J774" s="71"/>
      <c r="K774" s="71"/>
      <c r="L774" s="71"/>
      <c r="M774" s="71"/>
    </row>
    <row r="775" customFormat="false" ht="15" hidden="false" customHeight="false" outlineLevel="0" collapsed="false">
      <c r="B775" s="70"/>
      <c r="C775" s="71"/>
      <c r="D775" s="71"/>
      <c r="E775" s="71"/>
      <c r="F775" s="71"/>
      <c r="G775" s="72"/>
      <c r="J775" s="71"/>
      <c r="K775" s="71"/>
      <c r="L775" s="71"/>
      <c r="M775" s="71"/>
    </row>
    <row r="776" customFormat="false" ht="15" hidden="false" customHeight="false" outlineLevel="0" collapsed="false">
      <c r="B776" s="70"/>
      <c r="C776" s="71"/>
      <c r="D776" s="71"/>
      <c r="E776" s="71"/>
      <c r="F776" s="71"/>
      <c r="G776" s="72"/>
      <c r="J776" s="71"/>
      <c r="K776" s="71"/>
      <c r="L776" s="71"/>
      <c r="M776" s="71"/>
    </row>
    <row r="777" customFormat="false" ht="15" hidden="false" customHeight="false" outlineLevel="0" collapsed="false">
      <c r="B777" s="70"/>
      <c r="C777" s="71"/>
      <c r="D777" s="71"/>
      <c r="E777" s="71"/>
      <c r="F777" s="71"/>
      <c r="G777" s="72"/>
      <c r="J777" s="71"/>
      <c r="K777" s="71"/>
      <c r="L777" s="71"/>
      <c r="M777" s="71"/>
    </row>
    <row r="778" customFormat="false" ht="15" hidden="false" customHeight="false" outlineLevel="0" collapsed="false">
      <c r="B778" s="70"/>
      <c r="C778" s="71"/>
      <c r="D778" s="71"/>
      <c r="E778" s="71"/>
      <c r="F778" s="71"/>
      <c r="G778" s="72"/>
      <c r="J778" s="71"/>
      <c r="K778" s="71"/>
      <c r="L778" s="71"/>
      <c r="M778" s="71"/>
    </row>
    <row r="779" customFormat="false" ht="15" hidden="false" customHeight="false" outlineLevel="0" collapsed="false">
      <c r="B779" s="70"/>
      <c r="C779" s="71"/>
      <c r="D779" s="71"/>
      <c r="E779" s="71"/>
      <c r="F779" s="71"/>
      <c r="G779" s="72"/>
      <c r="J779" s="71"/>
      <c r="K779" s="71"/>
      <c r="L779" s="71"/>
      <c r="M779" s="71"/>
    </row>
    <row r="780" customFormat="false" ht="15" hidden="false" customHeight="false" outlineLevel="0" collapsed="false">
      <c r="B780" s="70"/>
      <c r="C780" s="71"/>
      <c r="D780" s="71"/>
      <c r="E780" s="71"/>
      <c r="F780" s="71"/>
      <c r="G780" s="72"/>
      <c r="J780" s="71"/>
      <c r="K780" s="71"/>
      <c r="L780" s="71"/>
      <c r="M780" s="71"/>
    </row>
    <row r="781" customFormat="false" ht="15" hidden="false" customHeight="false" outlineLevel="0" collapsed="false">
      <c r="B781" s="70"/>
      <c r="C781" s="71"/>
      <c r="D781" s="71"/>
      <c r="E781" s="71"/>
      <c r="F781" s="71"/>
      <c r="G781" s="72"/>
      <c r="J781" s="71"/>
      <c r="K781" s="71"/>
      <c r="L781" s="71"/>
      <c r="M781" s="71"/>
    </row>
    <row r="782" customFormat="false" ht="15" hidden="false" customHeight="false" outlineLevel="0" collapsed="false">
      <c r="B782" s="70"/>
      <c r="C782" s="71"/>
      <c r="D782" s="71"/>
      <c r="E782" s="71"/>
      <c r="F782" s="71"/>
      <c r="G782" s="72"/>
      <c r="J782" s="71"/>
      <c r="K782" s="71"/>
      <c r="L782" s="71"/>
      <c r="M782" s="71"/>
    </row>
    <row r="783" customFormat="false" ht="15" hidden="false" customHeight="false" outlineLevel="0" collapsed="false">
      <c r="B783" s="70"/>
      <c r="C783" s="71"/>
      <c r="D783" s="71"/>
      <c r="E783" s="71"/>
      <c r="F783" s="71"/>
      <c r="G783" s="72"/>
      <c r="J783" s="71"/>
      <c r="K783" s="71"/>
      <c r="L783" s="71"/>
      <c r="M783" s="71"/>
    </row>
    <row r="784" customFormat="false" ht="15" hidden="false" customHeight="false" outlineLevel="0" collapsed="false">
      <c r="B784" s="70"/>
      <c r="C784" s="71"/>
      <c r="D784" s="71"/>
      <c r="E784" s="71"/>
      <c r="F784" s="71"/>
      <c r="G784" s="72"/>
      <c r="J784" s="71"/>
      <c r="K784" s="71"/>
      <c r="L784" s="71"/>
      <c r="M784" s="71"/>
    </row>
    <row r="785" customFormat="false" ht="15" hidden="false" customHeight="false" outlineLevel="0" collapsed="false">
      <c r="B785" s="70"/>
      <c r="C785" s="71"/>
      <c r="D785" s="71"/>
      <c r="E785" s="71"/>
      <c r="F785" s="71"/>
      <c r="G785" s="72"/>
      <c r="J785" s="71"/>
      <c r="K785" s="71"/>
      <c r="L785" s="71"/>
      <c r="M785" s="71"/>
    </row>
    <row r="786" customFormat="false" ht="15" hidden="false" customHeight="false" outlineLevel="0" collapsed="false">
      <c r="B786" s="70"/>
      <c r="C786" s="71"/>
      <c r="D786" s="71"/>
      <c r="E786" s="71"/>
      <c r="F786" s="71"/>
      <c r="G786" s="72"/>
      <c r="J786" s="71"/>
      <c r="K786" s="71"/>
      <c r="L786" s="71"/>
      <c r="M786" s="71"/>
    </row>
    <row r="787" customFormat="false" ht="15" hidden="false" customHeight="false" outlineLevel="0" collapsed="false">
      <c r="B787" s="70"/>
      <c r="C787" s="71"/>
      <c r="D787" s="71"/>
      <c r="E787" s="71"/>
      <c r="F787" s="71"/>
      <c r="G787" s="72"/>
      <c r="J787" s="71"/>
      <c r="K787" s="71"/>
      <c r="L787" s="71"/>
      <c r="M787" s="71"/>
    </row>
    <row r="788" customFormat="false" ht="15" hidden="false" customHeight="false" outlineLevel="0" collapsed="false">
      <c r="B788" s="70"/>
      <c r="C788" s="71"/>
      <c r="D788" s="71"/>
      <c r="E788" s="71"/>
      <c r="F788" s="71"/>
      <c r="G788" s="72"/>
      <c r="J788" s="71"/>
      <c r="K788" s="71"/>
      <c r="L788" s="71"/>
      <c r="M788" s="71"/>
    </row>
    <row r="789" customFormat="false" ht="15" hidden="false" customHeight="false" outlineLevel="0" collapsed="false">
      <c r="B789" s="70"/>
      <c r="C789" s="71"/>
      <c r="D789" s="71"/>
      <c r="E789" s="71"/>
      <c r="F789" s="71"/>
      <c r="G789" s="72"/>
      <c r="J789" s="71"/>
      <c r="K789" s="71"/>
      <c r="L789" s="71"/>
      <c r="M789" s="71"/>
    </row>
    <row r="790" customFormat="false" ht="15" hidden="false" customHeight="false" outlineLevel="0" collapsed="false">
      <c r="B790" s="70"/>
      <c r="C790" s="71"/>
      <c r="D790" s="71"/>
      <c r="E790" s="71"/>
      <c r="F790" s="71"/>
      <c r="G790" s="72"/>
      <c r="J790" s="71"/>
      <c r="K790" s="71"/>
      <c r="L790" s="71"/>
      <c r="M790" s="71"/>
    </row>
    <row r="791" customFormat="false" ht="15" hidden="false" customHeight="false" outlineLevel="0" collapsed="false">
      <c r="B791" s="70"/>
      <c r="C791" s="71"/>
      <c r="D791" s="71"/>
      <c r="E791" s="71"/>
      <c r="F791" s="71"/>
      <c r="G791" s="72"/>
      <c r="J791" s="71"/>
      <c r="K791" s="71"/>
      <c r="L791" s="71"/>
      <c r="M791" s="71"/>
    </row>
    <row r="792" customFormat="false" ht="15" hidden="false" customHeight="false" outlineLevel="0" collapsed="false">
      <c r="B792" s="70"/>
      <c r="C792" s="71"/>
      <c r="D792" s="71"/>
      <c r="E792" s="71"/>
      <c r="F792" s="71"/>
      <c r="G792" s="72"/>
      <c r="J792" s="71"/>
      <c r="K792" s="71"/>
      <c r="L792" s="71"/>
      <c r="M792" s="71"/>
    </row>
    <row r="793" customFormat="false" ht="15" hidden="false" customHeight="false" outlineLevel="0" collapsed="false">
      <c r="B793" s="70"/>
      <c r="C793" s="71"/>
      <c r="D793" s="71"/>
      <c r="E793" s="71"/>
      <c r="F793" s="71"/>
      <c r="G793" s="72"/>
      <c r="J793" s="71"/>
      <c r="K793" s="71"/>
      <c r="L793" s="71"/>
      <c r="M793" s="71"/>
    </row>
    <row r="794" customFormat="false" ht="15" hidden="false" customHeight="false" outlineLevel="0" collapsed="false">
      <c r="B794" s="70"/>
      <c r="C794" s="71"/>
      <c r="D794" s="71"/>
      <c r="E794" s="71"/>
      <c r="F794" s="71"/>
      <c r="G794" s="72"/>
      <c r="J794" s="71"/>
      <c r="K794" s="71"/>
      <c r="L794" s="71"/>
      <c r="M794" s="71"/>
    </row>
    <row r="795" customFormat="false" ht="15" hidden="false" customHeight="false" outlineLevel="0" collapsed="false">
      <c r="B795" s="70"/>
      <c r="C795" s="71"/>
      <c r="D795" s="71"/>
      <c r="E795" s="71"/>
      <c r="F795" s="71"/>
      <c r="G795" s="72"/>
      <c r="J795" s="71"/>
      <c r="K795" s="71"/>
      <c r="L795" s="71"/>
      <c r="M795" s="71"/>
    </row>
    <row r="796" customFormat="false" ht="15" hidden="false" customHeight="false" outlineLevel="0" collapsed="false">
      <c r="B796" s="70"/>
      <c r="C796" s="71"/>
      <c r="D796" s="71"/>
      <c r="E796" s="71"/>
      <c r="F796" s="71"/>
      <c r="G796" s="72"/>
      <c r="J796" s="71"/>
      <c r="K796" s="71"/>
      <c r="L796" s="71"/>
      <c r="M796" s="71"/>
    </row>
    <row r="797" customFormat="false" ht="15" hidden="false" customHeight="false" outlineLevel="0" collapsed="false">
      <c r="B797" s="70"/>
      <c r="C797" s="71"/>
      <c r="D797" s="71"/>
      <c r="E797" s="71"/>
      <c r="F797" s="71"/>
      <c r="G797" s="72"/>
      <c r="J797" s="71"/>
      <c r="K797" s="71"/>
      <c r="L797" s="71"/>
      <c r="M797" s="71"/>
    </row>
    <row r="798" customFormat="false" ht="15" hidden="false" customHeight="false" outlineLevel="0" collapsed="false">
      <c r="B798" s="70"/>
      <c r="C798" s="71"/>
      <c r="D798" s="71"/>
      <c r="E798" s="71"/>
      <c r="F798" s="71"/>
      <c r="G798" s="72"/>
      <c r="J798" s="71"/>
      <c r="K798" s="71"/>
      <c r="L798" s="71"/>
      <c r="M798" s="71"/>
    </row>
    <row r="799" customFormat="false" ht="15" hidden="false" customHeight="false" outlineLevel="0" collapsed="false">
      <c r="B799" s="70"/>
      <c r="C799" s="71"/>
      <c r="D799" s="71"/>
      <c r="E799" s="71"/>
      <c r="F799" s="71"/>
      <c r="G799" s="72"/>
      <c r="J799" s="71"/>
      <c r="K799" s="71"/>
      <c r="L799" s="71"/>
      <c r="M799" s="71"/>
    </row>
    <row r="800" customFormat="false" ht="15" hidden="false" customHeight="false" outlineLevel="0" collapsed="false">
      <c r="B800" s="70"/>
      <c r="C800" s="71"/>
      <c r="D800" s="71"/>
      <c r="E800" s="71"/>
      <c r="F800" s="71"/>
      <c r="G800" s="72"/>
      <c r="J800" s="71"/>
      <c r="K800" s="71"/>
      <c r="L800" s="71"/>
      <c r="M800" s="71"/>
    </row>
    <row r="801" customFormat="false" ht="15" hidden="false" customHeight="false" outlineLevel="0" collapsed="false">
      <c r="B801" s="70"/>
      <c r="C801" s="71"/>
      <c r="D801" s="71"/>
      <c r="E801" s="71"/>
      <c r="F801" s="71"/>
      <c r="G801" s="72"/>
      <c r="J801" s="71"/>
      <c r="K801" s="71"/>
      <c r="L801" s="71"/>
      <c r="M801" s="71"/>
    </row>
    <row r="802" customFormat="false" ht="15" hidden="false" customHeight="false" outlineLevel="0" collapsed="false">
      <c r="B802" s="70"/>
      <c r="C802" s="71"/>
      <c r="D802" s="71"/>
      <c r="E802" s="71"/>
      <c r="F802" s="71"/>
      <c r="G802" s="72"/>
      <c r="J802" s="71"/>
      <c r="K802" s="71"/>
      <c r="L802" s="71"/>
      <c r="M802" s="71"/>
    </row>
    <row r="803" customFormat="false" ht="15" hidden="false" customHeight="false" outlineLevel="0" collapsed="false">
      <c r="B803" s="70"/>
      <c r="C803" s="71"/>
      <c r="D803" s="71"/>
      <c r="E803" s="71"/>
      <c r="F803" s="71"/>
      <c r="G803" s="72"/>
      <c r="J803" s="71"/>
      <c r="K803" s="71"/>
      <c r="L803" s="71"/>
      <c r="M803" s="71"/>
    </row>
    <row r="804" customFormat="false" ht="15" hidden="false" customHeight="false" outlineLevel="0" collapsed="false">
      <c r="B804" s="70"/>
      <c r="C804" s="71"/>
      <c r="D804" s="71"/>
      <c r="E804" s="71"/>
      <c r="F804" s="71"/>
      <c r="G804" s="72"/>
      <c r="J804" s="71"/>
      <c r="K804" s="71"/>
      <c r="L804" s="71"/>
      <c r="M804" s="71"/>
    </row>
    <row r="805" customFormat="false" ht="15" hidden="false" customHeight="false" outlineLevel="0" collapsed="false">
      <c r="B805" s="70"/>
      <c r="C805" s="71"/>
      <c r="D805" s="71"/>
      <c r="E805" s="71"/>
      <c r="F805" s="71"/>
      <c r="G805" s="72"/>
      <c r="J805" s="71"/>
      <c r="K805" s="71"/>
      <c r="L805" s="71"/>
      <c r="M805" s="71"/>
    </row>
    <row r="806" customFormat="false" ht="15" hidden="false" customHeight="false" outlineLevel="0" collapsed="false">
      <c r="B806" s="70"/>
      <c r="C806" s="71"/>
      <c r="D806" s="71"/>
      <c r="E806" s="71"/>
      <c r="F806" s="71"/>
      <c r="G806" s="72"/>
      <c r="J806" s="71"/>
      <c r="K806" s="71"/>
      <c r="L806" s="71"/>
      <c r="M806" s="71"/>
    </row>
    <row r="807" customFormat="false" ht="15" hidden="false" customHeight="false" outlineLevel="0" collapsed="false">
      <c r="B807" s="70"/>
      <c r="C807" s="71"/>
      <c r="D807" s="71"/>
      <c r="E807" s="71"/>
      <c r="F807" s="71"/>
      <c r="G807" s="72"/>
      <c r="J807" s="71"/>
      <c r="K807" s="71"/>
      <c r="L807" s="71"/>
      <c r="M807" s="71"/>
    </row>
    <row r="808" customFormat="false" ht="15" hidden="false" customHeight="false" outlineLevel="0" collapsed="false">
      <c r="B808" s="70"/>
      <c r="C808" s="71"/>
      <c r="D808" s="71"/>
      <c r="E808" s="71"/>
      <c r="F808" s="71"/>
      <c r="G808" s="72"/>
      <c r="J808" s="71"/>
      <c r="K808" s="71"/>
      <c r="L808" s="71"/>
      <c r="M808" s="71"/>
    </row>
    <row r="809" customFormat="false" ht="15" hidden="false" customHeight="false" outlineLevel="0" collapsed="false">
      <c r="B809" s="70"/>
      <c r="C809" s="71"/>
      <c r="D809" s="71"/>
      <c r="E809" s="71"/>
      <c r="F809" s="71"/>
      <c r="G809" s="72"/>
      <c r="J809" s="71"/>
      <c r="K809" s="71"/>
      <c r="L809" s="71"/>
      <c r="M809" s="71"/>
    </row>
    <row r="810" customFormat="false" ht="15" hidden="false" customHeight="false" outlineLevel="0" collapsed="false">
      <c r="B810" s="70"/>
      <c r="C810" s="71"/>
      <c r="D810" s="71"/>
      <c r="E810" s="71"/>
      <c r="F810" s="71"/>
      <c r="G810" s="72"/>
      <c r="J810" s="71"/>
      <c r="K810" s="71"/>
      <c r="L810" s="71"/>
      <c r="M810" s="71"/>
    </row>
    <row r="811" customFormat="false" ht="15" hidden="false" customHeight="false" outlineLevel="0" collapsed="false">
      <c r="B811" s="70"/>
      <c r="C811" s="71"/>
      <c r="D811" s="71"/>
      <c r="E811" s="71"/>
      <c r="F811" s="71"/>
      <c r="G811" s="72"/>
      <c r="J811" s="71"/>
      <c r="K811" s="71"/>
      <c r="L811" s="71"/>
      <c r="M811" s="71"/>
    </row>
    <row r="812" customFormat="false" ht="15" hidden="false" customHeight="false" outlineLevel="0" collapsed="false">
      <c r="B812" s="70"/>
      <c r="C812" s="71"/>
      <c r="D812" s="71"/>
      <c r="E812" s="71"/>
      <c r="F812" s="71"/>
      <c r="G812" s="72"/>
      <c r="J812" s="71"/>
      <c r="K812" s="71"/>
      <c r="L812" s="71"/>
      <c r="M812" s="71"/>
    </row>
    <row r="813" customFormat="false" ht="15" hidden="false" customHeight="false" outlineLevel="0" collapsed="false">
      <c r="B813" s="70"/>
      <c r="C813" s="71"/>
      <c r="D813" s="71"/>
      <c r="E813" s="71"/>
      <c r="F813" s="71"/>
      <c r="G813" s="72"/>
      <c r="J813" s="71"/>
      <c r="K813" s="71"/>
      <c r="L813" s="71"/>
      <c r="M813" s="71"/>
    </row>
    <row r="814" customFormat="false" ht="15" hidden="false" customHeight="false" outlineLevel="0" collapsed="false">
      <c r="B814" s="70"/>
      <c r="C814" s="71"/>
      <c r="D814" s="71"/>
      <c r="E814" s="71"/>
      <c r="F814" s="71"/>
      <c r="G814" s="72"/>
      <c r="J814" s="71"/>
      <c r="K814" s="71"/>
      <c r="L814" s="71"/>
      <c r="M814" s="71"/>
    </row>
    <row r="815" customFormat="false" ht="15" hidden="false" customHeight="false" outlineLevel="0" collapsed="false">
      <c r="B815" s="70"/>
      <c r="C815" s="71"/>
      <c r="D815" s="71"/>
      <c r="E815" s="71"/>
      <c r="F815" s="71"/>
      <c r="G815" s="72"/>
      <c r="J815" s="71"/>
      <c r="K815" s="71"/>
      <c r="L815" s="71"/>
      <c r="M815" s="71"/>
    </row>
    <row r="816" customFormat="false" ht="15" hidden="false" customHeight="false" outlineLevel="0" collapsed="false">
      <c r="B816" s="70"/>
      <c r="C816" s="71"/>
      <c r="D816" s="71"/>
      <c r="E816" s="71"/>
      <c r="F816" s="71"/>
      <c r="G816" s="72"/>
      <c r="J816" s="71"/>
      <c r="K816" s="71"/>
      <c r="L816" s="71"/>
      <c r="M816" s="71"/>
    </row>
    <row r="817" customFormat="false" ht="15" hidden="false" customHeight="false" outlineLevel="0" collapsed="false">
      <c r="B817" s="70"/>
      <c r="C817" s="71"/>
      <c r="D817" s="71"/>
      <c r="E817" s="71"/>
      <c r="F817" s="71"/>
      <c r="G817" s="72"/>
      <c r="J817" s="71"/>
      <c r="K817" s="71"/>
      <c r="L817" s="71"/>
      <c r="M817" s="71"/>
    </row>
    <row r="818" customFormat="false" ht="15" hidden="false" customHeight="false" outlineLevel="0" collapsed="false">
      <c r="B818" s="70"/>
      <c r="C818" s="71"/>
      <c r="D818" s="71"/>
      <c r="E818" s="71"/>
      <c r="F818" s="71"/>
      <c r="G818" s="72"/>
      <c r="J818" s="71"/>
      <c r="K818" s="71"/>
      <c r="L818" s="71"/>
      <c r="M818" s="71"/>
    </row>
    <row r="819" customFormat="false" ht="15" hidden="false" customHeight="false" outlineLevel="0" collapsed="false">
      <c r="B819" s="70"/>
      <c r="C819" s="71"/>
      <c r="D819" s="71"/>
      <c r="E819" s="71"/>
      <c r="F819" s="71"/>
      <c r="G819" s="72"/>
      <c r="J819" s="71"/>
      <c r="K819" s="71"/>
      <c r="L819" s="71"/>
      <c r="M819" s="71"/>
    </row>
    <row r="820" customFormat="false" ht="15" hidden="false" customHeight="false" outlineLevel="0" collapsed="false">
      <c r="B820" s="70"/>
      <c r="C820" s="71"/>
      <c r="D820" s="71"/>
      <c r="E820" s="71"/>
      <c r="F820" s="71"/>
      <c r="G820" s="72"/>
      <c r="J820" s="71"/>
      <c r="K820" s="71"/>
      <c r="L820" s="71"/>
      <c r="M820" s="71"/>
    </row>
    <row r="821" customFormat="false" ht="15" hidden="false" customHeight="false" outlineLevel="0" collapsed="false">
      <c r="B821" s="70"/>
      <c r="C821" s="71"/>
      <c r="D821" s="71"/>
      <c r="E821" s="71"/>
      <c r="F821" s="71"/>
      <c r="G821" s="72"/>
      <c r="J821" s="71"/>
      <c r="K821" s="71"/>
      <c r="L821" s="71"/>
      <c r="M821" s="71"/>
    </row>
    <row r="822" customFormat="false" ht="15" hidden="false" customHeight="false" outlineLevel="0" collapsed="false">
      <c r="B822" s="70"/>
      <c r="C822" s="71"/>
      <c r="D822" s="71"/>
      <c r="E822" s="71"/>
      <c r="F822" s="71"/>
      <c r="G822" s="72"/>
      <c r="J822" s="71"/>
      <c r="K822" s="71"/>
      <c r="L822" s="71"/>
      <c r="M822" s="71"/>
    </row>
    <row r="823" customFormat="false" ht="15" hidden="false" customHeight="false" outlineLevel="0" collapsed="false">
      <c r="B823" s="70"/>
      <c r="C823" s="71"/>
      <c r="D823" s="71"/>
      <c r="E823" s="71"/>
      <c r="F823" s="71"/>
      <c r="G823" s="72"/>
      <c r="J823" s="71"/>
      <c r="K823" s="71"/>
      <c r="L823" s="71"/>
      <c r="M823" s="71"/>
    </row>
    <row r="824" customFormat="false" ht="15" hidden="false" customHeight="false" outlineLevel="0" collapsed="false">
      <c r="B824" s="70"/>
      <c r="C824" s="71"/>
      <c r="D824" s="71"/>
      <c r="E824" s="71"/>
      <c r="F824" s="71"/>
      <c r="G824" s="72"/>
      <c r="J824" s="71"/>
      <c r="K824" s="71"/>
      <c r="L824" s="71"/>
      <c r="M824" s="71"/>
    </row>
    <row r="825" customFormat="false" ht="15" hidden="false" customHeight="false" outlineLevel="0" collapsed="false">
      <c r="B825" s="70"/>
      <c r="C825" s="71"/>
      <c r="D825" s="71"/>
      <c r="E825" s="71"/>
      <c r="F825" s="71"/>
      <c r="G825" s="72"/>
      <c r="J825" s="71"/>
      <c r="K825" s="71"/>
      <c r="L825" s="71"/>
      <c r="M825" s="71"/>
    </row>
    <row r="826" customFormat="false" ht="15" hidden="false" customHeight="false" outlineLevel="0" collapsed="false">
      <c r="B826" s="70"/>
      <c r="C826" s="71"/>
      <c r="D826" s="71"/>
      <c r="E826" s="71"/>
      <c r="F826" s="71"/>
      <c r="G826" s="72"/>
      <c r="J826" s="71"/>
      <c r="K826" s="71"/>
      <c r="L826" s="71"/>
      <c r="M826" s="71"/>
    </row>
    <row r="827" customFormat="false" ht="15" hidden="false" customHeight="false" outlineLevel="0" collapsed="false">
      <c r="B827" s="70"/>
      <c r="C827" s="71"/>
      <c r="D827" s="71"/>
      <c r="E827" s="71"/>
      <c r="F827" s="71"/>
      <c r="G827" s="72"/>
      <c r="J827" s="71"/>
      <c r="K827" s="71"/>
      <c r="L827" s="71"/>
      <c r="M827" s="71"/>
    </row>
    <row r="828" customFormat="false" ht="15" hidden="false" customHeight="false" outlineLevel="0" collapsed="false">
      <c r="B828" s="70"/>
      <c r="C828" s="71"/>
      <c r="D828" s="71"/>
      <c r="E828" s="71"/>
      <c r="F828" s="71"/>
      <c r="G828" s="72"/>
      <c r="J828" s="71"/>
      <c r="K828" s="71"/>
      <c r="L828" s="71"/>
      <c r="M828" s="71"/>
    </row>
    <row r="829" customFormat="false" ht="15" hidden="false" customHeight="false" outlineLevel="0" collapsed="false">
      <c r="B829" s="70"/>
      <c r="C829" s="71"/>
      <c r="D829" s="71"/>
      <c r="E829" s="71"/>
      <c r="F829" s="71"/>
      <c r="G829" s="72"/>
      <c r="J829" s="71"/>
      <c r="K829" s="71"/>
      <c r="L829" s="71"/>
      <c r="M829" s="71"/>
    </row>
    <row r="830" customFormat="false" ht="15" hidden="false" customHeight="false" outlineLevel="0" collapsed="false">
      <c r="B830" s="70"/>
      <c r="C830" s="71"/>
      <c r="D830" s="71"/>
      <c r="E830" s="71"/>
      <c r="F830" s="71"/>
      <c r="G830" s="72"/>
      <c r="J830" s="71"/>
      <c r="K830" s="71"/>
      <c r="L830" s="71"/>
      <c r="M830" s="71"/>
    </row>
    <row r="831" customFormat="false" ht="15" hidden="false" customHeight="false" outlineLevel="0" collapsed="false">
      <c r="B831" s="70"/>
      <c r="C831" s="71"/>
      <c r="D831" s="71"/>
      <c r="E831" s="71"/>
      <c r="F831" s="71"/>
      <c r="G831" s="72"/>
      <c r="J831" s="71"/>
      <c r="K831" s="71"/>
      <c r="L831" s="71"/>
      <c r="M831" s="71"/>
    </row>
    <row r="832" customFormat="false" ht="15" hidden="false" customHeight="false" outlineLevel="0" collapsed="false">
      <c r="B832" s="70"/>
      <c r="C832" s="71"/>
      <c r="D832" s="71"/>
      <c r="E832" s="71"/>
      <c r="F832" s="71"/>
      <c r="G832" s="72"/>
      <c r="J832" s="71"/>
      <c r="K832" s="71"/>
      <c r="L832" s="71"/>
      <c r="M832" s="71"/>
    </row>
    <row r="833" customFormat="false" ht="15" hidden="false" customHeight="false" outlineLevel="0" collapsed="false">
      <c r="B833" s="70"/>
      <c r="C833" s="71"/>
      <c r="D833" s="71"/>
      <c r="E833" s="71"/>
      <c r="F833" s="71"/>
      <c r="G833" s="72"/>
      <c r="J833" s="71"/>
      <c r="K833" s="71"/>
      <c r="L833" s="71"/>
      <c r="M833" s="71"/>
    </row>
    <row r="834" customFormat="false" ht="15" hidden="false" customHeight="false" outlineLevel="0" collapsed="false">
      <c r="B834" s="70"/>
      <c r="C834" s="71"/>
      <c r="D834" s="71"/>
      <c r="E834" s="71"/>
      <c r="F834" s="71"/>
      <c r="G834" s="72"/>
      <c r="J834" s="71"/>
      <c r="K834" s="71"/>
      <c r="L834" s="71"/>
      <c r="M834" s="71"/>
    </row>
    <row r="835" customFormat="false" ht="15" hidden="false" customHeight="false" outlineLevel="0" collapsed="false">
      <c r="B835" s="70"/>
      <c r="C835" s="71"/>
      <c r="D835" s="71"/>
      <c r="E835" s="71"/>
      <c r="F835" s="71"/>
      <c r="G835" s="72"/>
      <c r="J835" s="71"/>
      <c r="K835" s="71"/>
      <c r="L835" s="71"/>
      <c r="M835" s="71"/>
    </row>
    <row r="836" customFormat="false" ht="15" hidden="false" customHeight="false" outlineLevel="0" collapsed="false">
      <c r="B836" s="70"/>
      <c r="C836" s="71"/>
      <c r="D836" s="71"/>
      <c r="E836" s="71"/>
      <c r="F836" s="71"/>
      <c r="G836" s="72"/>
      <c r="J836" s="71"/>
      <c r="K836" s="71"/>
      <c r="L836" s="71"/>
      <c r="M836" s="71"/>
    </row>
    <row r="837" customFormat="false" ht="15" hidden="false" customHeight="false" outlineLevel="0" collapsed="false">
      <c r="B837" s="70"/>
      <c r="C837" s="71"/>
      <c r="D837" s="71"/>
      <c r="E837" s="71"/>
      <c r="F837" s="71"/>
      <c r="G837" s="72"/>
      <c r="J837" s="71"/>
      <c r="K837" s="71"/>
      <c r="L837" s="71"/>
      <c r="M837" s="71"/>
    </row>
    <row r="838" customFormat="false" ht="15" hidden="false" customHeight="false" outlineLevel="0" collapsed="false">
      <c r="B838" s="70"/>
      <c r="C838" s="71"/>
      <c r="D838" s="71"/>
      <c r="E838" s="71"/>
      <c r="F838" s="71"/>
      <c r="G838" s="72"/>
      <c r="J838" s="71"/>
      <c r="K838" s="71"/>
      <c r="L838" s="71"/>
      <c r="M838" s="71"/>
    </row>
    <row r="839" customFormat="false" ht="15" hidden="false" customHeight="false" outlineLevel="0" collapsed="false">
      <c r="B839" s="70"/>
      <c r="C839" s="71"/>
      <c r="D839" s="71"/>
      <c r="E839" s="71"/>
      <c r="F839" s="71"/>
      <c r="G839" s="72"/>
      <c r="J839" s="71"/>
      <c r="K839" s="71"/>
      <c r="L839" s="71"/>
      <c r="M839" s="71"/>
    </row>
    <row r="840" customFormat="false" ht="15" hidden="false" customHeight="false" outlineLevel="0" collapsed="false">
      <c r="B840" s="70"/>
      <c r="C840" s="71"/>
      <c r="D840" s="71"/>
      <c r="E840" s="71"/>
      <c r="F840" s="71"/>
      <c r="G840" s="72"/>
      <c r="J840" s="71"/>
      <c r="K840" s="71"/>
      <c r="L840" s="71"/>
      <c r="M840" s="71"/>
    </row>
    <row r="841" customFormat="false" ht="15" hidden="false" customHeight="false" outlineLevel="0" collapsed="false">
      <c r="B841" s="70"/>
      <c r="C841" s="71"/>
      <c r="D841" s="71"/>
      <c r="E841" s="71"/>
      <c r="F841" s="71"/>
      <c r="G841" s="72"/>
      <c r="J841" s="71"/>
      <c r="K841" s="71"/>
      <c r="L841" s="71"/>
      <c r="M841" s="71"/>
    </row>
    <row r="842" customFormat="false" ht="15" hidden="false" customHeight="false" outlineLevel="0" collapsed="false">
      <c r="B842" s="70"/>
      <c r="C842" s="71"/>
      <c r="D842" s="71"/>
      <c r="E842" s="71"/>
      <c r="F842" s="71"/>
      <c r="G842" s="72"/>
      <c r="J842" s="71"/>
      <c r="K842" s="71"/>
      <c r="L842" s="71"/>
      <c r="M842" s="71"/>
    </row>
    <row r="843" customFormat="false" ht="15" hidden="false" customHeight="false" outlineLevel="0" collapsed="false">
      <c r="B843" s="70"/>
      <c r="C843" s="71"/>
      <c r="D843" s="71"/>
      <c r="E843" s="71"/>
      <c r="F843" s="71"/>
      <c r="G843" s="72"/>
      <c r="J843" s="71"/>
      <c r="K843" s="71"/>
      <c r="L843" s="71"/>
      <c r="M843" s="71"/>
    </row>
    <row r="844" customFormat="false" ht="15" hidden="false" customHeight="false" outlineLevel="0" collapsed="false">
      <c r="B844" s="70"/>
      <c r="C844" s="71"/>
      <c r="D844" s="71"/>
      <c r="E844" s="71"/>
      <c r="F844" s="71"/>
      <c r="G844" s="72"/>
      <c r="J844" s="71"/>
      <c r="K844" s="71"/>
      <c r="L844" s="71"/>
      <c r="M844" s="71"/>
    </row>
    <row r="845" customFormat="false" ht="15" hidden="false" customHeight="false" outlineLevel="0" collapsed="false">
      <c r="B845" s="70"/>
      <c r="C845" s="71"/>
      <c r="D845" s="71"/>
      <c r="E845" s="71"/>
      <c r="F845" s="71"/>
      <c r="G845" s="72"/>
      <c r="J845" s="71"/>
      <c r="K845" s="71"/>
      <c r="L845" s="71"/>
      <c r="M845" s="71"/>
    </row>
    <row r="846" customFormat="false" ht="15" hidden="false" customHeight="false" outlineLevel="0" collapsed="false">
      <c r="B846" s="70"/>
      <c r="C846" s="71"/>
      <c r="D846" s="71"/>
      <c r="E846" s="71"/>
      <c r="F846" s="71"/>
      <c r="G846" s="72"/>
      <c r="J846" s="71"/>
      <c r="K846" s="71"/>
      <c r="L846" s="71"/>
      <c r="M846" s="71"/>
    </row>
    <row r="847" customFormat="false" ht="15" hidden="false" customHeight="false" outlineLevel="0" collapsed="false">
      <c r="B847" s="70"/>
      <c r="C847" s="71"/>
      <c r="D847" s="71"/>
      <c r="E847" s="71"/>
      <c r="F847" s="71"/>
      <c r="G847" s="72"/>
      <c r="J847" s="71"/>
      <c r="K847" s="71"/>
      <c r="L847" s="71"/>
      <c r="M847" s="71"/>
    </row>
    <row r="848" customFormat="false" ht="15" hidden="false" customHeight="false" outlineLevel="0" collapsed="false">
      <c r="B848" s="70"/>
      <c r="C848" s="71"/>
      <c r="D848" s="71"/>
      <c r="E848" s="71"/>
      <c r="F848" s="71"/>
      <c r="G848" s="72"/>
      <c r="J848" s="71"/>
      <c r="K848" s="71"/>
      <c r="L848" s="71"/>
      <c r="M848" s="71"/>
    </row>
    <row r="849" customFormat="false" ht="15" hidden="false" customHeight="false" outlineLevel="0" collapsed="false">
      <c r="B849" s="70"/>
      <c r="C849" s="71"/>
      <c r="D849" s="71"/>
      <c r="E849" s="71"/>
      <c r="F849" s="71"/>
      <c r="G849" s="72"/>
      <c r="J849" s="71"/>
      <c r="K849" s="71"/>
      <c r="L849" s="71"/>
      <c r="M849" s="71"/>
    </row>
    <row r="850" customFormat="false" ht="15" hidden="false" customHeight="false" outlineLevel="0" collapsed="false">
      <c r="B850" s="70"/>
      <c r="C850" s="71"/>
      <c r="D850" s="71"/>
      <c r="E850" s="71"/>
      <c r="F850" s="71"/>
      <c r="G850" s="72"/>
      <c r="J850" s="71"/>
      <c r="K850" s="71"/>
      <c r="L850" s="71"/>
      <c r="M850" s="71"/>
    </row>
    <row r="851" customFormat="false" ht="15" hidden="false" customHeight="false" outlineLevel="0" collapsed="false">
      <c r="B851" s="70"/>
      <c r="C851" s="71"/>
      <c r="D851" s="71"/>
      <c r="E851" s="71"/>
      <c r="F851" s="71"/>
      <c r="G851" s="72"/>
      <c r="J851" s="71"/>
      <c r="K851" s="71"/>
      <c r="L851" s="71"/>
      <c r="M851" s="71"/>
    </row>
    <row r="852" customFormat="false" ht="15" hidden="false" customHeight="false" outlineLevel="0" collapsed="false">
      <c r="B852" s="70"/>
      <c r="C852" s="71"/>
      <c r="D852" s="71"/>
      <c r="E852" s="71"/>
      <c r="F852" s="71"/>
      <c r="G852" s="72"/>
      <c r="J852" s="71"/>
      <c r="K852" s="71"/>
      <c r="L852" s="71"/>
      <c r="M852" s="71"/>
    </row>
    <row r="853" customFormat="false" ht="15" hidden="false" customHeight="false" outlineLevel="0" collapsed="false">
      <c r="B853" s="70"/>
      <c r="C853" s="71"/>
      <c r="D853" s="71"/>
      <c r="E853" s="71"/>
      <c r="F853" s="71"/>
      <c r="G853" s="72"/>
      <c r="J853" s="71"/>
      <c r="K853" s="71"/>
      <c r="L853" s="71"/>
      <c r="M853" s="71"/>
    </row>
    <row r="854" customFormat="false" ht="15" hidden="false" customHeight="false" outlineLevel="0" collapsed="false">
      <c r="B854" s="70"/>
      <c r="C854" s="71"/>
      <c r="D854" s="71"/>
      <c r="E854" s="71"/>
      <c r="F854" s="71"/>
      <c r="G854" s="72"/>
      <c r="J854" s="71"/>
      <c r="K854" s="71"/>
      <c r="L854" s="71"/>
      <c r="M854" s="71"/>
    </row>
    <row r="855" customFormat="false" ht="15" hidden="false" customHeight="false" outlineLevel="0" collapsed="false">
      <c r="B855" s="70"/>
      <c r="C855" s="71"/>
      <c r="D855" s="71"/>
      <c r="E855" s="71"/>
      <c r="F855" s="71"/>
      <c r="G855" s="72"/>
      <c r="J855" s="71"/>
      <c r="K855" s="71"/>
      <c r="L855" s="71"/>
      <c r="M855" s="71"/>
    </row>
    <row r="856" customFormat="false" ht="15" hidden="false" customHeight="false" outlineLevel="0" collapsed="false">
      <c r="B856" s="70"/>
      <c r="C856" s="71"/>
      <c r="D856" s="71"/>
      <c r="E856" s="71"/>
      <c r="F856" s="71"/>
      <c r="G856" s="72"/>
      <c r="J856" s="71"/>
      <c r="K856" s="71"/>
      <c r="L856" s="71"/>
      <c r="M856" s="71"/>
    </row>
    <row r="857" customFormat="false" ht="15" hidden="false" customHeight="false" outlineLevel="0" collapsed="false">
      <c r="B857" s="70"/>
      <c r="C857" s="71"/>
      <c r="D857" s="71"/>
      <c r="E857" s="71"/>
      <c r="F857" s="71"/>
      <c r="G857" s="72"/>
      <c r="J857" s="71"/>
      <c r="K857" s="71"/>
      <c r="L857" s="71"/>
      <c r="M857" s="71"/>
    </row>
    <row r="858" customFormat="false" ht="15" hidden="false" customHeight="false" outlineLevel="0" collapsed="false">
      <c r="B858" s="70"/>
      <c r="C858" s="71"/>
      <c r="D858" s="71"/>
      <c r="E858" s="71"/>
      <c r="F858" s="71"/>
      <c r="G858" s="72"/>
      <c r="J858" s="71"/>
      <c r="K858" s="71"/>
      <c r="L858" s="71"/>
      <c r="M858" s="71"/>
    </row>
    <row r="859" customFormat="false" ht="15" hidden="false" customHeight="false" outlineLevel="0" collapsed="false">
      <c r="B859" s="70"/>
      <c r="C859" s="71"/>
      <c r="D859" s="71"/>
      <c r="E859" s="71"/>
      <c r="F859" s="71"/>
      <c r="G859" s="72"/>
      <c r="J859" s="71"/>
      <c r="K859" s="71"/>
      <c r="L859" s="71"/>
      <c r="M859" s="71"/>
    </row>
    <row r="860" customFormat="false" ht="15" hidden="false" customHeight="false" outlineLevel="0" collapsed="false">
      <c r="B860" s="70"/>
      <c r="C860" s="71"/>
      <c r="D860" s="71"/>
      <c r="E860" s="71"/>
      <c r="F860" s="71"/>
      <c r="G860" s="72"/>
      <c r="J860" s="71"/>
      <c r="K860" s="71"/>
      <c r="L860" s="71"/>
      <c r="M860" s="71"/>
    </row>
    <row r="861" customFormat="false" ht="15" hidden="false" customHeight="false" outlineLevel="0" collapsed="false">
      <c r="B861" s="70"/>
      <c r="C861" s="71"/>
      <c r="D861" s="71"/>
      <c r="E861" s="71"/>
      <c r="F861" s="71"/>
      <c r="G861" s="72"/>
      <c r="J861" s="71"/>
      <c r="K861" s="71"/>
      <c r="L861" s="71"/>
      <c r="M861" s="71"/>
    </row>
    <row r="862" customFormat="false" ht="15" hidden="false" customHeight="false" outlineLevel="0" collapsed="false">
      <c r="B862" s="70"/>
      <c r="C862" s="71"/>
      <c r="D862" s="71"/>
      <c r="E862" s="71"/>
      <c r="F862" s="71"/>
      <c r="G862" s="72"/>
      <c r="J862" s="71"/>
      <c r="K862" s="71"/>
      <c r="L862" s="71"/>
      <c r="M862" s="71"/>
    </row>
    <row r="863" customFormat="false" ht="15" hidden="false" customHeight="false" outlineLevel="0" collapsed="false">
      <c r="B863" s="70"/>
      <c r="C863" s="71"/>
      <c r="D863" s="71"/>
      <c r="E863" s="71"/>
      <c r="F863" s="71"/>
      <c r="G863" s="72"/>
      <c r="J863" s="71"/>
      <c r="K863" s="71"/>
      <c r="L863" s="71"/>
      <c r="M863" s="71"/>
    </row>
    <row r="864" customFormat="false" ht="15" hidden="false" customHeight="false" outlineLevel="0" collapsed="false">
      <c r="B864" s="70"/>
      <c r="C864" s="71"/>
      <c r="D864" s="71"/>
      <c r="E864" s="71"/>
      <c r="F864" s="71"/>
      <c r="G864" s="72"/>
      <c r="J864" s="71"/>
      <c r="K864" s="71"/>
      <c r="L864" s="71"/>
      <c r="M864" s="71"/>
    </row>
    <row r="865" customFormat="false" ht="15" hidden="false" customHeight="false" outlineLevel="0" collapsed="false">
      <c r="B865" s="70"/>
      <c r="C865" s="71"/>
      <c r="D865" s="71"/>
      <c r="E865" s="71"/>
      <c r="F865" s="71"/>
      <c r="G865" s="72"/>
      <c r="J865" s="71"/>
      <c r="K865" s="71"/>
      <c r="L865" s="71"/>
      <c r="M865" s="71"/>
    </row>
    <row r="866" customFormat="false" ht="15" hidden="false" customHeight="false" outlineLevel="0" collapsed="false">
      <c r="B866" s="70"/>
      <c r="C866" s="71"/>
      <c r="D866" s="71"/>
      <c r="E866" s="71"/>
      <c r="F866" s="71"/>
      <c r="G866" s="72"/>
      <c r="J866" s="71"/>
      <c r="K866" s="71"/>
      <c r="L866" s="71"/>
      <c r="M866" s="71"/>
    </row>
    <row r="867" customFormat="false" ht="15" hidden="false" customHeight="false" outlineLevel="0" collapsed="false">
      <c r="B867" s="70"/>
      <c r="C867" s="71"/>
      <c r="D867" s="71"/>
      <c r="E867" s="71"/>
      <c r="F867" s="71"/>
      <c r="G867" s="72"/>
      <c r="J867" s="71"/>
      <c r="K867" s="71"/>
      <c r="L867" s="71"/>
      <c r="M867" s="71"/>
    </row>
    <row r="868" customFormat="false" ht="15" hidden="false" customHeight="false" outlineLevel="0" collapsed="false">
      <c r="B868" s="70"/>
      <c r="C868" s="71"/>
      <c r="D868" s="71"/>
      <c r="E868" s="71"/>
      <c r="F868" s="71"/>
      <c r="G868" s="72"/>
      <c r="J868" s="71"/>
      <c r="K868" s="71"/>
      <c r="L868" s="71"/>
      <c r="M868" s="71"/>
    </row>
    <row r="869" customFormat="false" ht="15" hidden="false" customHeight="false" outlineLevel="0" collapsed="false">
      <c r="B869" s="70"/>
      <c r="C869" s="71"/>
      <c r="D869" s="71"/>
      <c r="E869" s="71"/>
      <c r="F869" s="71"/>
      <c r="G869" s="72"/>
      <c r="J869" s="71"/>
      <c r="K869" s="71"/>
      <c r="L869" s="71"/>
      <c r="M869" s="71"/>
    </row>
    <row r="870" customFormat="false" ht="15" hidden="false" customHeight="false" outlineLevel="0" collapsed="false">
      <c r="B870" s="70"/>
      <c r="C870" s="71"/>
      <c r="D870" s="71"/>
      <c r="E870" s="71"/>
      <c r="F870" s="71"/>
      <c r="G870" s="72"/>
      <c r="J870" s="71"/>
      <c r="K870" s="71"/>
      <c r="L870" s="71"/>
      <c r="M870" s="71"/>
    </row>
    <row r="871" customFormat="false" ht="15" hidden="false" customHeight="false" outlineLevel="0" collapsed="false">
      <c r="B871" s="70"/>
      <c r="C871" s="71"/>
      <c r="D871" s="71"/>
      <c r="E871" s="71"/>
      <c r="F871" s="71"/>
      <c r="G871" s="72"/>
      <c r="J871" s="71"/>
      <c r="K871" s="71"/>
      <c r="L871" s="71"/>
      <c r="M871" s="71"/>
    </row>
    <row r="872" customFormat="false" ht="15" hidden="false" customHeight="false" outlineLevel="0" collapsed="false">
      <c r="B872" s="70"/>
      <c r="C872" s="71"/>
      <c r="D872" s="71"/>
      <c r="E872" s="71"/>
      <c r="F872" s="71"/>
      <c r="G872" s="72"/>
      <c r="J872" s="71"/>
      <c r="K872" s="71"/>
      <c r="L872" s="71"/>
      <c r="M872" s="71"/>
    </row>
    <row r="873" customFormat="false" ht="15" hidden="false" customHeight="false" outlineLevel="0" collapsed="false">
      <c r="B873" s="70"/>
      <c r="C873" s="71"/>
      <c r="D873" s="71"/>
      <c r="E873" s="71"/>
      <c r="F873" s="71"/>
      <c r="G873" s="72"/>
      <c r="J873" s="71"/>
      <c r="K873" s="71"/>
      <c r="L873" s="71"/>
      <c r="M873" s="71"/>
    </row>
    <row r="874" customFormat="false" ht="15" hidden="false" customHeight="false" outlineLevel="0" collapsed="false">
      <c r="B874" s="70"/>
      <c r="C874" s="71"/>
      <c r="D874" s="71"/>
      <c r="E874" s="71"/>
      <c r="F874" s="71"/>
      <c r="G874" s="72"/>
      <c r="J874" s="71"/>
      <c r="K874" s="71"/>
      <c r="L874" s="71"/>
      <c r="M874" s="71"/>
    </row>
    <row r="875" customFormat="false" ht="15" hidden="false" customHeight="false" outlineLevel="0" collapsed="false">
      <c r="B875" s="70"/>
      <c r="C875" s="71"/>
      <c r="D875" s="71"/>
      <c r="E875" s="71"/>
      <c r="F875" s="71"/>
      <c r="G875" s="72"/>
      <c r="J875" s="71"/>
      <c r="K875" s="71"/>
      <c r="L875" s="71"/>
      <c r="M875" s="71"/>
    </row>
    <row r="876" customFormat="false" ht="15" hidden="false" customHeight="false" outlineLevel="0" collapsed="false">
      <c r="B876" s="70"/>
      <c r="C876" s="71"/>
      <c r="D876" s="71"/>
      <c r="E876" s="71"/>
      <c r="F876" s="71"/>
      <c r="G876" s="72"/>
      <c r="J876" s="71"/>
      <c r="K876" s="71"/>
      <c r="L876" s="71"/>
      <c r="M876" s="71"/>
    </row>
    <row r="877" customFormat="false" ht="15" hidden="false" customHeight="false" outlineLevel="0" collapsed="false">
      <c r="B877" s="70"/>
      <c r="C877" s="71"/>
      <c r="D877" s="71"/>
      <c r="E877" s="71"/>
      <c r="F877" s="71"/>
      <c r="G877" s="72"/>
      <c r="J877" s="71"/>
      <c r="K877" s="71"/>
      <c r="L877" s="71"/>
      <c r="M877" s="71"/>
    </row>
    <row r="878" customFormat="false" ht="15" hidden="false" customHeight="false" outlineLevel="0" collapsed="false">
      <c r="B878" s="70"/>
      <c r="C878" s="71"/>
      <c r="D878" s="71"/>
      <c r="E878" s="71"/>
      <c r="F878" s="71"/>
      <c r="G878" s="72"/>
      <c r="J878" s="71"/>
      <c r="K878" s="71"/>
      <c r="L878" s="71"/>
      <c r="M878" s="71"/>
    </row>
    <row r="879" customFormat="false" ht="15" hidden="false" customHeight="false" outlineLevel="0" collapsed="false">
      <c r="B879" s="70"/>
      <c r="C879" s="71"/>
      <c r="D879" s="71"/>
      <c r="E879" s="71"/>
      <c r="F879" s="71"/>
      <c r="G879" s="72"/>
      <c r="J879" s="71"/>
      <c r="K879" s="71"/>
      <c r="L879" s="71"/>
      <c r="M879" s="71"/>
    </row>
    <row r="880" customFormat="false" ht="15" hidden="false" customHeight="false" outlineLevel="0" collapsed="false">
      <c r="B880" s="70"/>
      <c r="C880" s="71"/>
      <c r="D880" s="71"/>
      <c r="E880" s="71"/>
      <c r="F880" s="71"/>
      <c r="G880" s="72"/>
      <c r="J880" s="71"/>
      <c r="K880" s="71"/>
      <c r="L880" s="71"/>
      <c r="M880" s="71"/>
    </row>
    <row r="881" customFormat="false" ht="15" hidden="false" customHeight="false" outlineLevel="0" collapsed="false">
      <c r="B881" s="70"/>
      <c r="C881" s="71"/>
      <c r="D881" s="71"/>
      <c r="E881" s="71"/>
      <c r="F881" s="71"/>
      <c r="G881" s="72"/>
      <c r="J881" s="71"/>
      <c r="K881" s="71"/>
      <c r="L881" s="71"/>
      <c r="M881" s="71"/>
    </row>
    <row r="882" customFormat="false" ht="15" hidden="false" customHeight="false" outlineLevel="0" collapsed="false">
      <c r="B882" s="70"/>
      <c r="C882" s="71"/>
      <c r="D882" s="71"/>
      <c r="E882" s="71"/>
      <c r="F882" s="71"/>
      <c r="G882" s="72"/>
      <c r="J882" s="71"/>
      <c r="K882" s="71"/>
      <c r="L882" s="71"/>
      <c r="M882" s="71"/>
    </row>
    <row r="883" customFormat="false" ht="15" hidden="false" customHeight="false" outlineLevel="0" collapsed="false">
      <c r="B883" s="70"/>
      <c r="C883" s="71"/>
      <c r="D883" s="71"/>
      <c r="E883" s="71"/>
      <c r="F883" s="71"/>
      <c r="G883" s="72"/>
      <c r="J883" s="71"/>
      <c r="K883" s="71"/>
      <c r="L883" s="71"/>
      <c r="M883" s="71"/>
    </row>
    <row r="884" customFormat="false" ht="15" hidden="false" customHeight="false" outlineLevel="0" collapsed="false">
      <c r="B884" s="70"/>
      <c r="C884" s="71"/>
      <c r="D884" s="71"/>
      <c r="E884" s="71"/>
      <c r="F884" s="71"/>
      <c r="G884" s="72"/>
      <c r="J884" s="71"/>
      <c r="K884" s="71"/>
      <c r="L884" s="71"/>
      <c r="M884" s="71"/>
    </row>
    <row r="885" customFormat="false" ht="15" hidden="false" customHeight="false" outlineLevel="0" collapsed="false">
      <c r="B885" s="70"/>
      <c r="C885" s="71"/>
      <c r="D885" s="71"/>
      <c r="E885" s="71"/>
      <c r="F885" s="71"/>
      <c r="G885" s="72"/>
      <c r="J885" s="71"/>
      <c r="K885" s="71"/>
      <c r="L885" s="71"/>
      <c r="M885" s="71"/>
    </row>
    <row r="886" customFormat="false" ht="15" hidden="false" customHeight="false" outlineLevel="0" collapsed="false">
      <c r="B886" s="70"/>
      <c r="C886" s="71"/>
      <c r="D886" s="71"/>
      <c r="E886" s="71"/>
      <c r="F886" s="71"/>
      <c r="G886" s="72"/>
      <c r="J886" s="71"/>
      <c r="K886" s="71"/>
      <c r="L886" s="71"/>
      <c r="M886" s="71"/>
    </row>
    <row r="887" customFormat="false" ht="15" hidden="false" customHeight="false" outlineLevel="0" collapsed="false">
      <c r="B887" s="70"/>
      <c r="C887" s="71"/>
      <c r="D887" s="71"/>
      <c r="E887" s="71"/>
      <c r="F887" s="71"/>
      <c r="G887" s="72"/>
      <c r="J887" s="71"/>
      <c r="K887" s="71"/>
      <c r="L887" s="71"/>
      <c r="M887" s="71"/>
    </row>
    <row r="888" customFormat="false" ht="15" hidden="false" customHeight="false" outlineLevel="0" collapsed="false">
      <c r="B888" s="70"/>
      <c r="C888" s="71"/>
      <c r="D888" s="71"/>
      <c r="E888" s="71"/>
      <c r="F888" s="71"/>
      <c r="G888" s="72"/>
      <c r="J888" s="71"/>
      <c r="K888" s="71"/>
      <c r="L888" s="71"/>
      <c r="M888" s="71"/>
    </row>
    <row r="889" customFormat="false" ht="15" hidden="false" customHeight="false" outlineLevel="0" collapsed="false">
      <c r="B889" s="70"/>
      <c r="C889" s="71"/>
      <c r="D889" s="71"/>
      <c r="E889" s="71"/>
      <c r="F889" s="71"/>
      <c r="G889" s="72"/>
      <c r="J889" s="71"/>
      <c r="K889" s="71"/>
      <c r="L889" s="71"/>
      <c r="M889" s="71"/>
    </row>
    <row r="890" customFormat="false" ht="15" hidden="false" customHeight="false" outlineLevel="0" collapsed="false">
      <c r="B890" s="70"/>
      <c r="C890" s="71"/>
      <c r="D890" s="71"/>
      <c r="E890" s="71"/>
      <c r="F890" s="71"/>
      <c r="G890" s="72"/>
      <c r="J890" s="71"/>
      <c r="K890" s="71"/>
      <c r="L890" s="71"/>
      <c r="M890" s="71"/>
    </row>
    <row r="891" customFormat="false" ht="15" hidden="false" customHeight="false" outlineLevel="0" collapsed="false">
      <c r="B891" s="70"/>
      <c r="C891" s="71"/>
      <c r="D891" s="71"/>
      <c r="E891" s="71"/>
      <c r="F891" s="71"/>
      <c r="G891" s="72"/>
      <c r="J891" s="71"/>
      <c r="K891" s="71"/>
      <c r="L891" s="71"/>
      <c r="M891" s="71"/>
    </row>
    <row r="892" customFormat="false" ht="15" hidden="false" customHeight="false" outlineLevel="0" collapsed="false">
      <c r="B892" s="70"/>
      <c r="C892" s="71"/>
      <c r="D892" s="71"/>
      <c r="E892" s="71"/>
      <c r="F892" s="71"/>
      <c r="G892" s="72"/>
      <c r="J892" s="71"/>
      <c r="K892" s="71"/>
      <c r="L892" s="71"/>
      <c r="M892" s="71"/>
    </row>
    <row r="893" customFormat="false" ht="15" hidden="false" customHeight="false" outlineLevel="0" collapsed="false">
      <c r="B893" s="70"/>
      <c r="C893" s="71"/>
      <c r="D893" s="71"/>
      <c r="E893" s="71"/>
      <c r="F893" s="71"/>
      <c r="G893" s="72"/>
      <c r="J893" s="71"/>
      <c r="K893" s="71"/>
      <c r="L893" s="71"/>
      <c r="M893" s="71"/>
    </row>
    <row r="894" customFormat="false" ht="15" hidden="false" customHeight="false" outlineLevel="0" collapsed="false">
      <c r="B894" s="70"/>
      <c r="C894" s="71"/>
      <c r="D894" s="71"/>
      <c r="E894" s="71"/>
      <c r="F894" s="71"/>
      <c r="G894" s="72"/>
      <c r="J894" s="71"/>
      <c r="K894" s="71"/>
      <c r="L894" s="71"/>
      <c r="M894" s="71"/>
    </row>
    <row r="895" customFormat="false" ht="15" hidden="false" customHeight="false" outlineLevel="0" collapsed="false">
      <c r="B895" s="70"/>
      <c r="C895" s="71"/>
      <c r="D895" s="71"/>
      <c r="E895" s="71"/>
      <c r="F895" s="71"/>
      <c r="G895" s="72"/>
      <c r="J895" s="71"/>
      <c r="K895" s="71"/>
      <c r="L895" s="71"/>
      <c r="M895" s="71"/>
    </row>
    <row r="896" customFormat="false" ht="15" hidden="false" customHeight="false" outlineLevel="0" collapsed="false">
      <c r="B896" s="70"/>
      <c r="C896" s="71"/>
      <c r="D896" s="71"/>
      <c r="E896" s="71"/>
      <c r="F896" s="71"/>
      <c r="G896" s="72"/>
      <c r="J896" s="71"/>
      <c r="K896" s="71"/>
      <c r="L896" s="71"/>
      <c r="M896" s="71"/>
    </row>
    <row r="897" customFormat="false" ht="15" hidden="false" customHeight="false" outlineLevel="0" collapsed="false">
      <c r="B897" s="70"/>
      <c r="C897" s="71"/>
      <c r="D897" s="71"/>
      <c r="E897" s="71"/>
      <c r="F897" s="71"/>
      <c r="G897" s="72"/>
      <c r="J897" s="71"/>
      <c r="K897" s="71"/>
      <c r="L897" s="71"/>
      <c r="M897" s="71"/>
    </row>
    <row r="898" customFormat="false" ht="15" hidden="false" customHeight="false" outlineLevel="0" collapsed="false">
      <c r="B898" s="70"/>
      <c r="C898" s="71"/>
      <c r="D898" s="71"/>
      <c r="E898" s="71"/>
      <c r="F898" s="71"/>
      <c r="G898" s="72"/>
      <c r="J898" s="71"/>
      <c r="K898" s="71"/>
      <c r="L898" s="71"/>
      <c r="M898" s="71"/>
    </row>
    <row r="899" customFormat="false" ht="15" hidden="false" customHeight="false" outlineLevel="0" collapsed="false">
      <c r="B899" s="70"/>
      <c r="C899" s="71"/>
      <c r="D899" s="71"/>
      <c r="E899" s="71"/>
      <c r="F899" s="71"/>
      <c r="G899" s="72"/>
      <c r="J899" s="71"/>
      <c r="K899" s="71"/>
      <c r="L899" s="71"/>
      <c r="M899" s="71"/>
    </row>
    <row r="900" customFormat="false" ht="15" hidden="false" customHeight="false" outlineLevel="0" collapsed="false">
      <c r="B900" s="70"/>
      <c r="C900" s="71"/>
      <c r="D900" s="71"/>
      <c r="E900" s="71"/>
      <c r="F900" s="71"/>
      <c r="G900" s="72"/>
      <c r="J900" s="71"/>
      <c r="K900" s="71"/>
      <c r="L900" s="71"/>
      <c r="M900" s="71"/>
    </row>
    <row r="901" customFormat="false" ht="15" hidden="false" customHeight="false" outlineLevel="0" collapsed="false">
      <c r="B901" s="70"/>
      <c r="C901" s="71"/>
      <c r="D901" s="71"/>
      <c r="E901" s="71"/>
      <c r="F901" s="71"/>
      <c r="G901" s="72"/>
      <c r="J901" s="71"/>
      <c r="K901" s="71"/>
      <c r="L901" s="71"/>
      <c r="M901" s="71"/>
    </row>
    <row r="902" customFormat="false" ht="15" hidden="false" customHeight="false" outlineLevel="0" collapsed="false">
      <c r="B902" s="70"/>
      <c r="C902" s="71"/>
      <c r="D902" s="71"/>
      <c r="E902" s="71"/>
      <c r="F902" s="71"/>
      <c r="G902" s="72"/>
      <c r="J902" s="71"/>
      <c r="K902" s="71"/>
      <c r="L902" s="71"/>
      <c r="M902" s="71"/>
    </row>
    <row r="903" customFormat="false" ht="15" hidden="false" customHeight="false" outlineLevel="0" collapsed="false">
      <c r="B903" s="70"/>
      <c r="C903" s="71"/>
      <c r="D903" s="71"/>
      <c r="E903" s="71"/>
      <c r="F903" s="71"/>
      <c r="G903" s="72"/>
      <c r="J903" s="71"/>
      <c r="K903" s="71"/>
      <c r="L903" s="71"/>
      <c r="M903" s="71"/>
    </row>
    <row r="904" customFormat="false" ht="15" hidden="false" customHeight="false" outlineLevel="0" collapsed="false">
      <c r="B904" s="70"/>
      <c r="C904" s="71"/>
      <c r="D904" s="71"/>
      <c r="E904" s="71"/>
      <c r="F904" s="71"/>
      <c r="G904" s="72"/>
      <c r="J904" s="71"/>
      <c r="K904" s="71"/>
      <c r="L904" s="71"/>
      <c r="M904" s="71"/>
    </row>
    <row r="905" customFormat="false" ht="15" hidden="false" customHeight="false" outlineLevel="0" collapsed="false">
      <c r="B905" s="70"/>
      <c r="C905" s="71"/>
      <c r="D905" s="71"/>
      <c r="E905" s="71"/>
      <c r="F905" s="71"/>
      <c r="G905" s="72"/>
      <c r="J905" s="71"/>
      <c r="K905" s="71"/>
      <c r="L905" s="71"/>
      <c r="M905" s="71"/>
    </row>
    <row r="906" customFormat="false" ht="15" hidden="false" customHeight="false" outlineLevel="0" collapsed="false">
      <c r="B906" s="70"/>
      <c r="C906" s="71"/>
      <c r="D906" s="71"/>
      <c r="E906" s="71"/>
      <c r="F906" s="71"/>
      <c r="G906" s="72"/>
      <c r="J906" s="71"/>
      <c r="K906" s="71"/>
      <c r="L906" s="71"/>
      <c r="M906" s="71"/>
    </row>
    <row r="907" customFormat="false" ht="15" hidden="false" customHeight="false" outlineLevel="0" collapsed="false">
      <c r="B907" s="70"/>
      <c r="C907" s="71"/>
      <c r="D907" s="71"/>
      <c r="E907" s="71"/>
      <c r="F907" s="71"/>
      <c r="G907" s="72"/>
      <c r="J907" s="71"/>
      <c r="K907" s="71"/>
      <c r="L907" s="71"/>
      <c r="M907" s="71"/>
    </row>
    <row r="908" customFormat="false" ht="15" hidden="false" customHeight="false" outlineLevel="0" collapsed="false">
      <c r="B908" s="70"/>
      <c r="C908" s="71"/>
      <c r="D908" s="71"/>
      <c r="E908" s="71"/>
      <c r="F908" s="71"/>
      <c r="G908" s="72"/>
      <c r="J908" s="71"/>
      <c r="K908" s="71"/>
      <c r="L908" s="71"/>
      <c r="M908" s="71"/>
    </row>
    <row r="909" customFormat="false" ht="15" hidden="false" customHeight="false" outlineLevel="0" collapsed="false">
      <c r="B909" s="70"/>
      <c r="C909" s="71"/>
      <c r="D909" s="71"/>
      <c r="E909" s="71"/>
      <c r="F909" s="71"/>
      <c r="G909" s="72"/>
      <c r="J909" s="71"/>
      <c r="K909" s="71"/>
      <c r="L909" s="71"/>
      <c r="M909" s="71"/>
    </row>
    <row r="910" customFormat="false" ht="15" hidden="false" customHeight="false" outlineLevel="0" collapsed="false">
      <c r="B910" s="70"/>
      <c r="C910" s="71"/>
      <c r="D910" s="71"/>
      <c r="E910" s="71"/>
      <c r="F910" s="71"/>
      <c r="G910" s="72"/>
      <c r="J910" s="71"/>
      <c r="K910" s="71"/>
      <c r="L910" s="71"/>
      <c r="M910" s="71"/>
    </row>
    <row r="911" customFormat="false" ht="15" hidden="false" customHeight="false" outlineLevel="0" collapsed="false">
      <c r="B911" s="70"/>
      <c r="C911" s="71"/>
      <c r="D911" s="71"/>
      <c r="E911" s="71"/>
      <c r="F911" s="71"/>
      <c r="G911" s="72"/>
      <c r="J911" s="71"/>
      <c r="K911" s="71"/>
      <c r="L911" s="71"/>
      <c r="M911" s="71"/>
    </row>
    <row r="912" customFormat="false" ht="15" hidden="false" customHeight="false" outlineLevel="0" collapsed="false">
      <c r="B912" s="70"/>
      <c r="C912" s="71"/>
      <c r="D912" s="71"/>
      <c r="E912" s="71"/>
      <c r="F912" s="71"/>
      <c r="G912" s="72"/>
      <c r="J912" s="71"/>
      <c r="K912" s="71"/>
      <c r="L912" s="71"/>
      <c r="M912" s="71"/>
    </row>
    <row r="913" customFormat="false" ht="15" hidden="false" customHeight="false" outlineLevel="0" collapsed="false">
      <c r="B913" s="70"/>
      <c r="C913" s="71"/>
      <c r="D913" s="71"/>
      <c r="E913" s="71"/>
      <c r="F913" s="71"/>
      <c r="G913" s="72"/>
      <c r="J913" s="71"/>
      <c r="K913" s="71"/>
      <c r="L913" s="71"/>
      <c r="M913" s="71"/>
    </row>
    <row r="914" customFormat="false" ht="15" hidden="false" customHeight="false" outlineLevel="0" collapsed="false">
      <c r="B914" s="70"/>
      <c r="C914" s="71"/>
      <c r="D914" s="71"/>
      <c r="E914" s="71"/>
      <c r="F914" s="71"/>
      <c r="G914" s="72"/>
      <c r="J914" s="71"/>
      <c r="K914" s="71"/>
      <c r="L914" s="71"/>
      <c r="M914" s="71"/>
    </row>
    <row r="915" customFormat="false" ht="15" hidden="false" customHeight="false" outlineLevel="0" collapsed="false">
      <c r="B915" s="70"/>
      <c r="C915" s="71"/>
      <c r="D915" s="71"/>
      <c r="E915" s="71"/>
      <c r="F915" s="71"/>
      <c r="G915" s="72"/>
      <c r="J915" s="71"/>
      <c r="K915" s="71"/>
      <c r="L915" s="71"/>
      <c r="M915" s="71"/>
    </row>
    <row r="916" customFormat="false" ht="15" hidden="false" customHeight="false" outlineLevel="0" collapsed="false">
      <c r="B916" s="70"/>
      <c r="C916" s="71"/>
      <c r="D916" s="71"/>
      <c r="E916" s="71"/>
      <c r="F916" s="71"/>
      <c r="G916" s="72"/>
      <c r="J916" s="71"/>
      <c r="K916" s="71"/>
      <c r="L916" s="71"/>
      <c r="M916" s="71"/>
    </row>
    <row r="917" customFormat="false" ht="15" hidden="false" customHeight="false" outlineLevel="0" collapsed="false">
      <c r="B917" s="70"/>
      <c r="C917" s="71"/>
      <c r="D917" s="71"/>
      <c r="E917" s="71"/>
      <c r="F917" s="71"/>
      <c r="G917" s="72"/>
      <c r="J917" s="71"/>
      <c r="K917" s="71"/>
      <c r="L917" s="71"/>
      <c r="M917" s="71"/>
    </row>
    <row r="918" customFormat="false" ht="15" hidden="false" customHeight="false" outlineLevel="0" collapsed="false">
      <c r="B918" s="70"/>
      <c r="C918" s="71"/>
      <c r="D918" s="71"/>
      <c r="E918" s="71"/>
      <c r="F918" s="71"/>
      <c r="G918" s="72"/>
      <c r="J918" s="71"/>
      <c r="K918" s="71"/>
      <c r="L918" s="71"/>
      <c r="M918" s="71"/>
    </row>
    <row r="919" customFormat="false" ht="15" hidden="false" customHeight="false" outlineLevel="0" collapsed="false">
      <c r="B919" s="70"/>
      <c r="C919" s="71"/>
      <c r="D919" s="71"/>
      <c r="E919" s="71"/>
      <c r="F919" s="71"/>
      <c r="G919" s="72"/>
      <c r="J919" s="71"/>
      <c r="K919" s="71"/>
      <c r="L919" s="71"/>
      <c r="M919" s="71"/>
    </row>
    <row r="920" customFormat="false" ht="15" hidden="false" customHeight="false" outlineLevel="0" collapsed="false">
      <c r="B920" s="70"/>
      <c r="C920" s="71"/>
      <c r="D920" s="71"/>
      <c r="E920" s="71"/>
      <c r="F920" s="71"/>
      <c r="G920" s="72"/>
      <c r="J920" s="71"/>
      <c r="K920" s="71"/>
      <c r="L920" s="71"/>
      <c r="M920" s="71"/>
    </row>
    <row r="921" customFormat="false" ht="15" hidden="false" customHeight="false" outlineLevel="0" collapsed="false">
      <c r="B921" s="70"/>
      <c r="C921" s="71"/>
      <c r="D921" s="71"/>
      <c r="E921" s="71"/>
      <c r="F921" s="71"/>
      <c r="G921" s="72"/>
      <c r="J921" s="71"/>
      <c r="K921" s="71"/>
      <c r="L921" s="71"/>
      <c r="M921" s="71"/>
    </row>
    <row r="922" customFormat="false" ht="15" hidden="false" customHeight="false" outlineLevel="0" collapsed="false">
      <c r="B922" s="70"/>
      <c r="C922" s="71"/>
      <c r="D922" s="71"/>
      <c r="E922" s="71"/>
      <c r="F922" s="71"/>
      <c r="G922" s="72"/>
      <c r="J922" s="71"/>
      <c r="K922" s="71"/>
      <c r="L922" s="71"/>
      <c r="M922" s="71"/>
    </row>
    <row r="923" customFormat="false" ht="15" hidden="false" customHeight="false" outlineLevel="0" collapsed="false">
      <c r="B923" s="70"/>
      <c r="C923" s="71"/>
      <c r="D923" s="71"/>
      <c r="E923" s="71"/>
      <c r="F923" s="71"/>
      <c r="G923" s="72"/>
      <c r="J923" s="71"/>
      <c r="K923" s="71"/>
      <c r="L923" s="71"/>
      <c r="M923" s="71"/>
    </row>
    <row r="924" customFormat="false" ht="15" hidden="false" customHeight="false" outlineLevel="0" collapsed="false">
      <c r="B924" s="70"/>
      <c r="C924" s="71"/>
      <c r="D924" s="71"/>
      <c r="E924" s="71"/>
      <c r="F924" s="71"/>
      <c r="G924" s="72"/>
      <c r="J924" s="71"/>
      <c r="K924" s="71"/>
      <c r="L924" s="71"/>
      <c r="M924" s="71"/>
    </row>
    <row r="925" customFormat="false" ht="15" hidden="false" customHeight="false" outlineLevel="0" collapsed="false">
      <c r="B925" s="70"/>
      <c r="C925" s="71"/>
      <c r="D925" s="71"/>
      <c r="E925" s="71"/>
      <c r="F925" s="71"/>
      <c r="G925" s="72"/>
      <c r="J925" s="71"/>
      <c r="K925" s="71"/>
      <c r="L925" s="71"/>
      <c r="M925" s="71"/>
    </row>
    <row r="926" customFormat="false" ht="15" hidden="false" customHeight="false" outlineLevel="0" collapsed="false">
      <c r="B926" s="70"/>
      <c r="C926" s="71"/>
      <c r="D926" s="71"/>
      <c r="E926" s="71"/>
      <c r="F926" s="71"/>
      <c r="G926" s="72"/>
      <c r="J926" s="71"/>
      <c r="K926" s="71"/>
      <c r="L926" s="71"/>
      <c r="M926" s="71"/>
    </row>
    <row r="927" customFormat="false" ht="15" hidden="false" customHeight="false" outlineLevel="0" collapsed="false">
      <c r="B927" s="70"/>
      <c r="C927" s="71"/>
      <c r="D927" s="71"/>
      <c r="E927" s="71"/>
      <c r="F927" s="71"/>
      <c r="G927" s="72"/>
      <c r="J927" s="71"/>
      <c r="K927" s="71"/>
      <c r="L927" s="71"/>
      <c r="M927" s="71"/>
    </row>
    <row r="928" customFormat="false" ht="15" hidden="false" customHeight="false" outlineLevel="0" collapsed="false">
      <c r="B928" s="70"/>
      <c r="C928" s="71"/>
      <c r="D928" s="71"/>
      <c r="E928" s="71"/>
      <c r="F928" s="71"/>
      <c r="G928" s="72"/>
      <c r="J928" s="71"/>
      <c r="K928" s="71"/>
      <c r="L928" s="71"/>
      <c r="M928" s="71"/>
    </row>
    <row r="929" customFormat="false" ht="15" hidden="false" customHeight="false" outlineLevel="0" collapsed="false">
      <c r="B929" s="70"/>
      <c r="C929" s="71"/>
      <c r="D929" s="71"/>
      <c r="E929" s="71"/>
      <c r="F929" s="71"/>
      <c r="G929" s="72"/>
      <c r="J929" s="71"/>
      <c r="K929" s="71"/>
      <c r="L929" s="71"/>
      <c r="M929" s="71"/>
    </row>
    <row r="930" customFormat="false" ht="15" hidden="false" customHeight="false" outlineLevel="0" collapsed="false">
      <c r="B930" s="70"/>
      <c r="C930" s="71"/>
      <c r="D930" s="71"/>
      <c r="E930" s="71"/>
      <c r="F930" s="71"/>
      <c r="G930" s="72"/>
      <c r="J930" s="71"/>
      <c r="K930" s="71"/>
      <c r="L930" s="71"/>
      <c r="M930" s="71"/>
    </row>
    <row r="931" customFormat="false" ht="15" hidden="false" customHeight="false" outlineLevel="0" collapsed="false">
      <c r="B931" s="70"/>
      <c r="C931" s="71"/>
      <c r="D931" s="71"/>
      <c r="E931" s="71"/>
      <c r="F931" s="71"/>
      <c r="G931" s="72"/>
      <c r="J931" s="71"/>
      <c r="K931" s="71"/>
      <c r="L931" s="71"/>
      <c r="M931" s="71"/>
    </row>
    <row r="932" customFormat="false" ht="15" hidden="false" customHeight="false" outlineLevel="0" collapsed="false">
      <c r="B932" s="70"/>
      <c r="C932" s="71"/>
      <c r="D932" s="71"/>
      <c r="E932" s="71"/>
      <c r="F932" s="71"/>
      <c r="G932" s="72"/>
      <c r="J932" s="71"/>
      <c r="K932" s="71"/>
      <c r="L932" s="71"/>
      <c r="M932" s="71"/>
    </row>
    <row r="933" customFormat="false" ht="15" hidden="false" customHeight="false" outlineLevel="0" collapsed="false">
      <c r="B933" s="70"/>
      <c r="C933" s="71"/>
      <c r="D933" s="71"/>
      <c r="E933" s="71"/>
      <c r="F933" s="71"/>
      <c r="G933" s="72"/>
      <c r="J933" s="71"/>
      <c r="K933" s="71"/>
      <c r="L933" s="71"/>
      <c r="M933" s="71"/>
    </row>
    <row r="934" customFormat="false" ht="15" hidden="false" customHeight="false" outlineLevel="0" collapsed="false">
      <c r="B934" s="70"/>
      <c r="C934" s="71"/>
      <c r="D934" s="71"/>
      <c r="E934" s="71"/>
      <c r="F934" s="71"/>
      <c r="G934" s="72"/>
      <c r="J934" s="71"/>
      <c r="K934" s="71"/>
      <c r="L934" s="71"/>
      <c r="M934" s="71"/>
    </row>
    <row r="935" customFormat="false" ht="15" hidden="false" customHeight="false" outlineLevel="0" collapsed="false">
      <c r="B935" s="70"/>
      <c r="C935" s="71"/>
      <c r="D935" s="71"/>
      <c r="E935" s="71"/>
      <c r="F935" s="71"/>
      <c r="G935" s="72"/>
      <c r="J935" s="71"/>
      <c r="K935" s="71"/>
      <c r="L935" s="71"/>
      <c r="M935" s="71"/>
    </row>
    <row r="936" customFormat="false" ht="15" hidden="false" customHeight="false" outlineLevel="0" collapsed="false">
      <c r="B936" s="70"/>
      <c r="C936" s="71"/>
      <c r="D936" s="71"/>
      <c r="E936" s="71"/>
      <c r="F936" s="71"/>
      <c r="G936" s="72"/>
      <c r="J936" s="71"/>
      <c r="K936" s="71"/>
      <c r="L936" s="71"/>
      <c r="M936" s="71"/>
    </row>
    <row r="937" customFormat="false" ht="15" hidden="false" customHeight="false" outlineLevel="0" collapsed="false">
      <c r="B937" s="70"/>
      <c r="C937" s="71"/>
      <c r="D937" s="71"/>
      <c r="E937" s="71"/>
      <c r="F937" s="71"/>
      <c r="G937" s="72"/>
      <c r="J937" s="71"/>
      <c r="K937" s="71"/>
      <c r="L937" s="71"/>
      <c r="M937" s="71"/>
    </row>
    <row r="938" customFormat="false" ht="15" hidden="false" customHeight="false" outlineLevel="0" collapsed="false">
      <c r="B938" s="70"/>
      <c r="C938" s="71"/>
      <c r="D938" s="71"/>
      <c r="E938" s="71"/>
      <c r="F938" s="71"/>
      <c r="G938" s="72"/>
      <c r="J938" s="71"/>
      <c r="K938" s="71"/>
      <c r="L938" s="71"/>
      <c r="M938" s="71"/>
    </row>
    <row r="939" customFormat="false" ht="15" hidden="false" customHeight="false" outlineLevel="0" collapsed="false">
      <c r="B939" s="70"/>
      <c r="C939" s="71"/>
      <c r="D939" s="71"/>
      <c r="E939" s="71"/>
      <c r="F939" s="71"/>
      <c r="G939" s="72"/>
      <c r="J939" s="71"/>
      <c r="K939" s="71"/>
      <c r="L939" s="71"/>
      <c r="M939" s="71"/>
    </row>
    <row r="940" customFormat="false" ht="15" hidden="false" customHeight="false" outlineLevel="0" collapsed="false">
      <c r="B940" s="70"/>
      <c r="C940" s="71"/>
      <c r="D940" s="71"/>
      <c r="E940" s="71"/>
      <c r="F940" s="71"/>
      <c r="G940" s="72"/>
      <c r="J940" s="71"/>
      <c r="K940" s="71"/>
      <c r="L940" s="71"/>
      <c r="M940" s="71"/>
    </row>
    <row r="941" customFormat="false" ht="15" hidden="false" customHeight="false" outlineLevel="0" collapsed="false">
      <c r="B941" s="70"/>
      <c r="C941" s="71"/>
      <c r="D941" s="71"/>
      <c r="E941" s="71"/>
      <c r="F941" s="71"/>
      <c r="G941" s="72"/>
      <c r="J941" s="71"/>
      <c r="K941" s="71"/>
      <c r="L941" s="71"/>
      <c r="M941" s="71"/>
    </row>
    <row r="942" customFormat="false" ht="15" hidden="false" customHeight="false" outlineLevel="0" collapsed="false">
      <c r="B942" s="70"/>
      <c r="C942" s="71"/>
      <c r="D942" s="71"/>
      <c r="E942" s="71"/>
      <c r="F942" s="71"/>
      <c r="G942" s="72"/>
      <c r="J942" s="71"/>
      <c r="K942" s="71"/>
      <c r="L942" s="71"/>
      <c r="M942" s="71"/>
    </row>
    <row r="943" customFormat="false" ht="15" hidden="false" customHeight="false" outlineLevel="0" collapsed="false">
      <c r="B943" s="70"/>
      <c r="C943" s="71"/>
      <c r="D943" s="71"/>
      <c r="E943" s="71"/>
      <c r="F943" s="71"/>
      <c r="G943" s="72"/>
      <c r="J943" s="71"/>
      <c r="K943" s="71"/>
      <c r="L943" s="71"/>
      <c r="M943" s="71"/>
    </row>
    <row r="944" customFormat="false" ht="15" hidden="false" customHeight="false" outlineLevel="0" collapsed="false">
      <c r="B944" s="70"/>
      <c r="C944" s="71"/>
      <c r="D944" s="71"/>
      <c r="E944" s="71"/>
      <c r="F944" s="71"/>
      <c r="G944" s="72"/>
      <c r="J944" s="71"/>
      <c r="K944" s="71"/>
      <c r="L944" s="71"/>
      <c r="M944" s="71"/>
    </row>
    <row r="945" customFormat="false" ht="15" hidden="false" customHeight="false" outlineLevel="0" collapsed="false">
      <c r="B945" s="70"/>
      <c r="C945" s="71"/>
      <c r="D945" s="71"/>
      <c r="E945" s="71"/>
      <c r="F945" s="71"/>
      <c r="G945" s="72"/>
      <c r="J945" s="71"/>
      <c r="K945" s="71"/>
      <c r="L945" s="71"/>
      <c r="M945" s="71"/>
    </row>
    <row r="946" customFormat="false" ht="15" hidden="false" customHeight="false" outlineLevel="0" collapsed="false">
      <c r="B946" s="70"/>
      <c r="C946" s="71"/>
      <c r="D946" s="71"/>
      <c r="E946" s="71"/>
      <c r="F946" s="71"/>
      <c r="G946" s="72"/>
      <c r="J946" s="71"/>
      <c r="K946" s="71"/>
      <c r="L946" s="71"/>
      <c r="M946" s="71"/>
    </row>
    <row r="947" customFormat="false" ht="15" hidden="false" customHeight="false" outlineLevel="0" collapsed="false">
      <c r="B947" s="70"/>
      <c r="C947" s="71"/>
      <c r="D947" s="71"/>
      <c r="E947" s="71"/>
      <c r="F947" s="71"/>
      <c r="G947" s="72"/>
      <c r="J947" s="71"/>
      <c r="K947" s="71"/>
      <c r="L947" s="71"/>
      <c r="M947" s="71"/>
    </row>
    <row r="948" customFormat="false" ht="15" hidden="false" customHeight="false" outlineLevel="0" collapsed="false">
      <c r="B948" s="70"/>
      <c r="C948" s="71"/>
      <c r="D948" s="71"/>
      <c r="E948" s="71"/>
      <c r="F948" s="71"/>
      <c r="G948" s="72"/>
      <c r="J948" s="71"/>
      <c r="K948" s="71"/>
      <c r="L948" s="71"/>
      <c r="M948" s="71"/>
    </row>
    <row r="949" customFormat="false" ht="15" hidden="false" customHeight="false" outlineLevel="0" collapsed="false">
      <c r="B949" s="70"/>
      <c r="C949" s="71"/>
      <c r="D949" s="71"/>
      <c r="E949" s="71"/>
      <c r="F949" s="71"/>
      <c r="G949" s="72"/>
      <c r="J949" s="71"/>
      <c r="K949" s="71"/>
      <c r="L949" s="71"/>
      <c r="M949" s="71"/>
    </row>
    <row r="950" customFormat="false" ht="15" hidden="false" customHeight="false" outlineLevel="0" collapsed="false">
      <c r="B950" s="70"/>
      <c r="C950" s="71"/>
      <c r="D950" s="71"/>
      <c r="E950" s="71"/>
      <c r="F950" s="71"/>
      <c r="G950" s="72"/>
      <c r="J950" s="71"/>
      <c r="K950" s="71"/>
      <c r="L950" s="71"/>
      <c r="M950" s="71"/>
    </row>
    <row r="951" customFormat="false" ht="15" hidden="false" customHeight="false" outlineLevel="0" collapsed="false">
      <c r="B951" s="70"/>
      <c r="C951" s="71"/>
      <c r="D951" s="71"/>
      <c r="E951" s="71"/>
      <c r="F951" s="71"/>
      <c r="G951" s="72"/>
      <c r="J951" s="71"/>
      <c r="K951" s="71"/>
      <c r="L951" s="71"/>
      <c r="M951" s="71"/>
    </row>
    <row r="952" customFormat="false" ht="15" hidden="false" customHeight="false" outlineLevel="0" collapsed="false">
      <c r="B952" s="70"/>
      <c r="C952" s="71"/>
      <c r="D952" s="71"/>
      <c r="E952" s="71"/>
      <c r="F952" s="71"/>
      <c r="G952" s="72"/>
      <c r="J952" s="71"/>
      <c r="K952" s="71"/>
      <c r="L952" s="71"/>
      <c r="M952" s="71"/>
    </row>
    <row r="953" customFormat="false" ht="15" hidden="false" customHeight="false" outlineLevel="0" collapsed="false">
      <c r="B953" s="70"/>
      <c r="C953" s="71"/>
      <c r="D953" s="71"/>
      <c r="E953" s="71"/>
      <c r="F953" s="71"/>
      <c r="G953" s="72"/>
      <c r="J953" s="71"/>
      <c r="K953" s="71"/>
      <c r="L953" s="71"/>
      <c r="M953" s="71"/>
    </row>
    <row r="954" customFormat="false" ht="15" hidden="false" customHeight="false" outlineLevel="0" collapsed="false">
      <c r="B954" s="70"/>
      <c r="C954" s="71"/>
      <c r="D954" s="71"/>
      <c r="E954" s="71"/>
      <c r="F954" s="71"/>
      <c r="G954" s="72"/>
      <c r="J954" s="71"/>
      <c r="K954" s="71"/>
      <c r="L954" s="71"/>
      <c r="M954" s="71"/>
    </row>
    <row r="955" customFormat="false" ht="15" hidden="false" customHeight="false" outlineLevel="0" collapsed="false">
      <c r="B955" s="70"/>
      <c r="C955" s="71"/>
      <c r="D955" s="71"/>
      <c r="E955" s="71"/>
      <c r="F955" s="71"/>
      <c r="G955" s="72"/>
      <c r="J955" s="71"/>
      <c r="K955" s="71"/>
      <c r="L955" s="71"/>
      <c r="M955" s="71"/>
    </row>
    <row r="956" customFormat="false" ht="15" hidden="false" customHeight="false" outlineLevel="0" collapsed="false">
      <c r="B956" s="70"/>
      <c r="C956" s="71"/>
      <c r="D956" s="71"/>
      <c r="E956" s="71"/>
      <c r="F956" s="71"/>
      <c r="G956" s="72"/>
      <c r="J956" s="71"/>
      <c r="K956" s="71"/>
      <c r="L956" s="71"/>
      <c r="M956" s="71"/>
    </row>
    <row r="957" customFormat="false" ht="15" hidden="false" customHeight="false" outlineLevel="0" collapsed="false">
      <c r="B957" s="70"/>
      <c r="C957" s="71"/>
      <c r="D957" s="71"/>
      <c r="E957" s="71"/>
      <c r="F957" s="71"/>
      <c r="G957" s="72"/>
      <c r="J957" s="71"/>
      <c r="K957" s="71"/>
      <c r="L957" s="71"/>
      <c r="M957" s="71"/>
    </row>
    <row r="958" customFormat="false" ht="15" hidden="false" customHeight="false" outlineLevel="0" collapsed="false">
      <c r="B958" s="70"/>
      <c r="C958" s="71"/>
      <c r="D958" s="71"/>
      <c r="E958" s="71"/>
      <c r="F958" s="71"/>
      <c r="G958" s="72"/>
      <c r="J958" s="71"/>
      <c r="K958" s="71"/>
      <c r="L958" s="71"/>
      <c r="M958" s="71"/>
    </row>
    <row r="959" customFormat="false" ht="15" hidden="false" customHeight="false" outlineLevel="0" collapsed="false">
      <c r="B959" s="70"/>
      <c r="C959" s="71"/>
      <c r="D959" s="71"/>
      <c r="E959" s="71"/>
      <c r="F959" s="71"/>
      <c r="G959" s="72"/>
      <c r="J959" s="71"/>
      <c r="K959" s="71"/>
      <c r="L959" s="71"/>
      <c r="M959" s="71"/>
    </row>
    <row r="960" customFormat="false" ht="15" hidden="false" customHeight="false" outlineLevel="0" collapsed="false">
      <c r="B960" s="70"/>
      <c r="C960" s="71"/>
      <c r="D960" s="71"/>
      <c r="E960" s="71"/>
      <c r="F960" s="71"/>
      <c r="G960" s="72"/>
      <c r="J960" s="71"/>
      <c r="K960" s="71"/>
      <c r="L960" s="71"/>
      <c r="M960" s="71"/>
    </row>
    <row r="961" customFormat="false" ht="15" hidden="false" customHeight="false" outlineLevel="0" collapsed="false">
      <c r="B961" s="70"/>
      <c r="C961" s="71"/>
      <c r="D961" s="71"/>
      <c r="E961" s="71"/>
      <c r="F961" s="71"/>
      <c r="G961" s="72"/>
      <c r="J961" s="71"/>
      <c r="K961" s="71"/>
      <c r="L961" s="71"/>
      <c r="M961" s="71"/>
    </row>
    <row r="962" customFormat="false" ht="15" hidden="false" customHeight="false" outlineLevel="0" collapsed="false">
      <c r="B962" s="70"/>
      <c r="C962" s="71"/>
      <c r="D962" s="71"/>
      <c r="E962" s="71"/>
      <c r="F962" s="71"/>
      <c r="G962" s="72"/>
      <c r="J962" s="71"/>
      <c r="K962" s="71"/>
      <c r="L962" s="71"/>
      <c r="M962" s="71"/>
    </row>
    <row r="963" customFormat="false" ht="15" hidden="false" customHeight="false" outlineLevel="0" collapsed="false">
      <c r="B963" s="70"/>
      <c r="C963" s="71"/>
      <c r="D963" s="71"/>
      <c r="E963" s="71"/>
      <c r="F963" s="71"/>
      <c r="G963" s="72"/>
      <c r="J963" s="71"/>
      <c r="K963" s="71"/>
      <c r="L963" s="71"/>
      <c r="M963" s="71"/>
    </row>
    <row r="964" customFormat="false" ht="15" hidden="false" customHeight="false" outlineLevel="0" collapsed="false">
      <c r="B964" s="70"/>
      <c r="C964" s="71"/>
      <c r="D964" s="71"/>
      <c r="E964" s="71"/>
      <c r="F964" s="71"/>
      <c r="G964" s="72"/>
      <c r="J964" s="71"/>
      <c r="K964" s="71"/>
      <c r="L964" s="71"/>
      <c r="M964" s="71"/>
    </row>
    <row r="965" customFormat="false" ht="15" hidden="false" customHeight="false" outlineLevel="0" collapsed="false">
      <c r="B965" s="70"/>
      <c r="C965" s="71"/>
      <c r="D965" s="71"/>
      <c r="E965" s="71"/>
      <c r="F965" s="71"/>
      <c r="G965" s="72"/>
      <c r="J965" s="71"/>
      <c r="K965" s="71"/>
      <c r="L965" s="71"/>
      <c r="M965" s="71"/>
    </row>
    <row r="966" customFormat="false" ht="15" hidden="false" customHeight="false" outlineLevel="0" collapsed="false">
      <c r="B966" s="70"/>
      <c r="C966" s="71"/>
      <c r="D966" s="71"/>
      <c r="E966" s="71"/>
      <c r="F966" s="71"/>
      <c r="G966" s="72"/>
      <c r="J966" s="71"/>
      <c r="K966" s="71"/>
      <c r="L966" s="71"/>
      <c r="M966" s="71"/>
    </row>
    <row r="967" customFormat="false" ht="15" hidden="false" customHeight="false" outlineLevel="0" collapsed="false">
      <c r="B967" s="70"/>
      <c r="C967" s="71"/>
      <c r="D967" s="71"/>
      <c r="E967" s="71"/>
      <c r="F967" s="71"/>
      <c r="G967" s="72"/>
      <c r="J967" s="71"/>
      <c r="K967" s="71"/>
      <c r="L967" s="71"/>
      <c r="M967" s="71"/>
    </row>
    <row r="968" customFormat="false" ht="15" hidden="false" customHeight="false" outlineLevel="0" collapsed="false">
      <c r="B968" s="70"/>
      <c r="C968" s="71"/>
      <c r="D968" s="71"/>
      <c r="E968" s="71"/>
      <c r="F968" s="71"/>
      <c r="G968" s="72"/>
      <c r="J968" s="71"/>
      <c r="K968" s="71"/>
      <c r="L968" s="71"/>
      <c r="M968" s="71"/>
    </row>
    <row r="969" customFormat="false" ht="15" hidden="false" customHeight="false" outlineLevel="0" collapsed="false">
      <c r="B969" s="70"/>
      <c r="C969" s="71"/>
      <c r="D969" s="71"/>
      <c r="E969" s="71"/>
      <c r="F969" s="71"/>
      <c r="G969" s="72"/>
      <c r="J969" s="71"/>
      <c r="K969" s="71"/>
      <c r="L969" s="71"/>
      <c r="M969" s="71"/>
    </row>
    <row r="970" customFormat="false" ht="15" hidden="false" customHeight="false" outlineLevel="0" collapsed="false">
      <c r="B970" s="70"/>
      <c r="C970" s="71"/>
      <c r="D970" s="71"/>
      <c r="E970" s="71"/>
      <c r="F970" s="71"/>
      <c r="G970" s="72"/>
      <c r="J970" s="71"/>
      <c r="K970" s="71"/>
      <c r="L970" s="71"/>
      <c r="M970" s="71"/>
    </row>
    <row r="971" customFormat="false" ht="15" hidden="false" customHeight="false" outlineLevel="0" collapsed="false">
      <c r="B971" s="70"/>
      <c r="C971" s="71"/>
      <c r="D971" s="71"/>
      <c r="E971" s="71"/>
      <c r="F971" s="71"/>
      <c r="G971" s="72"/>
      <c r="J971" s="71"/>
      <c r="K971" s="71"/>
      <c r="L971" s="71"/>
      <c r="M971" s="71"/>
    </row>
    <row r="972" customFormat="false" ht="15" hidden="false" customHeight="false" outlineLevel="0" collapsed="false">
      <c r="B972" s="70"/>
      <c r="C972" s="71"/>
      <c r="D972" s="71"/>
      <c r="E972" s="71"/>
      <c r="F972" s="71"/>
      <c r="G972" s="72"/>
      <c r="J972" s="71"/>
      <c r="K972" s="71"/>
      <c r="L972" s="71"/>
      <c r="M972" s="71"/>
    </row>
    <row r="973" customFormat="false" ht="15" hidden="false" customHeight="false" outlineLevel="0" collapsed="false">
      <c r="B973" s="70"/>
      <c r="C973" s="71"/>
      <c r="D973" s="71"/>
      <c r="E973" s="71"/>
      <c r="F973" s="71"/>
      <c r="G973" s="72"/>
      <c r="J973" s="71"/>
      <c r="K973" s="71"/>
      <c r="L973" s="71"/>
      <c r="M973" s="71"/>
    </row>
    <row r="974" customFormat="false" ht="15" hidden="false" customHeight="false" outlineLevel="0" collapsed="false">
      <c r="B974" s="70"/>
      <c r="C974" s="71"/>
      <c r="D974" s="71"/>
      <c r="E974" s="71"/>
      <c r="F974" s="71"/>
      <c r="G974" s="72"/>
      <c r="J974" s="71"/>
      <c r="K974" s="71"/>
      <c r="L974" s="71"/>
      <c r="M974" s="71"/>
    </row>
    <row r="975" customFormat="false" ht="15" hidden="false" customHeight="false" outlineLevel="0" collapsed="false">
      <c r="B975" s="70"/>
      <c r="C975" s="71"/>
      <c r="D975" s="71"/>
      <c r="E975" s="71"/>
      <c r="F975" s="71"/>
      <c r="G975" s="72"/>
      <c r="J975" s="71"/>
      <c r="K975" s="71"/>
      <c r="L975" s="71"/>
      <c r="M975" s="71"/>
    </row>
    <row r="976" customFormat="false" ht="15" hidden="false" customHeight="false" outlineLevel="0" collapsed="false">
      <c r="B976" s="70"/>
      <c r="C976" s="71"/>
      <c r="D976" s="71"/>
      <c r="E976" s="71"/>
      <c r="F976" s="71"/>
      <c r="G976" s="72"/>
      <c r="J976" s="71"/>
      <c r="K976" s="71"/>
      <c r="L976" s="71"/>
      <c r="M976" s="71"/>
    </row>
    <row r="977" customFormat="false" ht="15" hidden="false" customHeight="false" outlineLevel="0" collapsed="false">
      <c r="B977" s="70"/>
      <c r="C977" s="71"/>
      <c r="D977" s="71"/>
      <c r="E977" s="71"/>
      <c r="F977" s="71"/>
      <c r="G977" s="72"/>
      <c r="J977" s="71"/>
      <c r="K977" s="71"/>
      <c r="L977" s="71"/>
      <c r="M977" s="71"/>
    </row>
    <row r="978" customFormat="false" ht="15" hidden="false" customHeight="false" outlineLevel="0" collapsed="false">
      <c r="B978" s="70"/>
      <c r="C978" s="71"/>
      <c r="D978" s="71"/>
      <c r="E978" s="71"/>
      <c r="F978" s="71"/>
      <c r="G978" s="72"/>
      <c r="J978" s="71"/>
      <c r="K978" s="71"/>
      <c r="L978" s="71"/>
      <c r="M978" s="71"/>
    </row>
    <row r="979" customFormat="false" ht="15" hidden="false" customHeight="false" outlineLevel="0" collapsed="false">
      <c r="B979" s="70"/>
      <c r="C979" s="71"/>
      <c r="D979" s="71"/>
      <c r="E979" s="71"/>
      <c r="F979" s="71"/>
      <c r="G979" s="72"/>
      <c r="J979" s="71"/>
      <c r="K979" s="71"/>
      <c r="L979" s="71"/>
      <c r="M979" s="71"/>
    </row>
    <row r="980" customFormat="false" ht="15" hidden="false" customHeight="false" outlineLevel="0" collapsed="false">
      <c r="B980" s="70"/>
      <c r="C980" s="71"/>
      <c r="D980" s="71"/>
      <c r="E980" s="71"/>
      <c r="F980" s="71"/>
      <c r="G980" s="72"/>
      <c r="J980" s="71"/>
      <c r="K980" s="71"/>
      <c r="L980" s="71"/>
      <c r="M980" s="71"/>
    </row>
    <row r="981" customFormat="false" ht="15" hidden="false" customHeight="false" outlineLevel="0" collapsed="false">
      <c r="B981" s="70"/>
      <c r="C981" s="71"/>
      <c r="D981" s="71"/>
      <c r="E981" s="71"/>
      <c r="F981" s="71"/>
      <c r="G981" s="72"/>
      <c r="J981" s="71"/>
      <c r="K981" s="71"/>
      <c r="L981" s="71"/>
      <c r="M981" s="71"/>
    </row>
    <row r="982" customFormat="false" ht="15" hidden="false" customHeight="false" outlineLevel="0" collapsed="false">
      <c r="B982" s="70"/>
      <c r="C982" s="71"/>
      <c r="D982" s="71"/>
      <c r="E982" s="71"/>
      <c r="F982" s="71"/>
      <c r="G982" s="72"/>
      <c r="J982" s="71"/>
      <c r="K982" s="71"/>
      <c r="L982" s="71"/>
      <c r="M982" s="71"/>
    </row>
    <row r="983" customFormat="false" ht="15" hidden="false" customHeight="false" outlineLevel="0" collapsed="false">
      <c r="B983" s="70"/>
      <c r="C983" s="71"/>
      <c r="D983" s="71"/>
      <c r="E983" s="71"/>
      <c r="F983" s="71"/>
      <c r="G983" s="72"/>
      <c r="J983" s="71"/>
      <c r="K983" s="71"/>
      <c r="L983" s="71"/>
      <c r="M983" s="71"/>
    </row>
    <row r="984" customFormat="false" ht="15" hidden="false" customHeight="false" outlineLevel="0" collapsed="false">
      <c r="B984" s="70"/>
      <c r="C984" s="71"/>
      <c r="D984" s="71"/>
      <c r="E984" s="71"/>
      <c r="F984" s="71"/>
      <c r="G984" s="72"/>
      <c r="J984" s="71"/>
      <c r="K984" s="71"/>
      <c r="L984" s="71"/>
      <c r="M984" s="71"/>
    </row>
    <row r="985" customFormat="false" ht="15" hidden="false" customHeight="false" outlineLevel="0" collapsed="false">
      <c r="B985" s="70"/>
      <c r="C985" s="71"/>
      <c r="D985" s="71"/>
      <c r="E985" s="71"/>
      <c r="F985" s="71"/>
      <c r="G985" s="72"/>
      <c r="J985" s="71"/>
      <c r="K985" s="71"/>
      <c r="L985" s="71"/>
      <c r="M985" s="71"/>
    </row>
    <row r="986" customFormat="false" ht="15" hidden="false" customHeight="false" outlineLevel="0" collapsed="false">
      <c r="B986" s="70"/>
      <c r="C986" s="71"/>
      <c r="D986" s="71"/>
      <c r="E986" s="71"/>
      <c r="F986" s="71"/>
      <c r="G986" s="72"/>
      <c r="J986" s="71"/>
      <c r="K986" s="71"/>
      <c r="L986" s="71"/>
      <c r="M986" s="71"/>
    </row>
    <row r="987" customFormat="false" ht="15" hidden="false" customHeight="false" outlineLevel="0" collapsed="false">
      <c r="B987" s="70"/>
      <c r="C987" s="71"/>
      <c r="D987" s="71"/>
      <c r="E987" s="71"/>
      <c r="F987" s="71"/>
      <c r="G987" s="72"/>
      <c r="J987" s="71"/>
      <c r="K987" s="71"/>
      <c r="L987" s="71"/>
      <c r="M987" s="71"/>
    </row>
    <row r="988" customFormat="false" ht="15" hidden="false" customHeight="false" outlineLevel="0" collapsed="false">
      <c r="B988" s="70"/>
      <c r="C988" s="71"/>
      <c r="D988" s="71"/>
      <c r="E988" s="71"/>
      <c r="F988" s="71"/>
      <c r="G988" s="72"/>
      <c r="J988" s="71"/>
      <c r="K988" s="71"/>
      <c r="L988" s="71"/>
      <c r="M988" s="71"/>
    </row>
    <row r="989" customFormat="false" ht="15" hidden="false" customHeight="false" outlineLevel="0" collapsed="false">
      <c r="B989" s="70"/>
      <c r="C989" s="71"/>
      <c r="D989" s="71"/>
      <c r="E989" s="71"/>
      <c r="F989" s="71"/>
      <c r="G989" s="72"/>
      <c r="J989" s="71"/>
      <c r="K989" s="71"/>
      <c r="L989" s="71"/>
      <c r="M989" s="71"/>
    </row>
    <row r="990" customFormat="false" ht="15" hidden="false" customHeight="false" outlineLevel="0" collapsed="false">
      <c r="B990" s="70"/>
      <c r="C990" s="71"/>
      <c r="D990" s="71"/>
      <c r="E990" s="71"/>
      <c r="F990" s="71"/>
      <c r="G990" s="72"/>
      <c r="J990" s="71"/>
      <c r="K990" s="71"/>
      <c r="L990" s="71"/>
      <c r="M990" s="71"/>
    </row>
    <row r="991" customFormat="false" ht="15" hidden="false" customHeight="false" outlineLevel="0" collapsed="false">
      <c r="B991" s="70"/>
      <c r="C991" s="71"/>
      <c r="D991" s="71"/>
      <c r="E991" s="71"/>
      <c r="F991" s="71"/>
      <c r="G991" s="72"/>
      <c r="J991" s="71"/>
      <c r="K991" s="71"/>
      <c r="L991" s="71"/>
      <c r="M991" s="71"/>
    </row>
    <row r="992" customFormat="false" ht="15" hidden="false" customHeight="false" outlineLevel="0" collapsed="false">
      <c r="B992" s="70"/>
      <c r="C992" s="71"/>
      <c r="D992" s="71"/>
      <c r="E992" s="71"/>
      <c r="F992" s="71"/>
      <c r="G992" s="72"/>
      <c r="J992" s="71"/>
      <c r="K992" s="71"/>
      <c r="L992" s="71"/>
      <c r="M992" s="71"/>
    </row>
    <row r="993" customFormat="false" ht="15" hidden="false" customHeight="false" outlineLevel="0" collapsed="false">
      <c r="B993" s="70"/>
      <c r="C993" s="71"/>
      <c r="D993" s="71"/>
      <c r="E993" s="71"/>
      <c r="F993" s="71"/>
      <c r="G993" s="72"/>
      <c r="J993" s="71"/>
      <c r="K993" s="71"/>
      <c r="L993" s="71"/>
      <c r="M993" s="71"/>
    </row>
    <row r="994" customFormat="false" ht="15" hidden="false" customHeight="false" outlineLevel="0" collapsed="false">
      <c r="B994" s="70"/>
      <c r="C994" s="71"/>
      <c r="D994" s="71"/>
      <c r="E994" s="71"/>
      <c r="F994" s="71"/>
      <c r="G994" s="72"/>
      <c r="J994" s="71"/>
      <c r="K994" s="71"/>
      <c r="L994" s="71"/>
      <c r="M994" s="71"/>
    </row>
    <row r="995" customFormat="false" ht="15" hidden="false" customHeight="false" outlineLevel="0" collapsed="false">
      <c r="B995" s="70"/>
      <c r="C995" s="71"/>
      <c r="D995" s="71"/>
      <c r="E995" s="71"/>
      <c r="F995" s="71"/>
      <c r="G995" s="72"/>
      <c r="J995" s="71"/>
      <c r="K995" s="71"/>
      <c r="L995" s="71"/>
      <c r="M995" s="71"/>
    </row>
    <row r="996" customFormat="false" ht="15" hidden="false" customHeight="false" outlineLevel="0" collapsed="false">
      <c r="B996" s="70"/>
      <c r="C996" s="71"/>
      <c r="D996" s="71"/>
      <c r="E996" s="71"/>
      <c r="F996" s="71"/>
      <c r="G996" s="72"/>
      <c r="J996" s="71"/>
      <c r="K996" s="71"/>
      <c r="L996" s="71"/>
      <c r="M996" s="71"/>
    </row>
    <row r="997" customFormat="false" ht="15" hidden="false" customHeight="false" outlineLevel="0" collapsed="false">
      <c r="B997" s="70"/>
      <c r="C997" s="71"/>
      <c r="D997" s="71"/>
      <c r="E997" s="71"/>
      <c r="F997" s="71"/>
      <c r="G997" s="72"/>
      <c r="J997" s="71"/>
      <c r="K997" s="71"/>
      <c r="L997" s="71"/>
      <c r="M997" s="71"/>
    </row>
    <row r="998" customFormat="false" ht="15" hidden="false" customHeight="false" outlineLevel="0" collapsed="false">
      <c r="B998" s="70"/>
      <c r="C998" s="71"/>
      <c r="D998" s="71"/>
      <c r="E998" s="71"/>
      <c r="F998" s="71"/>
      <c r="G998" s="72"/>
      <c r="J998" s="71"/>
      <c r="K998" s="71"/>
      <c r="L998" s="71"/>
      <c r="M998" s="71"/>
    </row>
    <row r="999" customFormat="false" ht="15" hidden="false" customHeight="false" outlineLevel="0" collapsed="false">
      <c r="B999" s="70"/>
      <c r="C999" s="71"/>
      <c r="D999" s="71"/>
      <c r="E999" s="71"/>
      <c r="F999" s="71"/>
      <c r="G999" s="72"/>
      <c r="J999" s="71"/>
      <c r="K999" s="71"/>
      <c r="L999" s="71"/>
      <c r="M999" s="71"/>
    </row>
    <row r="1000" customFormat="false" ht="15" hidden="false" customHeight="false" outlineLevel="0" collapsed="false">
      <c r="B1000" s="70"/>
      <c r="C1000" s="71"/>
      <c r="D1000" s="71"/>
      <c r="E1000" s="71"/>
      <c r="F1000" s="71"/>
      <c r="G1000" s="72"/>
      <c r="J1000" s="71"/>
      <c r="K1000" s="71"/>
      <c r="L1000" s="71"/>
      <c r="M1000" s="71"/>
    </row>
    <row r="1001" customFormat="false" ht="15" hidden="false" customHeight="false" outlineLevel="0" collapsed="false">
      <c r="B1001" s="70"/>
      <c r="C1001" s="71"/>
      <c r="D1001" s="71"/>
      <c r="E1001" s="71"/>
      <c r="F1001" s="71"/>
      <c r="G1001" s="72"/>
      <c r="J1001" s="71"/>
      <c r="K1001" s="71"/>
      <c r="L1001" s="71"/>
      <c r="M1001" s="71"/>
    </row>
    <row r="1002" customFormat="false" ht="15" hidden="false" customHeight="false" outlineLevel="0" collapsed="false">
      <c r="B1002" s="70"/>
      <c r="C1002" s="71"/>
      <c r="D1002" s="71"/>
      <c r="E1002" s="71"/>
      <c r="F1002" s="71"/>
      <c r="G1002" s="72"/>
      <c r="J1002" s="71"/>
      <c r="K1002" s="71"/>
      <c r="L1002" s="71"/>
      <c r="M1002" s="71"/>
    </row>
    <row r="1003" customFormat="false" ht="15" hidden="false" customHeight="false" outlineLevel="0" collapsed="false">
      <c r="B1003" s="70"/>
      <c r="C1003" s="71"/>
      <c r="D1003" s="71"/>
      <c r="E1003" s="71"/>
      <c r="F1003" s="71"/>
      <c r="G1003" s="72"/>
      <c r="J1003" s="71"/>
      <c r="K1003" s="71"/>
      <c r="L1003" s="71"/>
      <c r="M1003" s="71"/>
    </row>
    <row r="1004" customFormat="false" ht="15" hidden="false" customHeight="false" outlineLevel="0" collapsed="false">
      <c r="B1004" s="70"/>
      <c r="C1004" s="71"/>
      <c r="D1004" s="71"/>
      <c r="E1004" s="71"/>
      <c r="F1004" s="71"/>
      <c r="G1004" s="72"/>
      <c r="J1004" s="71"/>
      <c r="K1004" s="71"/>
      <c r="L1004" s="71"/>
      <c r="M1004" s="71"/>
    </row>
    <row r="1005" customFormat="false" ht="15" hidden="false" customHeight="false" outlineLevel="0" collapsed="false">
      <c r="B1005" s="70"/>
      <c r="C1005" s="71"/>
      <c r="D1005" s="71"/>
      <c r="E1005" s="71"/>
      <c r="F1005" s="71"/>
      <c r="G1005" s="72"/>
      <c r="J1005" s="71"/>
      <c r="K1005" s="71"/>
      <c r="L1005" s="71"/>
      <c r="M1005" s="71"/>
    </row>
    <row r="1006" customFormat="false" ht="15" hidden="false" customHeight="false" outlineLevel="0" collapsed="false">
      <c r="B1006" s="70"/>
      <c r="C1006" s="71"/>
      <c r="D1006" s="71"/>
      <c r="E1006" s="71"/>
      <c r="F1006" s="71"/>
      <c r="G1006" s="72"/>
      <c r="J1006" s="71"/>
      <c r="K1006" s="71"/>
      <c r="L1006" s="71"/>
      <c r="M1006" s="71"/>
    </row>
    <row r="1007" customFormat="false" ht="15" hidden="false" customHeight="false" outlineLevel="0" collapsed="false">
      <c r="B1007" s="70"/>
      <c r="C1007" s="71"/>
      <c r="D1007" s="71"/>
      <c r="E1007" s="71"/>
      <c r="F1007" s="71"/>
      <c r="G1007" s="72"/>
      <c r="J1007" s="71"/>
      <c r="K1007" s="71"/>
      <c r="L1007" s="71"/>
      <c r="M1007" s="71"/>
    </row>
    <row r="1008" customFormat="false" ht="15" hidden="false" customHeight="false" outlineLevel="0" collapsed="false">
      <c r="B1008" s="70"/>
      <c r="C1008" s="71"/>
      <c r="D1008" s="71"/>
      <c r="E1008" s="71"/>
      <c r="F1008" s="71"/>
      <c r="G1008" s="72"/>
      <c r="J1008" s="71"/>
      <c r="K1008" s="71"/>
      <c r="L1008" s="71"/>
      <c r="M1008" s="71"/>
    </row>
    <row r="1009" customFormat="false" ht="15" hidden="false" customHeight="false" outlineLevel="0" collapsed="false">
      <c r="B1009" s="70"/>
      <c r="C1009" s="71"/>
      <c r="D1009" s="71"/>
      <c r="E1009" s="71"/>
      <c r="F1009" s="71"/>
      <c r="G1009" s="72"/>
      <c r="J1009" s="71"/>
      <c r="K1009" s="71"/>
      <c r="L1009" s="71"/>
      <c r="M1009" s="71"/>
    </row>
    <row r="1010" customFormat="false" ht="15" hidden="false" customHeight="false" outlineLevel="0" collapsed="false">
      <c r="B1010" s="70"/>
      <c r="C1010" s="71"/>
      <c r="D1010" s="71"/>
      <c r="E1010" s="71"/>
      <c r="F1010" s="71"/>
      <c r="G1010" s="72"/>
      <c r="J1010" s="71"/>
      <c r="K1010" s="71"/>
      <c r="L1010" s="71"/>
      <c r="M1010" s="71"/>
    </row>
    <row r="1011" customFormat="false" ht="15" hidden="false" customHeight="false" outlineLevel="0" collapsed="false">
      <c r="B1011" s="70"/>
      <c r="C1011" s="71"/>
      <c r="D1011" s="71"/>
      <c r="E1011" s="71"/>
      <c r="F1011" s="71"/>
      <c r="G1011" s="72"/>
      <c r="J1011" s="71"/>
      <c r="K1011" s="71"/>
      <c r="L1011" s="71"/>
      <c r="M1011" s="71"/>
    </row>
    <row r="1012" customFormat="false" ht="15" hidden="false" customHeight="false" outlineLevel="0" collapsed="false">
      <c r="B1012" s="70"/>
      <c r="C1012" s="71"/>
      <c r="D1012" s="71"/>
      <c r="E1012" s="71"/>
      <c r="F1012" s="71"/>
      <c r="G1012" s="72"/>
      <c r="J1012" s="71"/>
      <c r="K1012" s="71"/>
      <c r="L1012" s="71"/>
      <c r="M1012" s="71"/>
    </row>
    <row r="1013" customFormat="false" ht="15" hidden="false" customHeight="false" outlineLevel="0" collapsed="false">
      <c r="B1013" s="70"/>
      <c r="C1013" s="71"/>
      <c r="D1013" s="71"/>
      <c r="E1013" s="71"/>
      <c r="F1013" s="71"/>
      <c r="G1013" s="72"/>
      <c r="J1013" s="71"/>
      <c r="K1013" s="71"/>
      <c r="L1013" s="71"/>
      <c r="M1013" s="71"/>
    </row>
    <row r="1014" customFormat="false" ht="15" hidden="false" customHeight="false" outlineLevel="0" collapsed="false">
      <c r="B1014" s="70"/>
      <c r="C1014" s="71"/>
      <c r="D1014" s="71"/>
      <c r="E1014" s="71"/>
      <c r="F1014" s="71"/>
      <c r="G1014" s="72"/>
      <c r="J1014" s="71"/>
      <c r="K1014" s="71"/>
      <c r="L1014" s="71"/>
      <c r="M1014" s="71"/>
    </row>
    <row r="1015" customFormat="false" ht="15" hidden="false" customHeight="false" outlineLevel="0" collapsed="false">
      <c r="B1015" s="70"/>
      <c r="C1015" s="71"/>
      <c r="D1015" s="71"/>
      <c r="E1015" s="71"/>
      <c r="F1015" s="71"/>
      <c r="G1015" s="72"/>
      <c r="J1015" s="71"/>
      <c r="K1015" s="71"/>
      <c r="L1015" s="71"/>
      <c r="M1015" s="71"/>
    </row>
    <row r="1016" customFormat="false" ht="15" hidden="false" customHeight="false" outlineLevel="0" collapsed="false">
      <c r="B1016" s="70"/>
      <c r="C1016" s="71"/>
      <c r="D1016" s="71"/>
      <c r="E1016" s="71"/>
      <c r="F1016" s="71"/>
      <c r="G1016" s="72"/>
      <c r="J1016" s="71"/>
      <c r="K1016" s="71"/>
      <c r="L1016" s="71"/>
      <c r="M1016" s="71"/>
    </row>
    <row r="1017" customFormat="false" ht="15" hidden="false" customHeight="false" outlineLevel="0" collapsed="false">
      <c r="B1017" s="70"/>
      <c r="C1017" s="71"/>
      <c r="D1017" s="71"/>
      <c r="E1017" s="71"/>
      <c r="F1017" s="71"/>
      <c r="G1017" s="72"/>
      <c r="J1017" s="71"/>
      <c r="K1017" s="71"/>
      <c r="L1017" s="71"/>
      <c r="M1017" s="71"/>
    </row>
    <row r="1018" customFormat="false" ht="15" hidden="false" customHeight="false" outlineLevel="0" collapsed="false">
      <c r="B1018" s="70"/>
      <c r="C1018" s="71"/>
      <c r="D1018" s="71"/>
      <c r="E1018" s="71"/>
      <c r="F1018" s="71"/>
      <c r="G1018" s="72"/>
      <c r="J1018" s="71"/>
      <c r="K1018" s="71"/>
      <c r="L1018" s="71"/>
      <c r="M1018" s="71"/>
    </row>
    <row r="1019" customFormat="false" ht="15" hidden="false" customHeight="false" outlineLevel="0" collapsed="false">
      <c r="B1019" s="70"/>
      <c r="C1019" s="71"/>
      <c r="D1019" s="71"/>
      <c r="E1019" s="71"/>
      <c r="F1019" s="71"/>
      <c r="G1019" s="72"/>
      <c r="J1019" s="71"/>
      <c r="K1019" s="71"/>
      <c r="L1019" s="71"/>
      <c r="M1019" s="71"/>
    </row>
    <row r="1020" customFormat="false" ht="15" hidden="false" customHeight="false" outlineLevel="0" collapsed="false">
      <c r="B1020" s="70"/>
      <c r="C1020" s="71"/>
      <c r="D1020" s="71"/>
      <c r="E1020" s="71"/>
      <c r="F1020" s="71"/>
      <c r="G1020" s="72"/>
      <c r="J1020" s="71"/>
      <c r="K1020" s="71"/>
      <c r="L1020" s="71"/>
      <c r="M1020" s="71"/>
    </row>
    <row r="1021" customFormat="false" ht="15" hidden="false" customHeight="false" outlineLevel="0" collapsed="false">
      <c r="B1021" s="70"/>
      <c r="C1021" s="71"/>
      <c r="D1021" s="71"/>
      <c r="E1021" s="71"/>
      <c r="F1021" s="71"/>
      <c r="G1021" s="72"/>
      <c r="J1021" s="71"/>
      <c r="K1021" s="71"/>
      <c r="L1021" s="71"/>
      <c r="M1021" s="71"/>
    </row>
    <row r="1022" customFormat="false" ht="15" hidden="false" customHeight="false" outlineLevel="0" collapsed="false">
      <c r="B1022" s="70"/>
      <c r="C1022" s="71"/>
      <c r="D1022" s="71"/>
      <c r="E1022" s="71"/>
      <c r="F1022" s="71"/>
      <c r="G1022" s="72"/>
      <c r="J1022" s="71"/>
      <c r="K1022" s="71"/>
      <c r="L1022" s="71"/>
      <c r="M1022" s="71"/>
    </row>
    <row r="1023" customFormat="false" ht="15" hidden="false" customHeight="false" outlineLevel="0" collapsed="false">
      <c r="B1023" s="70"/>
      <c r="C1023" s="71"/>
      <c r="D1023" s="71"/>
      <c r="E1023" s="71"/>
      <c r="F1023" s="71"/>
      <c r="G1023" s="72"/>
      <c r="J1023" s="71"/>
      <c r="K1023" s="71"/>
      <c r="L1023" s="71"/>
      <c r="M1023" s="71"/>
    </row>
    <row r="1024" customFormat="false" ht="15" hidden="false" customHeight="false" outlineLevel="0" collapsed="false">
      <c r="B1024" s="70"/>
      <c r="C1024" s="71"/>
      <c r="D1024" s="71"/>
      <c r="E1024" s="71"/>
      <c r="F1024" s="71"/>
      <c r="G1024" s="72"/>
      <c r="J1024" s="71"/>
      <c r="K1024" s="71"/>
      <c r="L1024" s="71"/>
      <c r="M1024" s="71"/>
    </row>
    <row r="1025" customFormat="false" ht="15" hidden="false" customHeight="false" outlineLevel="0" collapsed="false">
      <c r="B1025" s="70"/>
      <c r="C1025" s="71"/>
      <c r="D1025" s="71"/>
      <c r="E1025" s="71"/>
      <c r="F1025" s="71"/>
      <c r="G1025" s="72"/>
      <c r="J1025" s="71"/>
      <c r="K1025" s="71"/>
      <c r="L1025" s="71"/>
      <c r="M1025" s="71"/>
    </row>
    <row r="1026" customFormat="false" ht="15" hidden="false" customHeight="false" outlineLevel="0" collapsed="false">
      <c r="B1026" s="70"/>
      <c r="C1026" s="71"/>
      <c r="D1026" s="71"/>
      <c r="E1026" s="71"/>
      <c r="F1026" s="71"/>
      <c r="G1026" s="72"/>
      <c r="J1026" s="71"/>
      <c r="K1026" s="71"/>
      <c r="L1026" s="71"/>
      <c r="M1026" s="71"/>
    </row>
    <row r="1027" customFormat="false" ht="15" hidden="false" customHeight="false" outlineLevel="0" collapsed="false">
      <c r="B1027" s="70"/>
      <c r="C1027" s="71"/>
      <c r="D1027" s="71"/>
      <c r="E1027" s="71"/>
      <c r="F1027" s="71"/>
      <c r="G1027" s="72"/>
      <c r="J1027" s="71"/>
      <c r="K1027" s="71"/>
      <c r="L1027" s="71"/>
      <c r="M1027" s="71"/>
    </row>
    <row r="1028" customFormat="false" ht="15" hidden="false" customHeight="false" outlineLevel="0" collapsed="false">
      <c r="B1028" s="70"/>
      <c r="C1028" s="71"/>
      <c r="D1028" s="71"/>
      <c r="E1028" s="71"/>
      <c r="F1028" s="71"/>
      <c r="G1028" s="72"/>
      <c r="J1028" s="71"/>
      <c r="K1028" s="71"/>
      <c r="L1028" s="71"/>
      <c r="M1028" s="71"/>
    </row>
    <row r="1029" customFormat="false" ht="15" hidden="false" customHeight="false" outlineLevel="0" collapsed="false">
      <c r="B1029" s="70"/>
      <c r="C1029" s="71"/>
      <c r="D1029" s="71"/>
      <c r="E1029" s="71"/>
      <c r="F1029" s="71"/>
      <c r="G1029" s="72"/>
      <c r="J1029" s="71"/>
      <c r="K1029" s="71"/>
      <c r="L1029" s="71"/>
      <c r="M1029" s="71"/>
    </row>
    <row r="1030" customFormat="false" ht="15" hidden="false" customHeight="false" outlineLevel="0" collapsed="false">
      <c r="B1030" s="70"/>
      <c r="C1030" s="71"/>
      <c r="D1030" s="71"/>
      <c r="E1030" s="71"/>
      <c r="F1030" s="71"/>
      <c r="G1030" s="72"/>
      <c r="J1030" s="71"/>
      <c r="K1030" s="71"/>
      <c r="L1030" s="71"/>
      <c r="M1030" s="71"/>
    </row>
    <row r="1031" customFormat="false" ht="15" hidden="false" customHeight="false" outlineLevel="0" collapsed="false">
      <c r="B1031" s="70"/>
      <c r="C1031" s="71"/>
      <c r="D1031" s="71"/>
      <c r="E1031" s="71"/>
      <c r="F1031" s="71"/>
      <c r="G1031" s="72"/>
      <c r="J1031" s="71"/>
      <c r="K1031" s="71"/>
      <c r="L1031" s="71"/>
      <c r="M1031" s="71"/>
    </row>
    <row r="1032" customFormat="false" ht="15" hidden="false" customHeight="false" outlineLevel="0" collapsed="false">
      <c r="B1032" s="70"/>
      <c r="C1032" s="71"/>
      <c r="D1032" s="71"/>
      <c r="E1032" s="71"/>
      <c r="F1032" s="71"/>
      <c r="G1032" s="72"/>
      <c r="J1032" s="71"/>
      <c r="K1032" s="71"/>
      <c r="L1032" s="71"/>
      <c r="M1032" s="71"/>
    </row>
    <row r="1033" customFormat="false" ht="15" hidden="false" customHeight="false" outlineLevel="0" collapsed="false">
      <c r="B1033" s="70"/>
      <c r="C1033" s="71"/>
      <c r="D1033" s="71"/>
      <c r="E1033" s="71"/>
      <c r="F1033" s="71"/>
      <c r="G1033" s="72"/>
      <c r="J1033" s="71"/>
      <c r="K1033" s="71"/>
      <c r="L1033" s="71"/>
      <c r="M1033" s="71"/>
    </row>
    <row r="1034" customFormat="false" ht="15" hidden="false" customHeight="false" outlineLevel="0" collapsed="false">
      <c r="B1034" s="70"/>
      <c r="C1034" s="71"/>
      <c r="D1034" s="71"/>
      <c r="E1034" s="71"/>
      <c r="F1034" s="71"/>
      <c r="G1034" s="72"/>
      <c r="J1034" s="71"/>
      <c r="K1034" s="71"/>
      <c r="L1034" s="71"/>
      <c r="M1034" s="71"/>
    </row>
    <row r="1035" customFormat="false" ht="15" hidden="false" customHeight="false" outlineLevel="0" collapsed="false">
      <c r="B1035" s="70"/>
      <c r="C1035" s="71"/>
      <c r="D1035" s="71"/>
      <c r="E1035" s="71"/>
      <c r="F1035" s="71"/>
      <c r="G1035" s="72"/>
      <c r="J1035" s="71"/>
      <c r="K1035" s="71"/>
      <c r="L1035" s="71"/>
      <c r="M1035" s="71"/>
    </row>
    <row r="1036" customFormat="false" ht="15" hidden="false" customHeight="false" outlineLevel="0" collapsed="false">
      <c r="B1036" s="70"/>
      <c r="C1036" s="71"/>
      <c r="D1036" s="71"/>
      <c r="E1036" s="71"/>
      <c r="F1036" s="71"/>
      <c r="G1036" s="72"/>
      <c r="J1036" s="71"/>
      <c r="K1036" s="71"/>
      <c r="L1036" s="71"/>
      <c r="M1036" s="71"/>
    </row>
    <row r="1037" customFormat="false" ht="15" hidden="false" customHeight="false" outlineLevel="0" collapsed="false">
      <c r="B1037" s="70"/>
      <c r="C1037" s="71"/>
      <c r="D1037" s="71"/>
      <c r="E1037" s="71"/>
      <c r="F1037" s="71"/>
      <c r="G1037" s="72"/>
      <c r="J1037" s="71"/>
      <c r="K1037" s="71"/>
      <c r="L1037" s="71"/>
      <c r="M1037" s="71"/>
    </row>
    <row r="1038" customFormat="false" ht="15" hidden="false" customHeight="false" outlineLevel="0" collapsed="false">
      <c r="B1038" s="70"/>
      <c r="C1038" s="71"/>
      <c r="D1038" s="71"/>
      <c r="E1038" s="71"/>
      <c r="F1038" s="71"/>
      <c r="G1038" s="72"/>
      <c r="J1038" s="71"/>
      <c r="K1038" s="71"/>
      <c r="L1038" s="71"/>
      <c r="M1038" s="71"/>
    </row>
    <row r="1039" customFormat="false" ht="15" hidden="false" customHeight="false" outlineLevel="0" collapsed="false">
      <c r="B1039" s="70"/>
      <c r="C1039" s="71"/>
      <c r="D1039" s="71"/>
      <c r="E1039" s="71"/>
      <c r="F1039" s="71"/>
      <c r="G1039" s="72"/>
      <c r="J1039" s="71"/>
      <c r="K1039" s="71"/>
      <c r="L1039" s="71"/>
      <c r="M1039" s="71"/>
    </row>
    <row r="1040" customFormat="false" ht="15" hidden="false" customHeight="false" outlineLevel="0" collapsed="false">
      <c r="B1040" s="70"/>
      <c r="C1040" s="71"/>
      <c r="D1040" s="71"/>
      <c r="E1040" s="71"/>
      <c r="F1040" s="71"/>
      <c r="G1040" s="72"/>
      <c r="J1040" s="71"/>
      <c r="K1040" s="71"/>
      <c r="L1040" s="71"/>
      <c r="M1040" s="71"/>
    </row>
    <row r="1041" customFormat="false" ht="15" hidden="false" customHeight="false" outlineLevel="0" collapsed="false">
      <c r="B1041" s="70"/>
      <c r="C1041" s="71"/>
      <c r="D1041" s="71"/>
      <c r="E1041" s="71"/>
      <c r="F1041" s="71"/>
      <c r="G1041" s="72"/>
      <c r="J1041" s="71"/>
      <c r="K1041" s="71"/>
      <c r="L1041" s="71"/>
      <c r="M1041" s="71"/>
    </row>
    <row r="1042" customFormat="false" ht="15" hidden="false" customHeight="false" outlineLevel="0" collapsed="false">
      <c r="B1042" s="70"/>
      <c r="C1042" s="71"/>
      <c r="D1042" s="71"/>
      <c r="E1042" s="71"/>
      <c r="F1042" s="71"/>
      <c r="G1042" s="72"/>
      <c r="J1042" s="71"/>
      <c r="K1042" s="71"/>
      <c r="L1042" s="71"/>
      <c r="M1042" s="71"/>
    </row>
    <row r="1043" customFormat="false" ht="15" hidden="false" customHeight="false" outlineLevel="0" collapsed="false">
      <c r="B1043" s="70"/>
      <c r="C1043" s="71"/>
      <c r="D1043" s="71"/>
      <c r="E1043" s="71"/>
      <c r="F1043" s="71"/>
      <c r="G1043" s="72"/>
      <c r="J1043" s="71"/>
      <c r="K1043" s="71"/>
      <c r="L1043" s="71"/>
      <c r="M1043" s="71"/>
    </row>
    <row r="1044" customFormat="false" ht="15" hidden="false" customHeight="false" outlineLevel="0" collapsed="false">
      <c r="B1044" s="70"/>
      <c r="C1044" s="71"/>
      <c r="D1044" s="71"/>
      <c r="E1044" s="71"/>
      <c r="F1044" s="71"/>
      <c r="G1044" s="72"/>
      <c r="J1044" s="71"/>
      <c r="K1044" s="71"/>
      <c r="L1044" s="71"/>
      <c r="M1044" s="71"/>
    </row>
    <row r="1045" customFormat="false" ht="15" hidden="false" customHeight="false" outlineLevel="0" collapsed="false">
      <c r="B1045" s="70"/>
      <c r="C1045" s="71"/>
      <c r="D1045" s="71"/>
      <c r="E1045" s="71"/>
      <c r="F1045" s="71"/>
      <c r="G1045" s="72"/>
      <c r="J1045" s="71"/>
      <c r="K1045" s="71"/>
      <c r="L1045" s="71"/>
      <c r="M1045" s="71"/>
    </row>
    <row r="1046" customFormat="false" ht="15" hidden="false" customHeight="false" outlineLevel="0" collapsed="false">
      <c r="B1046" s="70"/>
      <c r="C1046" s="71"/>
      <c r="D1046" s="71"/>
      <c r="E1046" s="71"/>
      <c r="F1046" s="71"/>
      <c r="G1046" s="72"/>
      <c r="J1046" s="71"/>
      <c r="K1046" s="71"/>
      <c r="L1046" s="71"/>
      <c r="M1046" s="71"/>
    </row>
    <row r="1047" customFormat="false" ht="15" hidden="false" customHeight="false" outlineLevel="0" collapsed="false">
      <c r="B1047" s="70"/>
      <c r="C1047" s="71"/>
      <c r="D1047" s="71"/>
      <c r="E1047" s="71"/>
      <c r="F1047" s="71"/>
      <c r="G1047" s="72"/>
      <c r="J1047" s="71"/>
      <c r="K1047" s="71"/>
      <c r="L1047" s="71"/>
      <c r="M1047" s="71"/>
    </row>
    <row r="1048" customFormat="false" ht="15" hidden="false" customHeight="false" outlineLevel="0" collapsed="false">
      <c r="B1048" s="70"/>
      <c r="C1048" s="71"/>
      <c r="D1048" s="71"/>
      <c r="E1048" s="71"/>
      <c r="F1048" s="71"/>
      <c r="G1048" s="72"/>
      <c r="J1048" s="71"/>
      <c r="K1048" s="71"/>
      <c r="L1048" s="71"/>
      <c r="M1048" s="71"/>
    </row>
    <row r="1049" customFormat="false" ht="15" hidden="false" customHeight="false" outlineLevel="0" collapsed="false">
      <c r="B1049" s="70"/>
      <c r="C1049" s="71"/>
      <c r="D1049" s="71"/>
      <c r="E1049" s="71"/>
      <c r="F1049" s="71"/>
      <c r="G1049" s="72"/>
      <c r="J1049" s="71"/>
      <c r="K1049" s="71"/>
      <c r="L1049" s="71"/>
      <c r="M1049" s="71"/>
    </row>
    <row r="1050" customFormat="false" ht="15" hidden="false" customHeight="false" outlineLevel="0" collapsed="false">
      <c r="B1050" s="70"/>
      <c r="C1050" s="71"/>
      <c r="D1050" s="71"/>
      <c r="E1050" s="71"/>
      <c r="F1050" s="71"/>
      <c r="G1050" s="72"/>
      <c r="J1050" s="71"/>
      <c r="K1050" s="71"/>
      <c r="L1050" s="71"/>
      <c r="M1050" s="71"/>
    </row>
    <row r="1051" customFormat="false" ht="15" hidden="false" customHeight="false" outlineLevel="0" collapsed="false">
      <c r="B1051" s="70"/>
      <c r="C1051" s="71"/>
      <c r="D1051" s="71"/>
      <c r="E1051" s="71"/>
      <c r="F1051" s="71"/>
      <c r="G1051" s="72"/>
      <c r="J1051" s="71"/>
      <c r="K1051" s="71"/>
      <c r="L1051" s="71"/>
      <c r="M1051" s="71"/>
    </row>
    <row r="1052" customFormat="false" ht="15" hidden="false" customHeight="false" outlineLevel="0" collapsed="false">
      <c r="B1052" s="70"/>
      <c r="C1052" s="71"/>
      <c r="D1052" s="71"/>
      <c r="E1052" s="71"/>
      <c r="F1052" s="71"/>
      <c r="G1052" s="72"/>
      <c r="J1052" s="71"/>
      <c r="K1052" s="71"/>
      <c r="L1052" s="71"/>
      <c r="M1052" s="71"/>
    </row>
    <row r="1053" customFormat="false" ht="15" hidden="false" customHeight="false" outlineLevel="0" collapsed="false">
      <c r="B1053" s="70"/>
      <c r="C1053" s="71"/>
      <c r="D1053" s="71"/>
      <c r="E1053" s="71"/>
      <c r="F1053" s="71"/>
      <c r="G1053" s="72"/>
      <c r="J1053" s="71"/>
      <c r="K1053" s="71"/>
      <c r="L1053" s="71"/>
      <c r="M1053" s="71"/>
    </row>
    <row r="1054" customFormat="false" ht="15" hidden="false" customHeight="false" outlineLevel="0" collapsed="false">
      <c r="B1054" s="70"/>
      <c r="C1054" s="71"/>
      <c r="D1054" s="71"/>
      <c r="E1054" s="71"/>
      <c r="F1054" s="71"/>
      <c r="G1054" s="72"/>
      <c r="J1054" s="71"/>
      <c r="K1054" s="71"/>
      <c r="L1054" s="71"/>
      <c r="M1054" s="71"/>
    </row>
    <row r="1055" customFormat="false" ht="15" hidden="false" customHeight="false" outlineLevel="0" collapsed="false">
      <c r="B1055" s="70"/>
      <c r="C1055" s="71"/>
      <c r="D1055" s="71"/>
      <c r="E1055" s="71"/>
      <c r="F1055" s="71"/>
      <c r="G1055" s="72"/>
      <c r="J1055" s="71"/>
      <c r="K1055" s="71"/>
      <c r="L1055" s="71"/>
      <c r="M1055" s="71"/>
    </row>
    <row r="1056" customFormat="false" ht="15" hidden="false" customHeight="false" outlineLevel="0" collapsed="false">
      <c r="B1056" s="70"/>
      <c r="C1056" s="71"/>
      <c r="D1056" s="71"/>
      <c r="E1056" s="71"/>
      <c r="F1056" s="71"/>
      <c r="G1056" s="72"/>
      <c r="J1056" s="71"/>
      <c r="K1056" s="71"/>
      <c r="L1056" s="71"/>
      <c r="M1056" s="71"/>
    </row>
    <row r="1057" customFormat="false" ht="15" hidden="false" customHeight="false" outlineLevel="0" collapsed="false">
      <c r="B1057" s="70"/>
      <c r="C1057" s="71"/>
      <c r="D1057" s="71"/>
      <c r="E1057" s="71"/>
      <c r="F1057" s="71"/>
      <c r="G1057" s="72"/>
      <c r="J1057" s="71"/>
      <c r="K1057" s="71"/>
      <c r="L1057" s="71"/>
      <c r="M1057" s="71"/>
    </row>
    <row r="1058" customFormat="false" ht="15" hidden="false" customHeight="false" outlineLevel="0" collapsed="false">
      <c r="B1058" s="70"/>
      <c r="C1058" s="71"/>
      <c r="D1058" s="71"/>
      <c r="E1058" s="71"/>
      <c r="F1058" s="71"/>
      <c r="G1058" s="72"/>
      <c r="J1058" s="71"/>
      <c r="K1058" s="71"/>
      <c r="L1058" s="71"/>
      <c r="M1058" s="71"/>
    </row>
    <row r="1059" customFormat="false" ht="15" hidden="false" customHeight="false" outlineLevel="0" collapsed="false">
      <c r="B1059" s="70"/>
      <c r="C1059" s="71"/>
      <c r="D1059" s="71"/>
      <c r="E1059" s="71"/>
      <c r="F1059" s="71"/>
      <c r="G1059" s="72"/>
      <c r="J1059" s="71"/>
      <c r="K1059" s="71"/>
      <c r="L1059" s="71"/>
      <c r="M1059" s="71"/>
    </row>
    <row r="1060" customFormat="false" ht="15" hidden="false" customHeight="false" outlineLevel="0" collapsed="false">
      <c r="B1060" s="70"/>
      <c r="C1060" s="71"/>
      <c r="D1060" s="71"/>
      <c r="E1060" s="71"/>
      <c r="F1060" s="71"/>
      <c r="G1060" s="72"/>
      <c r="J1060" s="71"/>
      <c r="K1060" s="71"/>
      <c r="L1060" s="71"/>
      <c r="M1060" s="71"/>
    </row>
    <row r="1061" customFormat="false" ht="15" hidden="false" customHeight="false" outlineLevel="0" collapsed="false">
      <c r="B1061" s="70"/>
      <c r="C1061" s="71"/>
      <c r="D1061" s="71"/>
      <c r="E1061" s="71"/>
      <c r="F1061" s="71"/>
      <c r="G1061" s="72"/>
      <c r="J1061" s="71"/>
      <c r="K1061" s="71"/>
      <c r="L1061" s="71"/>
      <c r="M1061" s="71"/>
    </row>
    <row r="1062" customFormat="false" ht="15" hidden="false" customHeight="false" outlineLevel="0" collapsed="false">
      <c r="B1062" s="70"/>
      <c r="C1062" s="71"/>
      <c r="D1062" s="71"/>
      <c r="E1062" s="71"/>
      <c r="F1062" s="71"/>
      <c r="G1062" s="72"/>
      <c r="J1062" s="71"/>
      <c r="K1062" s="71"/>
      <c r="L1062" s="71"/>
      <c r="M1062" s="71"/>
    </row>
    <row r="1063" customFormat="false" ht="15" hidden="false" customHeight="false" outlineLevel="0" collapsed="false">
      <c r="B1063" s="70"/>
      <c r="C1063" s="71"/>
      <c r="D1063" s="71"/>
      <c r="E1063" s="71"/>
      <c r="F1063" s="71"/>
      <c r="G1063" s="72"/>
      <c r="J1063" s="71"/>
      <c r="K1063" s="71"/>
      <c r="L1063" s="71"/>
      <c r="M1063" s="71"/>
    </row>
    <row r="1064" customFormat="false" ht="15" hidden="false" customHeight="false" outlineLevel="0" collapsed="false">
      <c r="B1064" s="70"/>
      <c r="C1064" s="71"/>
      <c r="D1064" s="71"/>
      <c r="E1064" s="71"/>
      <c r="F1064" s="71"/>
      <c r="G1064" s="72"/>
      <c r="J1064" s="71"/>
      <c r="K1064" s="71"/>
      <c r="L1064" s="71"/>
      <c r="M1064" s="71"/>
    </row>
    <row r="1065" customFormat="false" ht="15" hidden="false" customHeight="false" outlineLevel="0" collapsed="false">
      <c r="B1065" s="70"/>
      <c r="C1065" s="71"/>
      <c r="D1065" s="71"/>
      <c r="E1065" s="71"/>
      <c r="F1065" s="71"/>
      <c r="G1065" s="72"/>
      <c r="J1065" s="71"/>
      <c r="K1065" s="71"/>
      <c r="L1065" s="71"/>
      <c r="M1065" s="71"/>
    </row>
    <row r="1066" customFormat="false" ht="15" hidden="false" customHeight="false" outlineLevel="0" collapsed="false">
      <c r="B1066" s="70"/>
      <c r="C1066" s="71"/>
      <c r="D1066" s="71"/>
      <c r="E1066" s="71"/>
      <c r="F1066" s="71"/>
      <c r="G1066" s="72"/>
      <c r="J1066" s="71"/>
      <c r="K1066" s="71"/>
      <c r="L1066" s="71"/>
      <c r="M1066" s="71"/>
    </row>
    <row r="1067" customFormat="false" ht="15" hidden="false" customHeight="false" outlineLevel="0" collapsed="false">
      <c r="B1067" s="70"/>
      <c r="C1067" s="71"/>
      <c r="D1067" s="71"/>
      <c r="E1067" s="71"/>
      <c r="F1067" s="71"/>
      <c r="G1067" s="72"/>
      <c r="J1067" s="71"/>
      <c r="K1067" s="71"/>
      <c r="L1067" s="71"/>
      <c r="M1067" s="71"/>
    </row>
    <row r="1068" customFormat="false" ht="15" hidden="false" customHeight="false" outlineLevel="0" collapsed="false">
      <c r="B1068" s="70"/>
      <c r="C1068" s="71"/>
      <c r="D1068" s="71"/>
      <c r="E1068" s="71"/>
      <c r="F1068" s="71"/>
      <c r="G1068" s="72"/>
      <c r="J1068" s="71"/>
      <c r="K1068" s="71"/>
      <c r="L1068" s="71"/>
      <c r="M1068" s="71"/>
    </row>
    <row r="1069" customFormat="false" ht="15" hidden="false" customHeight="false" outlineLevel="0" collapsed="false">
      <c r="B1069" s="70"/>
      <c r="C1069" s="71"/>
      <c r="D1069" s="71"/>
      <c r="E1069" s="71"/>
      <c r="F1069" s="71"/>
      <c r="G1069" s="72"/>
      <c r="J1069" s="71"/>
      <c r="K1069" s="71"/>
      <c r="L1069" s="71"/>
      <c r="M1069" s="71"/>
    </row>
    <row r="1070" customFormat="false" ht="15" hidden="false" customHeight="false" outlineLevel="0" collapsed="false">
      <c r="B1070" s="70"/>
      <c r="C1070" s="71"/>
      <c r="D1070" s="71"/>
      <c r="E1070" s="71"/>
      <c r="F1070" s="71"/>
      <c r="G1070" s="72"/>
      <c r="J1070" s="71"/>
      <c r="K1070" s="71"/>
      <c r="L1070" s="71"/>
      <c r="M1070" s="71"/>
    </row>
    <row r="1071" customFormat="false" ht="15" hidden="false" customHeight="false" outlineLevel="0" collapsed="false">
      <c r="B1071" s="70"/>
      <c r="C1071" s="71"/>
      <c r="D1071" s="71"/>
      <c r="E1071" s="71"/>
      <c r="F1071" s="71"/>
      <c r="G1071" s="72"/>
      <c r="J1071" s="71"/>
      <c r="K1071" s="71"/>
      <c r="L1071" s="71"/>
      <c r="M1071" s="71"/>
    </row>
    <row r="1072" customFormat="false" ht="15" hidden="false" customHeight="false" outlineLevel="0" collapsed="false">
      <c r="B1072" s="70"/>
      <c r="C1072" s="71"/>
      <c r="D1072" s="71"/>
      <c r="E1072" s="71"/>
      <c r="F1072" s="71"/>
      <c r="G1072" s="72"/>
      <c r="J1072" s="71"/>
      <c r="K1072" s="71"/>
      <c r="L1072" s="71"/>
      <c r="M1072" s="71"/>
    </row>
    <row r="1073" customFormat="false" ht="15" hidden="false" customHeight="false" outlineLevel="0" collapsed="false">
      <c r="B1073" s="70"/>
      <c r="C1073" s="71"/>
      <c r="D1073" s="71"/>
      <c r="E1073" s="71"/>
      <c r="F1073" s="71"/>
      <c r="G1073" s="72"/>
      <c r="J1073" s="71"/>
      <c r="K1073" s="71"/>
      <c r="L1073" s="71"/>
      <c r="M1073" s="71"/>
    </row>
    <row r="1074" customFormat="false" ht="15" hidden="false" customHeight="false" outlineLevel="0" collapsed="false">
      <c r="B1074" s="70"/>
      <c r="C1074" s="71"/>
      <c r="D1074" s="71"/>
      <c r="E1074" s="71"/>
      <c r="F1074" s="71"/>
      <c r="G1074" s="72"/>
      <c r="J1074" s="71"/>
      <c r="K1074" s="71"/>
      <c r="L1074" s="71"/>
      <c r="M1074" s="71"/>
    </row>
    <row r="1075" customFormat="false" ht="15" hidden="false" customHeight="false" outlineLevel="0" collapsed="false">
      <c r="B1075" s="70"/>
      <c r="C1075" s="71"/>
      <c r="D1075" s="71"/>
      <c r="E1075" s="71"/>
      <c r="F1075" s="71"/>
      <c r="G1075" s="72"/>
      <c r="J1075" s="71"/>
      <c r="K1075" s="71"/>
      <c r="L1075" s="71"/>
      <c r="M1075" s="71"/>
    </row>
    <row r="1076" customFormat="false" ht="15" hidden="false" customHeight="false" outlineLevel="0" collapsed="false">
      <c r="B1076" s="70"/>
      <c r="C1076" s="71"/>
      <c r="D1076" s="71"/>
      <c r="E1076" s="71"/>
      <c r="F1076" s="71"/>
      <c r="G1076" s="72"/>
      <c r="J1076" s="71"/>
      <c r="K1076" s="71"/>
      <c r="L1076" s="71"/>
      <c r="M1076" s="71"/>
    </row>
    <row r="1077" customFormat="false" ht="15" hidden="false" customHeight="false" outlineLevel="0" collapsed="false">
      <c r="B1077" s="70"/>
      <c r="C1077" s="71"/>
      <c r="D1077" s="71"/>
      <c r="E1077" s="71"/>
      <c r="F1077" s="71"/>
      <c r="G1077" s="72"/>
      <c r="J1077" s="71"/>
      <c r="K1077" s="71"/>
      <c r="L1077" s="71"/>
      <c r="M1077" s="71"/>
    </row>
    <row r="1078" customFormat="false" ht="15" hidden="false" customHeight="false" outlineLevel="0" collapsed="false">
      <c r="B1078" s="70"/>
      <c r="C1078" s="71"/>
      <c r="D1078" s="71"/>
      <c r="E1078" s="71"/>
      <c r="F1078" s="71"/>
      <c r="G1078" s="72"/>
      <c r="J1078" s="71"/>
      <c r="K1078" s="71"/>
      <c r="L1078" s="71"/>
      <c r="M1078" s="71"/>
    </row>
    <row r="1079" customFormat="false" ht="15" hidden="false" customHeight="false" outlineLevel="0" collapsed="false">
      <c r="B1079" s="70"/>
      <c r="C1079" s="71"/>
      <c r="D1079" s="71"/>
      <c r="E1079" s="71"/>
      <c r="F1079" s="71"/>
      <c r="G1079" s="72"/>
      <c r="J1079" s="71"/>
      <c r="K1079" s="71"/>
      <c r="L1079" s="71"/>
      <c r="M1079" s="71"/>
    </row>
    <row r="1080" customFormat="false" ht="15" hidden="false" customHeight="false" outlineLevel="0" collapsed="false">
      <c r="B1080" s="70"/>
      <c r="C1080" s="71"/>
      <c r="D1080" s="71"/>
      <c r="E1080" s="71"/>
      <c r="F1080" s="71"/>
      <c r="G1080" s="72"/>
      <c r="J1080" s="71"/>
      <c r="K1080" s="71"/>
      <c r="L1080" s="71"/>
      <c r="M1080" s="71"/>
    </row>
    <row r="1081" customFormat="false" ht="15" hidden="false" customHeight="false" outlineLevel="0" collapsed="false">
      <c r="B1081" s="70"/>
      <c r="C1081" s="71"/>
      <c r="D1081" s="71"/>
      <c r="E1081" s="71"/>
      <c r="F1081" s="71"/>
      <c r="G1081" s="72"/>
      <c r="J1081" s="71"/>
      <c r="K1081" s="71"/>
      <c r="L1081" s="71"/>
      <c r="M1081" s="71"/>
    </row>
    <row r="1082" customFormat="false" ht="15" hidden="false" customHeight="false" outlineLevel="0" collapsed="false">
      <c r="B1082" s="70"/>
      <c r="C1082" s="71"/>
      <c r="D1082" s="71"/>
      <c r="E1082" s="71"/>
      <c r="F1082" s="71"/>
      <c r="G1082" s="72"/>
      <c r="J1082" s="71"/>
      <c r="K1082" s="71"/>
      <c r="L1082" s="71"/>
      <c r="M1082" s="71"/>
    </row>
    <row r="1083" customFormat="false" ht="15" hidden="false" customHeight="false" outlineLevel="0" collapsed="false">
      <c r="B1083" s="70"/>
      <c r="C1083" s="71"/>
      <c r="D1083" s="71"/>
      <c r="E1083" s="71"/>
      <c r="F1083" s="71"/>
      <c r="G1083" s="72"/>
      <c r="J1083" s="71"/>
      <c r="K1083" s="71"/>
      <c r="L1083" s="71"/>
      <c r="M1083" s="71"/>
    </row>
    <row r="1084" customFormat="false" ht="15" hidden="false" customHeight="false" outlineLevel="0" collapsed="false">
      <c r="B1084" s="70"/>
      <c r="C1084" s="71"/>
      <c r="D1084" s="71"/>
      <c r="E1084" s="71"/>
      <c r="F1084" s="71"/>
      <c r="G1084" s="72"/>
      <c r="J1084" s="71"/>
      <c r="K1084" s="71"/>
      <c r="L1084" s="71"/>
      <c r="M1084" s="71"/>
    </row>
    <row r="1085" customFormat="false" ht="15" hidden="false" customHeight="false" outlineLevel="0" collapsed="false">
      <c r="B1085" s="70"/>
      <c r="C1085" s="71"/>
      <c r="D1085" s="71"/>
      <c r="E1085" s="71"/>
      <c r="F1085" s="71"/>
      <c r="G1085" s="72"/>
      <c r="J1085" s="71"/>
      <c r="K1085" s="71"/>
      <c r="L1085" s="71"/>
      <c r="M1085" s="71"/>
    </row>
    <row r="1086" customFormat="false" ht="15" hidden="false" customHeight="false" outlineLevel="0" collapsed="false">
      <c r="B1086" s="70"/>
      <c r="C1086" s="71"/>
      <c r="D1086" s="71"/>
      <c r="E1086" s="71"/>
      <c r="F1086" s="71"/>
      <c r="G1086" s="72"/>
      <c r="J1086" s="71"/>
      <c r="K1086" s="71"/>
      <c r="L1086" s="71"/>
      <c r="M1086" s="71"/>
    </row>
    <row r="1087" customFormat="false" ht="15" hidden="false" customHeight="false" outlineLevel="0" collapsed="false">
      <c r="B1087" s="70"/>
      <c r="C1087" s="71"/>
      <c r="D1087" s="71"/>
      <c r="E1087" s="71"/>
      <c r="F1087" s="71"/>
      <c r="G1087" s="72"/>
      <c r="J1087" s="71"/>
      <c r="K1087" s="71"/>
      <c r="L1087" s="71"/>
      <c r="M1087" s="71"/>
    </row>
    <row r="1088" customFormat="false" ht="15" hidden="false" customHeight="false" outlineLevel="0" collapsed="false">
      <c r="B1088" s="70"/>
      <c r="C1088" s="71"/>
      <c r="D1088" s="71"/>
      <c r="E1088" s="71"/>
      <c r="F1088" s="71"/>
      <c r="G1088" s="72"/>
      <c r="J1088" s="71"/>
      <c r="K1088" s="71"/>
      <c r="L1088" s="71"/>
      <c r="M1088" s="71"/>
    </row>
    <row r="1089" customFormat="false" ht="15" hidden="false" customHeight="false" outlineLevel="0" collapsed="false">
      <c r="B1089" s="70"/>
      <c r="C1089" s="71"/>
      <c r="D1089" s="71"/>
      <c r="E1089" s="71"/>
      <c r="F1089" s="71"/>
      <c r="G1089" s="72"/>
      <c r="J1089" s="71"/>
      <c r="K1089" s="71"/>
      <c r="L1089" s="71"/>
      <c r="M1089" s="71"/>
    </row>
    <row r="1090" customFormat="false" ht="15" hidden="false" customHeight="false" outlineLevel="0" collapsed="false">
      <c r="B1090" s="70"/>
      <c r="C1090" s="71"/>
      <c r="D1090" s="71"/>
      <c r="E1090" s="71"/>
      <c r="F1090" s="71"/>
      <c r="G1090" s="72"/>
      <c r="J1090" s="71"/>
      <c r="K1090" s="71"/>
      <c r="L1090" s="71"/>
      <c r="M1090" s="71"/>
    </row>
    <row r="1091" customFormat="false" ht="15" hidden="false" customHeight="false" outlineLevel="0" collapsed="false">
      <c r="B1091" s="70"/>
      <c r="C1091" s="71"/>
      <c r="D1091" s="71"/>
      <c r="E1091" s="71"/>
      <c r="F1091" s="71"/>
      <c r="G1091" s="72"/>
      <c r="J1091" s="71"/>
      <c r="K1091" s="71"/>
      <c r="L1091" s="71"/>
      <c r="M1091" s="71"/>
    </row>
    <row r="1092" customFormat="false" ht="15" hidden="false" customHeight="false" outlineLevel="0" collapsed="false">
      <c r="B1092" s="70"/>
      <c r="C1092" s="71"/>
      <c r="D1092" s="71"/>
      <c r="E1092" s="71"/>
      <c r="F1092" s="71"/>
      <c r="G1092" s="72"/>
      <c r="J1092" s="71"/>
      <c r="K1092" s="71"/>
      <c r="L1092" s="71"/>
      <c r="M1092" s="71"/>
    </row>
    <row r="1093" customFormat="false" ht="15" hidden="false" customHeight="false" outlineLevel="0" collapsed="false">
      <c r="B1093" s="70"/>
      <c r="C1093" s="71"/>
      <c r="D1093" s="71"/>
      <c r="E1093" s="71"/>
      <c r="F1093" s="71"/>
      <c r="G1093" s="72"/>
      <c r="J1093" s="71"/>
      <c r="K1093" s="71"/>
      <c r="L1093" s="71"/>
      <c r="M1093" s="71"/>
    </row>
    <row r="1094" customFormat="false" ht="15" hidden="false" customHeight="false" outlineLevel="0" collapsed="false">
      <c r="B1094" s="70"/>
      <c r="C1094" s="71"/>
      <c r="D1094" s="71"/>
      <c r="E1094" s="71"/>
      <c r="F1094" s="71"/>
      <c r="G1094" s="72"/>
      <c r="J1094" s="71"/>
      <c r="K1094" s="71"/>
      <c r="L1094" s="71"/>
      <c r="M1094" s="71"/>
    </row>
    <row r="1095" customFormat="false" ht="15" hidden="false" customHeight="false" outlineLevel="0" collapsed="false">
      <c r="B1095" s="70"/>
      <c r="C1095" s="71"/>
      <c r="D1095" s="71"/>
      <c r="E1095" s="71"/>
      <c r="F1095" s="71"/>
      <c r="G1095" s="72"/>
      <c r="J1095" s="71"/>
      <c r="K1095" s="71"/>
      <c r="L1095" s="71"/>
      <c r="M1095" s="71"/>
    </row>
    <row r="1096" customFormat="false" ht="15" hidden="false" customHeight="false" outlineLevel="0" collapsed="false">
      <c r="B1096" s="70"/>
      <c r="C1096" s="71"/>
      <c r="D1096" s="71"/>
      <c r="E1096" s="71"/>
      <c r="F1096" s="71"/>
      <c r="G1096" s="72"/>
      <c r="J1096" s="71"/>
      <c r="K1096" s="71"/>
      <c r="L1096" s="71"/>
      <c r="M1096" s="71"/>
    </row>
    <row r="1097" customFormat="false" ht="15" hidden="false" customHeight="false" outlineLevel="0" collapsed="false">
      <c r="B1097" s="70"/>
      <c r="C1097" s="71"/>
      <c r="D1097" s="71"/>
      <c r="E1097" s="71"/>
      <c r="F1097" s="71"/>
      <c r="G1097" s="72"/>
      <c r="J1097" s="71"/>
      <c r="K1097" s="71"/>
      <c r="L1097" s="71"/>
      <c r="M1097" s="71"/>
    </row>
    <row r="1098" customFormat="false" ht="15" hidden="false" customHeight="false" outlineLevel="0" collapsed="false">
      <c r="B1098" s="70"/>
      <c r="C1098" s="71"/>
      <c r="D1098" s="71"/>
      <c r="E1098" s="71"/>
      <c r="F1098" s="71"/>
      <c r="G1098" s="72"/>
      <c r="J1098" s="71"/>
      <c r="K1098" s="71"/>
      <c r="L1098" s="71"/>
      <c r="M1098" s="71"/>
    </row>
    <row r="1099" customFormat="false" ht="15" hidden="false" customHeight="false" outlineLevel="0" collapsed="false">
      <c r="B1099" s="70"/>
      <c r="C1099" s="71"/>
      <c r="D1099" s="71"/>
      <c r="E1099" s="71"/>
      <c r="F1099" s="71"/>
      <c r="G1099" s="72"/>
      <c r="J1099" s="71"/>
      <c r="K1099" s="71"/>
      <c r="L1099" s="71"/>
      <c r="M1099" s="71"/>
    </row>
    <row r="1100" customFormat="false" ht="15" hidden="false" customHeight="false" outlineLevel="0" collapsed="false">
      <c r="B1100" s="70"/>
      <c r="C1100" s="71"/>
      <c r="D1100" s="71"/>
      <c r="E1100" s="71"/>
      <c r="F1100" s="71"/>
      <c r="G1100" s="72"/>
      <c r="J1100" s="71"/>
      <c r="K1100" s="71"/>
      <c r="L1100" s="71"/>
      <c r="M1100" s="71"/>
    </row>
    <row r="1101" customFormat="false" ht="15" hidden="false" customHeight="false" outlineLevel="0" collapsed="false">
      <c r="B1101" s="70"/>
      <c r="C1101" s="71"/>
      <c r="D1101" s="71"/>
      <c r="E1101" s="71"/>
      <c r="F1101" s="71"/>
      <c r="G1101" s="72"/>
      <c r="J1101" s="71"/>
      <c r="K1101" s="71"/>
      <c r="L1101" s="71"/>
      <c r="M1101" s="71"/>
    </row>
    <row r="1102" customFormat="false" ht="15" hidden="false" customHeight="false" outlineLevel="0" collapsed="false">
      <c r="B1102" s="70"/>
      <c r="C1102" s="71"/>
      <c r="D1102" s="71"/>
      <c r="E1102" s="71"/>
      <c r="F1102" s="71"/>
      <c r="G1102" s="72"/>
      <c r="J1102" s="71"/>
      <c r="K1102" s="71"/>
      <c r="L1102" s="71"/>
      <c r="M1102" s="71"/>
    </row>
    <row r="1103" customFormat="false" ht="15" hidden="false" customHeight="false" outlineLevel="0" collapsed="false">
      <c r="B1103" s="70"/>
      <c r="C1103" s="71"/>
      <c r="D1103" s="71"/>
      <c r="E1103" s="71"/>
      <c r="F1103" s="71"/>
      <c r="G1103" s="72"/>
      <c r="J1103" s="71"/>
      <c r="K1103" s="71"/>
      <c r="L1103" s="71"/>
      <c r="M1103" s="71"/>
    </row>
    <row r="1104" customFormat="false" ht="15" hidden="false" customHeight="false" outlineLevel="0" collapsed="false">
      <c r="B1104" s="70"/>
      <c r="C1104" s="71"/>
      <c r="D1104" s="71"/>
      <c r="E1104" s="71"/>
      <c r="F1104" s="71"/>
      <c r="G1104" s="72"/>
      <c r="J1104" s="71"/>
      <c r="K1104" s="71"/>
      <c r="L1104" s="71"/>
      <c r="M1104" s="71"/>
    </row>
    <row r="1105" customFormat="false" ht="15" hidden="false" customHeight="false" outlineLevel="0" collapsed="false">
      <c r="B1105" s="70"/>
      <c r="C1105" s="71"/>
      <c r="D1105" s="71"/>
      <c r="E1105" s="71"/>
      <c r="F1105" s="71"/>
      <c r="G1105" s="72"/>
      <c r="J1105" s="71"/>
      <c r="K1105" s="71"/>
      <c r="L1105" s="71"/>
      <c r="M1105" s="71"/>
    </row>
    <row r="1106" customFormat="false" ht="15" hidden="false" customHeight="false" outlineLevel="0" collapsed="false">
      <c r="B1106" s="70"/>
      <c r="C1106" s="71"/>
      <c r="D1106" s="71"/>
      <c r="E1106" s="71"/>
      <c r="F1106" s="71"/>
      <c r="G1106" s="72"/>
      <c r="J1106" s="71"/>
      <c r="K1106" s="71"/>
      <c r="L1106" s="71"/>
      <c r="M1106" s="71"/>
    </row>
    <row r="1107" customFormat="false" ht="15" hidden="false" customHeight="false" outlineLevel="0" collapsed="false">
      <c r="B1107" s="70"/>
      <c r="C1107" s="71"/>
      <c r="D1107" s="71"/>
      <c r="E1107" s="71"/>
      <c r="F1107" s="71"/>
      <c r="G1107" s="72"/>
      <c r="J1107" s="71"/>
      <c r="K1107" s="71"/>
      <c r="L1107" s="71"/>
      <c r="M1107" s="71"/>
    </row>
    <row r="1108" customFormat="false" ht="15" hidden="false" customHeight="false" outlineLevel="0" collapsed="false">
      <c r="B1108" s="70"/>
      <c r="C1108" s="71"/>
      <c r="D1108" s="71"/>
      <c r="E1108" s="71"/>
      <c r="F1108" s="71"/>
      <c r="G1108" s="72"/>
      <c r="J1108" s="71"/>
      <c r="K1108" s="71"/>
      <c r="L1108" s="71"/>
      <c r="M1108" s="71"/>
    </row>
    <row r="1109" customFormat="false" ht="15" hidden="false" customHeight="false" outlineLevel="0" collapsed="false">
      <c r="B1109" s="70"/>
      <c r="C1109" s="71"/>
      <c r="D1109" s="71"/>
      <c r="E1109" s="71"/>
      <c r="F1109" s="71"/>
      <c r="G1109" s="72"/>
      <c r="J1109" s="71"/>
      <c r="K1109" s="71"/>
      <c r="L1109" s="71"/>
      <c r="M1109" s="71"/>
    </row>
    <row r="1110" customFormat="false" ht="15" hidden="false" customHeight="false" outlineLevel="0" collapsed="false">
      <c r="B1110" s="70"/>
      <c r="C1110" s="71"/>
      <c r="D1110" s="71"/>
      <c r="E1110" s="71"/>
      <c r="F1110" s="71"/>
      <c r="G1110" s="72"/>
      <c r="J1110" s="71"/>
      <c r="K1110" s="71"/>
      <c r="L1110" s="71"/>
      <c r="M1110" s="71"/>
    </row>
    <row r="1111" customFormat="false" ht="15" hidden="false" customHeight="false" outlineLevel="0" collapsed="false">
      <c r="B1111" s="70"/>
      <c r="C1111" s="71"/>
      <c r="D1111" s="71"/>
      <c r="E1111" s="71"/>
      <c r="F1111" s="71"/>
      <c r="G1111" s="72"/>
      <c r="J1111" s="71"/>
      <c r="K1111" s="71"/>
      <c r="L1111" s="71"/>
      <c r="M1111" s="71"/>
    </row>
    <row r="1112" customFormat="false" ht="15" hidden="false" customHeight="false" outlineLevel="0" collapsed="false">
      <c r="B1112" s="70"/>
      <c r="C1112" s="71"/>
      <c r="D1112" s="71"/>
      <c r="E1112" s="71"/>
      <c r="F1112" s="71"/>
      <c r="G1112" s="72"/>
      <c r="J1112" s="71"/>
      <c r="K1112" s="71"/>
      <c r="L1112" s="71"/>
      <c r="M1112" s="71"/>
    </row>
    <row r="1113" customFormat="false" ht="15" hidden="false" customHeight="false" outlineLevel="0" collapsed="false">
      <c r="B1113" s="70"/>
      <c r="C1113" s="71"/>
      <c r="D1113" s="71"/>
      <c r="E1113" s="71"/>
      <c r="F1113" s="71"/>
      <c r="G1113" s="72"/>
      <c r="J1113" s="71"/>
      <c r="K1113" s="71"/>
      <c r="L1113" s="71"/>
      <c r="M1113" s="71"/>
    </row>
    <row r="1114" customFormat="false" ht="15" hidden="false" customHeight="false" outlineLevel="0" collapsed="false">
      <c r="B1114" s="70"/>
      <c r="C1114" s="71"/>
      <c r="D1114" s="71"/>
      <c r="E1114" s="71"/>
      <c r="F1114" s="71"/>
      <c r="G1114" s="72"/>
      <c r="J1114" s="71"/>
      <c r="K1114" s="71"/>
      <c r="L1114" s="71"/>
      <c r="M1114" s="71"/>
    </row>
    <row r="1115" customFormat="false" ht="15" hidden="false" customHeight="false" outlineLevel="0" collapsed="false">
      <c r="B1115" s="70"/>
      <c r="C1115" s="71"/>
      <c r="D1115" s="71"/>
      <c r="E1115" s="71"/>
      <c r="F1115" s="71"/>
      <c r="G1115" s="72"/>
      <c r="J1115" s="71"/>
      <c r="K1115" s="71"/>
      <c r="L1115" s="71"/>
      <c r="M1115" s="71"/>
    </row>
    <row r="1116" customFormat="false" ht="15" hidden="false" customHeight="false" outlineLevel="0" collapsed="false">
      <c r="B1116" s="70"/>
      <c r="C1116" s="71"/>
      <c r="D1116" s="71"/>
      <c r="E1116" s="71"/>
      <c r="F1116" s="71"/>
      <c r="G1116" s="72"/>
      <c r="J1116" s="71"/>
      <c r="K1116" s="71"/>
      <c r="L1116" s="71"/>
      <c r="M1116" s="71"/>
    </row>
    <row r="1117" customFormat="false" ht="15" hidden="false" customHeight="false" outlineLevel="0" collapsed="false">
      <c r="B1117" s="70"/>
      <c r="C1117" s="71"/>
      <c r="D1117" s="71"/>
      <c r="E1117" s="71"/>
      <c r="F1117" s="71"/>
      <c r="G1117" s="72"/>
      <c r="J1117" s="71"/>
      <c r="K1117" s="71"/>
      <c r="L1117" s="71"/>
      <c r="M1117" s="71"/>
    </row>
    <row r="1118" customFormat="false" ht="15" hidden="false" customHeight="false" outlineLevel="0" collapsed="false">
      <c r="B1118" s="70"/>
      <c r="C1118" s="71"/>
      <c r="D1118" s="71"/>
      <c r="E1118" s="71"/>
      <c r="F1118" s="71"/>
      <c r="G1118" s="72"/>
      <c r="J1118" s="71"/>
      <c r="K1118" s="71"/>
      <c r="L1118" s="71"/>
      <c r="M1118" s="71"/>
    </row>
    <row r="1119" customFormat="false" ht="15" hidden="false" customHeight="false" outlineLevel="0" collapsed="false">
      <c r="B1119" s="70"/>
      <c r="C1119" s="71"/>
      <c r="D1119" s="71"/>
      <c r="E1119" s="71"/>
      <c r="F1119" s="71"/>
      <c r="G1119" s="72"/>
      <c r="J1119" s="71"/>
      <c r="K1119" s="71"/>
      <c r="L1119" s="71"/>
      <c r="M1119" s="71"/>
    </row>
    <row r="1120" customFormat="false" ht="15" hidden="false" customHeight="false" outlineLevel="0" collapsed="false">
      <c r="B1120" s="70"/>
      <c r="C1120" s="71"/>
      <c r="D1120" s="71"/>
      <c r="E1120" s="71"/>
      <c r="F1120" s="71"/>
      <c r="G1120" s="72"/>
      <c r="J1120" s="71"/>
      <c r="K1120" s="71"/>
      <c r="L1120" s="71"/>
      <c r="M1120" s="71"/>
    </row>
    <row r="1121" customFormat="false" ht="15" hidden="false" customHeight="false" outlineLevel="0" collapsed="false">
      <c r="B1121" s="70"/>
      <c r="C1121" s="71"/>
      <c r="D1121" s="71"/>
      <c r="E1121" s="71"/>
      <c r="F1121" s="71"/>
      <c r="G1121" s="72"/>
      <c r="J1121" s="71"/>
      <c r="K1121" s="71"/>
      <c r="L1121" s="71"/>
      <c r="M1121" s="71"/>
    </row>
    <row r="1122" customFormat="false" ht="15" hidden="false" customHeight="false" outlineLevel="0" collapsed="false">
      <c r="B1122" s="70"/>
      <c r="C1122" s="71"/>
      <c r="D1122" s="71"/>
      <c r="E1122" s="71"/>
      <c r="F1122" s="71"/>
      <c r="G1122" s="72"/>
      <c r="J1122" s="71"/>
      <c r="K1122" s="71"/>
      <c r="L1122" s="71"/>
      <c r="M1122" s="71"/>
    </row>
    <row r="1123" customFormat="false" ht="15" hidden="false" customHeight="false" outlineLevel="0" collapsed="false">
      <c r="B1123" s="70"/>
      <c r="C1123" s="71"/>
      <c r="D1123" s="71"/>
      <c r="E1123" s="71"/>
      <c r="F1123" s="71"/>
      <c r="G1123" s="72"/>
      <c r="J1123" s="71"/>
      <c r="K1123" s="71"/>
      <c r="L1123" s="71"/>
      <c r="M1123" s="71"/>
    </row>
    <row r="1124" customFormat="false" ht="15" hidden="false" customHeight="false" outlineLevel="0" collapsed="false">
      <c r="B1124" s="70"/>
      <c r="C1124" s="71"/>
      <c r="D1124" s="71"/>
      <c r="E1124" s="71"/>
      <c r="F1124" s="71"/>
      <c r="G1124" s="72"/>
      <c r="J1124" s="71"/>
      <c r="K1124" s="71"/>
      <c r="L1124" s="71"/>
      <c r="M1124" s="71"/>
    </row>
    <row r="1125" customFormat="false" ht="15" hidden="false" customHeight="false" outlineLevel="0" collapsed="false">
      <c r="B1125" s="70"/>
      <c r="C1125" s="71"/>
      <c r="D1125" s="71"/>
      <c r="E1125" s="71"/>
      <c r="F1125" s="71"/>
      <c r="G1125" s="72"/>
      <c r="J1125" s="71"/>
      <c r="K1125" s="71"/>
      <c r="L1125" s="71"/>
      <c r="M1125" s="71"/>
    </row>
    <row r="1126" customFormat="false" ht="15" hidden="false" customHeight="false" outlineLevel="0" collapsed="false">
      <c r="B1126" s="70"/>
      <c r="C1126" s="71"/>
      <c r="D1126" s="71"/>
      <c r="E1126" s="71"/>
      <c r="F1126" s="71"/>
      <c r="G1126" s="72"/>
      <c r="J1126" s="71"/>
      <c r="K1126" s="71"/>
      <c r="L1126" s="71"/>
      <c r="M1126" s="71"/>
    </row>
    <row r="1127" customFormat="false" ht="15" hidden="false" customHeight="false" outlineLevel="0" collapsed="false">
      <c r="B1127" s="70"/>
      <c r="C1127" s="71"/>
      <c r="D1127" s="71"/>
      <c r="E1127" s="71"/>
      <c r="F1127" s="71"/>
      <c r="G1127" s="72"/>
      <c r="J1127" s="71"/>
      <c r="K1127" s="71"/>
      <c r="L1127" s="71"/>
      <c r="M1127" s="71"/>
    </row>
    <row r="1128" customFormat="false" ht="15" hidden="false" customHeight="false" outlineLevel="0" collapsed="false">
      <c r="B1128" s="70"/>
      <c r="C1128" s="71"/>
      <c r="D1128" s="71"/>
      <c r="E1128" s="71"/>
      <c r="F1128" s="71"/>
      <c r="G1128" s="72"/>
      <c r="J1128" s="71"/>
      <c r="K1128" s="71"/>
      <c r="L1128" s="71"/>
      <c r="M1128" s="71"/>
    </row>
    <row r="1129" customFormat="false" ht="15" hidden="false" customHeight="false" outlineLevel="0" collapsed="false">
      <c r="B1129" s="70"/>
      <c r="C1129" s="71"/>
      <c r="D1129" s="71"/>
      <c r="E1129" s="71"/>
      <c r="F1129" s="71"/>
      <c r="G1129" s="72"/>
      <c r="J1129" s="71"/>
      <c r="K1129" s="71"/>
      <c r="L1129" s="71"/>
      <c r="M1129" s="71"/>
    </row>
    <row r="1130" customFormat="false" ht="15" hidden="false" customHeight="false" outlineLevel="0" collapsed="false">
      <c r="B1130" s="70"/>
      <c r="C1130" s="71"/>
      <c r="D1130" s="71"/>
      <c r="E1130" s="71"/>
      <c r="F1130" s="71"/>
      <c r="G1130" s="72"/>
      <c r="J1130" s="71"/>
      <c r="K1130" s="71"/>
      <c r="L1130" s="71"/>
      <c r="M1130" s="71"/>
    </row>
    <row r="1131" customFormat="false" ht="15" hidden="false" customHeight="false" outlineLevel="0" collapsed="false">
      <c r="B1131" s="70"/>
      <c r="C1131" s="71"/>
      <c r="D1131" s="71"/>
      <c r="E1131" s="71"/>
      <c r="F1131" s="71"/>
      <c r="G1131" s="72"/>
      <c r="J1131" s="71"/>
      <c r="K1131" s="71"/>
      <c r="L1131" s="71"/>
      <c r="M1131" s="71"/>
    </row>
    <row r="1132" customFormat="false" ht="15" hidden="false" customHeight="false" outlineLevel="0" collapsed="false">
      <c r="B1132" s="70"/>
      <c r="C1132" s="71"/>
      <c r="D1132" s="71"/>
      <c r="E1132" s="71"/>
      <c r="F1132" s="71"/>
      <c r="G1132" s="72"/>
      <c r="J1132" s="71"/>
      <c r="K1132" s="71"/>
      <c r="L1132" s="71"/>
      <c r="M1132" s="71"/>
    </row>
    <row r="1133" customFormat="false" ht="15" hidden="false" customHeight="false" outlineLevel="0" collapsed="false">
      <c r="B1133" s="70"/>
      <c r="C1133" s="71"/>
      <c r="D1133" s="71"/>
      <c r="E1133" s="71"/>
      <c r="F1133" s="71"/>
      <c r="G1133" s="72"/>
      <c r="J1133" s="71"/>
      <c r="K1133" s="71"/>
      <c r="L1133" s="71"/>
      <c r="M1133" s="71"/>
    </row>
    <row r="1134" customFormat="false" ht="15" hidden="false" customHeight="false" outlineLevel="0" collapsed="false">
      <c r="B1134" s="70"/>
      <c r="C1134" s="71"/>
      <c r="D1134" s="71"/>
      <c r="E1134" s="71"/>
      <c r="F1134" s="71"/>
      <c r="G1134" s="72"/>
      <c r="J1134" s="71"/>
      <c r="K1134" s="71"/>
      <c r="L1134" s="71"/>
      <c r="M1134" s="71"/>
    </row>
    <row r="1135" customFormat="false" ht="15" hidden="false" customHeight="false" outlineLevel="0" collapsed="false">
      <c r="B1135" s="70"/>
      <c r="C1135" s="71"/>
      <c r="D1135" s="71"/>
      <c r="E1135" s="71"/>
      <c r="F1135" s="71"/>
      <c r="G1135" s="72"/>
      <c r="J1135" s="71"/>
      <c r="K1135" s="71"/>
      <c r="L1135" s="71"/>
      <c r="M1135" s="71"/>
    </row>
    <row r="1136" customFormat="false" ht="15" hidden="false" customHeight="false" outlineLevel="0" collapsed="false">
      <c r="B1136" s="70"/>
      <c r="C1136" s="71"/>
      <c r="D1136" s="71"/>
      <c r="E1136" s="71"/>
      <c r="F1136" s="71"/>
      <c r="G1136" s="72"/>
      <c r="J1136" s="71"/>
      <c r="K1136" s="71"/>
      <c r="L1136" s="71"/>
      <c r="M1136" s="71"/>
    </row>
    <row r="1137" customFormat="false" ht="15" hidden="false" customHeight="false" outlineLevel="0" collapsed="false">
      <c r="B1137" s="70"/>
      <c r="C1137" s="71"/>
      <c r="D1137" s="71"/>
      <c r="E1137" s="71"/>
      <c r="F1137" s="71"/>
      <c r="G1137" s="72"/>
      <c r="J1137" s="71"/>
      <c r="K1137" s="71"/>
      <c r="L1137" s="71"/>
      <c r="M1137" s="71"/>
    </row>
    <row r="1138" customFormat="false" ht="15" hidden="false" customHeight="false" outlineLevel="0" collapsed="false">
      <c r="B1138" s="70"/>
      <c r="C1138" s="71"/>
      <c r="D1138" s="71"/>
      <c r="E1138" s="71"/>
      <c r="F1138" s="71"/>
      <c r="G1138" s="72"/>
      <c r="J1138" s="71"/>
      <c r="K1138" s="71"/>
      <c r="L1138" s="71"/>
      <c r="M1138" s="71"/>
    </row>
    <row r="1139" customFormat="false" ht="15" hidden="false" customHeight="false" outlineLevel="0" collapsed="false">
      <c r="B1139" s="70"/>
      <c r="C1139" s="71"/>
      <c r="D1139" s="71"/>
      <c r="E1139" s="71"/>
      <c r="F1139" s="71"/>
      <c r="G1139" s="72"/>
      <c r="J1139" s="71"/>
      <c r="K1139" s="71"/>
      <c r="L1139" s="71"/>
      <c r="M1139" s="71"/>
    </row>
    <row r="1140" customFormat="false" ht="15" hidden="false" customHeight="false" outlineLevel="0" collapsed="false">
      <c r="B1140" s="70"/>
      <c r="C1140" s="71"/>
      <c r="D1140" s="71"/>
      <c r="E1140" s="71"/>
      <c r="F1140" s="71"/>
      <c r="G1140" s="72"/>
      <c r="J1140" s="71"/>
      <c r="K1140" s="71"/>
      <c r="L1140" s="71"/>
      <c r="M1140" s="71"/>
    </row>
    <row r="1141" customFormat="false" ht="15" hidden="false" customHeight="false" outlineLevel="0" collapsed="false">
      <c r="B1141" s="70"/>
      <c r="C1141" s="71"/>
      <c r="D1141" s="71"/>
      <c r="E1141" s="71"/>
      <c r="F1141" s="71"/>
      <c r="G1141" s="72"/>
      <c r="J1141" s="71"/>
      <c r="K1141" s="71"/>
      <c r="L1141" s="71"/>
      <c r="M1141" s="71"/>
    </row>
    <row r="1142" customFormat="false" ht="15" hidden="false" customHeight="false" outlineLevel="0" collapsed="false">
      <c r="B1142" s="70"/>
      <c r="C1142" s="71"/>
      <c r="D1142" s="71"/>
      <c r="E1142" s="71"/>
      <c r="F1142" s="71"/>
      <c r="G1142" s="72"/>
      <c r="J1142" s="71"/>
      <c r="K1142" s="71"/>
      <c r="L1142" s="71"/>
      <c r="M1142" s="71"/>
    </row>
    <row r="1143" customFormat="false" ht="15" hidden="false" customHeight="false" outlineLevel="0" collapsed="false">
      <c r="B1143" s="70"/>
      <c r="C1143" s="71"/>
      <c r="D1143" s="71"/>
      <c r="E1143" s="71"/>
      <c r="F1143" s="71"/>
      <c r="G1143" s="72"/>
      <c r="J1143" s="71"/>
      <c r="K1143" s="71"/>
      <c r="L1143" s="71"/>
      <c r="M1143" s="71"/>
    </row>
    <row r="1144" customFormat="false" ht="15" hidden="false" customHeight="false" outlineLevel="0" collapsed="false">
      <c r="B1144" s="70"/>
      <c r="C1144" s="71"/>
      <c r="D1144" s="71"/>
      <c r="E1144" s="71"/>
      <c r="F1144" s="71"/>
      <c r="G1144" s="72"/>
      <c r="J1144" s="71"/>
      <c r="K1144" s="71"/>
      <c r="L1144" s="71"/>
      <c r="M1144" s="71"/>
    </row>
    <row r="1145" customFormat="false" ht="15" hidden="false" customHeight="false" outlineLevel="0" collapsed="false">
      <c r="B1145" s="70"/>
      <c r="C1145" s="71"/>
      <c r="D1145" s="71"/>
      <c r="E1145" s="71"/>
      <c r="F1145" s="71"/>
      <c r="G1145" s="72"/>
      <c r="J1145" s="71"/>
      <c r="K1145" s="71"/>
      <c r="L1145" s="71"/>
      <c r="M1145" s="71"/>
    </row>
    <row r="1146" customFormat="false" ht="15" hidden="false" customHeight="false" outlineLevel="0" collapsed="false">
      <c r="B1146" s="70"/>
      <c r="C1146" s="71"/>
      <c r="D1146" s="71"/>
      <c r="E1146" s="71"/>
      <c r="F1146" s="71"/>
      <c r="G1146" s="72"/>
      <c r="J1146" s="71"/>
      <c r="K1146" s="71"/>
      <c r="L1146" s="71"/>
      <c r="M1146" s="71"/>
    </row>
    <row r="1147" customFormat="false" ht="15" hidden="false" customHeight="false" outlineLevel="0" collapsed="false">
      <c r="B1147" s="70"/>
      <c r="C1147" s="71"/>
      <c r="D1147" s="71"/>
      <c r="E1147" s="71"/>
      <c r="F1147" s="71"/>
      <c r="G1147" s="72"/>
      <c r="J1147" s="71"/>
      <c r="K1147" s="71"/>
      <c r="L1147" s="71"/>
      <c r="M1147" s="71"/>
    </row>
    <row r="1148" customFormat="false" ht="15" hidden="false" customHeight="false" outlineLevel="0" collapsed="false">
      <c r="B1148" s="70"/>
      <c r="C1148" s="71"/>
      <c r="D1148" s="71"/>
      <c r="E1148" s="71"/>
      <c r="F1148" s="71"/>
      <c r="G1148" s="72"/>
      <c r="J1148" s="71"/>
      <c r="K1148" s="71"/>
      <c r="L1148" s="71"/>
      <c r="M1148" s="71"/>
    </row>
    <row r="1149" customFormat="false" ht="15" hidden="false" customHeight="false" outlineLevel="0" collapsed="false">
      <c r="B1149" s="70"/>
      <c r="C1149" s="71"/>
      <c r="D1149" s="71"/>
      <c r="E1149" s="71"/>
      <c r="F1149" s="71"/>
      <c r="G1149" s="72"/>
      <c r="J1149" s="71"/>
      <c r="K1149" s="71"/>
      <c r="L1149" s="71"/>
      <c r="M1149" s="71"/>
    </row>
    <row r="1150" customFormat="false" ht="15" hidden="false" customHeight="false" outlineLevel="0" collapsed="false">
      <c r="B1150" s="70"/>
      <c r="C1150" s="71"/>
      <c r="D1150" s="71"/>
      <c r="E1150" s="71"/>
      <c r="F1150" s="71"/>
      <c r="G1150" s="72"/>
      <c r="J1150" s="71"/>
      <c r="K1150" s="71"/>
      <c r="L1150" s="71"/>
      <c r="M1150" s="71"/>
    </row>
    <row r="1151" customFormat="false" ht="15" hidden="false" customHeight="false" outlineLevel="0" collapsed="false">
      <c r="B1151" s="70"/>
      <c r="C1151" s="71"/>
      <c r="D1151" s="71"/>
      <c r="E1151" s="71"/>
      <c r="F1151" s="71"/>
      <c r="G1151" s="72"/>
      <c r="J1151" s="71"/>
      <c r="K1151" s="71"/>
      <c r="L1151" s="71"/>
      <c r="M1151" s="71"/>
    </row>
    <row r="1152" customFormat="false" ht="15" hidden="false" customHeight="false" outlineLevel="0" collapsed="false">
      <c r="B1152" s="70"/>
      <c r="C1152" s="71"/>
      <c r="D1152" s="71"/>
      <c r="E1152" s="71"/>
      <c r="F1152" s="71"/>
      <c r="G1152" s="72"/>
      <c r="J1152" s="71"/>
      <c r="K1152" s="71"/>
      <c r="L1152" s="71"/>
      <c r="M1152" s="71"/>
    </row>
    <row r="1153" customFormat="false" ht="15" hidden="false" customHeight="false" outlineLevel="0" collapsed="false">
      <c r="B1153" s="70"/>
      <c r="C1153" s="71"/>
      <c r="D1153" s="71"/>
      <c r="E1153" s="71"/>
      <c r="F1153" s="71"/>
      <c r="G1153" s="72"/>
      <c r="J1153" s="71"/>
      <c r="K1153" s="71"/>
      <c r="L1153" s="71"/>
      <c r="M1153" s="71"/>
    </row>
    <row r="1154" customFormat="false" ht="15" hidden="false" customHeight="false" outlineLevel="0" collapsed="false">
      <c r="B1154" s="70"/>
      <c r="C1154" s="71"/>
      <c r="D1154" s="71"/>
      <c r="E1154" s="71"/>
      <c r="F1154" s="71"/>
      <c r="G1154" s="72"/>
      <c r="J1154" s="71"/>
      <c r="K1154" s="71"/>
      <c r="L1154" s="71"/>
      <c r="M1154" s="71"/>
    </row>
    <row r="1155" customFormat="false" ht="15" hidden="false" customHeight="false" outlineLevel="0" collapsed="false">
      <c r="B1155" s="70"/>
      <c r="C1155" s="71"/>
      <c r="D1155" s="71"/>
      <c r="E1155" s="71"/>
      <c r="F1155" s="71"/>
      <c r="G1155" s="72"/>
      <c r="J1155" s="71"/>
      <c r="K1155" s="71"/>
      <c r="L1155" s="71"/>
      <c r="M1155" s="71"/>
    </row>
    <row r="1156" customFormat="false" ht="15" hidden="false" customHeight="false" outlineLevel="0" collapsed="false">
      <c r="B1156" s="70"/>
      <c r="C1156" s="71"/>
      <c r="D1156" s="71"/>
      <c r="E1156" s="71"/>
      <c r="F1156" s="71"/>
      <c r="G1156" s="72"/>
      <c r="J1156" s="71"/>
      <c r="K1156" s="71"/>
      <c r="L1156" s="71"/>
      <c r="M1156" s="71"/>
    </row>
    <row r="1157" customFormat="false" ht="15" hidden="false" customHeight="false" outlineLevel="0" collapsed="false">
      <c r="B1157" s="70"/>
      <c r="C1157" s="71"/>
      <c r="D1157" s="71"/>
      <c r="E1157" s="71"/>
      <c r="F1157" s="71"/>
      <c r="G1157" s="72"/>
      <c r="J1157" s="71"/>
      <c r="K1157" s="71"/>
      <c r="L1157" s="71"/>
      <c r="M1157" s="71"/>
    </row>
    <row r="1158" customFormat="false" ht="15" hidden="false" customHeight="false" outlineLevel="0" collapsed="false">
      <c r="B1158" s="70"/>
      <c r="C1158" s="71"/>
      <c r="D1158" s="71"/>
      <c r="E1158" s="71"/>
      <c r="F1158" s="71"/>
      <c r="G1158" s="72"/>
      <c r="J1158" s="71"/>
      <c r="K1158" s="71"/>
      <c r="L1158" s="71"/>
      <c r="M1158" s="71"/>
    </row>
    <row r="1159" customFormat="false" ht="15" hidden="false" customHeight="false" outlineLevel="0" collapsed="false">
      <c r="B1159" s="70"/>
      <c r="C1159" s="71"/>
      <c r="D1159" s="71"/>
      <c r="E1159" s="71"/>
      <c r="F1159" s="71"/>
      <c r="G1159" s="72"/>
      <c r="J1159" s="71"/>
      <c r="K1159" s="71"/>
      <c r="L1159" s="71"/>
      <c r="M1159" s="71"/>
    </row>
    <row r="1160" customFormat="false" ht="15" hidden="false" customHeight="false" outlineLevel="0" collapsed="false">
      <c r="B1160" s="70"/>
      <c r="C1160" s="71"/>
      <c r="D1160" s="71"/>
      <c r="E1160" s="71"/>
      <c r="F1160" s="71"/>
      <c r="G1160" s="72"/>
      <c r="J1160" s="71"/>
      <c r="K1160" s="71"/>
      <c r="L1160" s="71"/>
      <c r="M1160" s="71"/>
    </row>
    <row r="1161" customFormat="false" ht="15" hidden="false" customHeight="false" outlineLevel="0" collapsed="false">
      <c r="B1161" s="70"/>
      <c r="C1161" s="71"/>
      <c r="D1161" s="71"/>
      <c r="E1161" s="71"/>
      <c r="F1161" s="71"/>
      <c r="G1161" s="72"/>
      <c r="J1161" s="71"/>
      <c r="K1161" s="71"/>
      <c r="L1161" s="71"/>
      <c r="M1161" s="71"/>
    </row>
    <row r="1162" customFormat="false" ht="15" hidden="false" customHeight="false" outlineLevel="0" collapsed="false">
      <c r="B1162" s="70"/>
      <c r="C1162" s="71"/>
      <c r="D1162" s="71"/>
      <c r="E1162" s="71"/>
      <c r="F1162" s="71"/>
      <c r="G1162" s="72"/>
      <c r="J1162" s="71"/>
      <c r="K1162" s="71"/>
      <c r="L1162" s="71"/>
      <c r="M1162" s="71"/>
    </row>
    <row r="1163" customFormat="false" ht="15" hidden="false" customHeight="false" outlineLevel="0" collapsed="false">
      <c r="B1163" s="70"/>
      <c r="C1163" s="71"/>
      <c r="D1163" s="71"/>
      <c r="E1163" s="71"/>
      <c r="F1163" s="71"/>
      <c r="G1163" s="72"/>
      <c r="J1163" s="71"/>
      <c r="K1163" s="71"/>
      <c r="L1163" s="71"/>
      <c r="M1163" s="71"/>
    </row>
    <row r="1164" customFormat="false" ht="15" hidden="false" customHeight="false" outlineLevel="0" collapsed="false">
      <c r="B1164" s="70"/>
      <c r="C1164" s="71"/>
      <c r="D1164" s="71"/>
      <c r="E1164" s="71"/>
      <c r="F1164" s="71"/>
      <c r="G1164" s="72"/>
      <c r="J1164" s="71"/>
      <c r="K1164" s="71"/>
      <c r="L1164" s="71"/>
      <c r="M1164" s="71"/>
    </row>
    <row r="1165" customFormat="false" ht="15" hidden="false" customHeight="false" outlineLevel="0" collapsed="false">
      <c r="B1165" s="70"/>
      <c r="C1165" s="71"/>
      <c r="D1165" s="71"/>
      <c r="E1165" s="71"/>
      <c r="F1165" s="71"/>
      <c r="G1165" s="72"/>
      <c r="J1165" s="71"/>
      <c r="K1165" s="71"/>
      <c r="L1165" s="71"/>
      <c r="M1165" s="71"/>
    </row>
    <row r="1166" customFormat="false" ht="15" hidden="false" customHeight="false" outlineLevel="0" collapsed="false">
      <c r="B1166" s="70"/>
      <c r="C1166" s="71"/>
      <c r="D1166" s="71"/>
      <c r="E1166" s="71"/>
      <c r="F1166" s="71"/>
      <c r="G1166" s="72"/>
      <c r="J1166" s="71"/>
      <c r="K1166" s="71"/>
      <c r="L1166" s="71"/>
      <c r="M1166" s="71"/>
    </row>
    <row r="1167" customFormat="false" ht="15" hidden="false" customHeight="false" outlineLevel="0" collapsed="false">
      <c r="B1167" s="70"/>
      <c r="C1167" s="71"/>
      <c r="D1167" s="71"/>
      <c r="E1167" s="71"/>
      <c r="F1167" s="71"/>
      <c r="G1167" s="72"/>
      <c r="J1167" s="71"/>
      <c r="K1167" s="71"/>
      <c r="L1167" s="71"/>
      <c r="M1167" s="71"/>
    </row>
    <row r="1168" customFormat="false" ht="15" hidden="false" customHeight="false" outlineLevel="0" collapsed="false">
      <c r="B1168" s="70"/>
      <c r="C1168" s="71"/>
      <c r="D1168" s="71"/>
      <c r="E1168" s="71"/>
      <c r="F1168" s="71"/>
      <c r="G1168" s="72"/>
      <c r="J1168" s="71"/>
      <c r="K1168" s="71"/>
      <c r="L1168" s="71"/>
      <c r="M1168" s="71"/>
    </row>
    <row r="1169" customFormat="false" ht="15" hidden="false" customHeight="false" outlineLevel="0" collapsed="false">
      <c r="B1169" s="70"/>
      <c r="C1169" s="71"/>
      <c r="D1169" s="71"/>
      <c r="E1169" s="71"/>
      <c r="F1169" s="71"/>
      <c r="G1169" s="72"/>
      <c r="J1169" s="71"/>
      <c r="K1169" s="71"/>
      <c r="L1169" s="71"/>
      <c r="M1169" s="71"/>
    </row>
    <row r="1170" customFormat="false" ht="15" hidden="false" customHeight="false" outlineLevel="0" collapsed="false">
      <c r="B1170" s="70"/>
      <c r="C1170" s="71"/>
      <c r="D1170" s="71"/>
      <c r="E1170" s="71"/>
      <c r="F1170" s="71"/>
      <c r="G1170" s="72"/>
      <c r="J1170" s="71"/>
      <c r="K1170" s="71"/>
      <c r="L1170" s="71"/>
      <c r="M1170" s="71"/>
    </row>
    <row r="1171" customFormat="false" ht="15" hidden="false" customHeight="false" outlineLevel="0" collapsed="false">
      <c r="B1171" s="70"/>
      <c r="C1171" s="71"/>
      <c r="D1171" s="71"/>
      <c r="E1171" s="71"/>
      <c r="F1171" s="71"/>
      <c r="G1171" s="72"/>
      <c r="J1171" s="71"/>
      <c r="K1171" s="71"/>
      <c r="L1171" s="71"/>
      <c r="M1171" s="71"/>
    </row>
    <row r="1172" customFormat="false" ht="15" hidden="false" customHeight="false" outlineLevel="0" collapsed="false">
      <c r="B1172" s="70"/>
      <c r="C1172" s="71"/>
      <c r="D1172" s="71"/>
      <c r="E1172" s="71"/>
      <c r="F1172" s="71"/>
      <c r="G1172" s="72"/>
      <c r="J1172" s="71"/>
      <c r="K1172" s="71"/>
      <c r="L1172" s="71"/>
      <c r="M1172" s="71"/>
    </row>
    <row r="1173" customFormat="false" ht="15" hidden="false" customHeight="false" outlineLevel="0" collapsed="false">
      <c r="B1173" s="70"/>
      <c r="C1173" s="71"/>
      <c r="D1173" s="71"/>
      <c r="E1173" s="71"/>
      <c r="F1173" s="71"/>
      <c r="G1173" s="72"/>
      <c r="J1173" s="71"/>
      <c r="K1173" s="71"/>
      <c r="L1173" s="71"/>
      <c r="M1173" s="71"/>
    </row>
    <row r="1174" customFormat="false" ht="15" hidden="false" customHeight="false" outlineLevel="0" collapsed="false">
      <c r="B1174" s="70"/>
      <c r="C1174" s="71"/>
      <c r="D1174" s="71"/>
      <c r="E1174" s="71"/>
      <c r="F1174" s="71"/>
      <c r="G1174" s="72"/>
      <c r="J1174" s="71"/>
      <c r="K1174" s="71"/>
      <c r="L1174" s="71"/>
      <c r="M1174" s="71"/>
    </row>
    <row r="1175" customFormat="false" ht="15" hidden="false" customHeight="false" outlineLevel="0" collapsed="false">
      <c r="B1175" s="70"/>
      <c r="C1175" s="71"/>
      <c r="D1175" s="71"/>
      <c r="E1175" s="71"/>
      <c r="F1175" s="71"/>
      <c r="G1175" s="72"/>
      <c r="J1175" s="71"/>
      <c r="K1175" s="71"/>
      <c r="L1175" s="71"/>
      <c r="M1175" s="71"/>
    </row>
    <row r="1176" customFormat="false" ht="15" hidden="false" customHeight="false" outlineLevel="0" collapsed="false">
      <c r="B1176" s="70"/>
      <c r="C1176" s="71"/>
      <c r="D1176" s="71"/>
      <c r="E1176" s="71"/>
      <c r="F1176" s="71"/>
      <c r="G1176" s="72"/>
      <c r="J1176" s="71"/>
      <c r="K1176" s="71"/>
      <c r="L1176" s="71"/>
      <c r="M1176" s="71"/>
    </row>
    <row r="1177" customFormat="false" ht="15" hidden="false" customHeight="false" outlineLevel="0" collapsed="false">
      <c r="B1177" s="70"/>
      <c r="C1177" s="71"/>
      <c r="D1177" s="71"/>
      <c r="E1177" s="71"/>
      <c r="F1177" s="71"/>
      <c r="G1177" s="72"/>
      <c r="J1177" s="71"/>
      <c r="K1177" s="71"/>
      <c r="L1177" s="71"/>
      <c r="M1177" s="71"/>
    </row>
    <row r="1178" customFormat="false" ht="15" hidden="false" customHeight="false" outlineLevel="0" collapsed="false">
      <c r="B1178" s="70"/>
      <c r="C1178" s="71"/>
      <c r="D1178" s="71"/>
      <c r="E1178" s="71"/>
      <c r="F1178" s="71"/>
      <c r="G1178" s="72"/>
      <c r="J1178" s="71"/>
      <c r="K1178" s="71"/>
      <c r="L1178" s="71"/>
      <c r="M1178" s="71"/>
    </row>
    <row r="1179" customFormat="false" ht="15" hidden="false" customHeight="false" outlineLevel="0" collapsed="false">
      <c r="B1179" s="70"/>
      <c r="C1179" s="71"/>
      <c r="D1179" s="71"/>
      <c r="E1179" s="71"/>
      <c r="F1179" s="71"/>
      <c r="G1179" s="72"/>
      <c r="J1179" s="71"/>
      <c r="K1179" s="71"/>
      <c r="L1179" s="71"/>
      <c r="M1179" s="71"/>
    </row>
    <row r="1180" customFormat="false" ht="15" hidden="false" customHeight="false" outlineLevel="0" collapsed="false">
      <c r="B1180" s="70"/>
      <c r="C1180" s="71"/>
      <c r="D1180" s="71"/>
      <c r="E1180" s="71"/>
      <c r="F1180" s="71"/>
      <c r="G1180" s="72"/>
      <c r="J1180" s="71"/>
      <c r="K1180" s="71"/>
      <c r="L1180" s="71"/>
      <c r="M1180" s="71"/>
    </row>
    <row r="1181" customFormat="false" ht="15" hidden="false" customHeight="false" outlineLevel="0" collapsed="false">
      <c r="B1181" s="70"/>
      <c r="C1181" s="71"/>
      <c r="D1181" s="71"/>
      <c r="E1181" s="71"/>
      <c r="F1181" s="71"/>
      <c r="G1181" s="72"/>
      <c r="J1181" s="71"/>
      <c r="K1181" s="71"/>
      <c r="L1181" s="71"/>
      <c r="M1181" s="71"/>
    </row>
    <row r="1182" customFormat="false" ht="15" hidden="false" customHeight="false" outlineLevel="0" collapsed="false">
      <c r="B1182" s="70"/>
      <c r="C1182" s="71"/>
      <c r="D1182" s="71"/>
      <c r="E1182" s="71"/>
      <c r="F1182" s="71"/>
      <c r="G1182" s="72"/>
      <c r="J1182" s="71"/>
      <c r="K1182" s="71"/>
      <c r="L1182" s="71"/>
      <c r="M1182" s="71"/>
    </row>
    <row r="1183" customFormat="false" ht="15" hidden="false" customHeight="false" outlineLevel="0" collapsed="false">
      <c r="B1183" s="70"/>
      <c r="C1183" s="71"/>
      <c r="D1183" s="71"/>
      <c r="E1183" s="71"/>
      <c r="F1183" s="71"/>
      <c r="G1183" s="72"/>
      <c r="J1183" s="71"/>
      <c r="K1183" s="71"/>
      <c r="L1183" s="71"/>
      <c r="M1183" s="71"/>
    </row>
    <row r="1184" customFormat="false" ht="15" hidden="false" customHeight="false" outlineLevel="0" collapsed="false">
      <c r="B1184" s="70"/>
      <c r="C1184" s="71"/>
      <c r="D1184" s="71"/>
      <c r="E1184" s="71"/>
      <c r="F1184" s="71"/>
      <c r="G1184" s="72"/>
      <c r="J1184" s="71"/>
      <c r="K1184" s="71"/>
      <c r="L1184" s="71"/>
      <c r="M1184" s="71"/>
    </row>
    <row r="1185" customFormat="false" ht="15" hidden="false" customHeight="false" outlineLevel="0" collapsed="false">
      <c r="B1185" s="70"/>
      <c r="C1185" s="71"/>
      <c r="D1185" s="71"/>
      <c r="E1185" s="71"/>
      <c r="F1185" s="71"/>
      <c r="G1185" s="72"/>
      <c r="J1185" s="71"/>
      <c r="K1185" s="71"/>
      <c r="L1185" s="71"/>
      <c r="M1185" s="71"/>
    </row>
    <row r="1186" customFormat="false" ht="15" hidden="false" customHeight="false" outlineLevel="0" collapsed="false">
      <c r="B1186" s="70"/>
      <c r="C1186" s="71"/>
      <c r="D1186" s="71"/>
      <c r="E1186" s="71"/>
      <c r="F1186" s="71"/>
      <c r="G1186" s="72"/>
      <c r="J1186" s="71"/>
      <c r="K1186" s="71"/>
      <c r="L1186" s="71"/>
      <c r="M1186" s="71"/>
    </row>
    <row r="1187" customFormat="false" ht="15" hidden="false" customHeight="false" outlineLevel="0" collapsed="false">
      <c r="B1187" s="70"/>
      <c r="C1187" s="71"/>
      <c r="D1187" s="71"/>
      <c r="E1187" s="71"/>
      <c r="F1187" s="71"/>
      <c r="G1187" s="72"/>
      <c r="J1187" s="71"/>
      <c r="K1187" s="71"/>
      <c r="L1187" s="71"/>
      <c r="M1187" s="71"/>
    </row>
    <row r="1188" customFormat="false" ht="15" hidden="false" customHeight="false" outlineLevel="0" collapsed="false">
      <c r="B1188" s="70"/>
      <c r="C1188" s="71"/>
      <c r="D1188" s="71"/>
      <c r="E1188" s="71"/>
      <c r="F1188" s="71"/>
      <c r="G1188" s="72"/>
      <c r="J1188" s="71"/>
      <c r="K1188" s="71"/>
      <c r="L1188" s="71"/>
      <c r="M1188" s="71"/>
    </row>
    <row r="1189" customFormat="false" ht="15" hidden="false" customHeight="false" outlineLevel="0" collapsed="false">
      <c r="B1189" s="70"/>
      <c r="C1189" s="71"/>
      <c r="D1189" s="71"/>
      <c r="E1189" s="71"/>
      <c r="F1189" s="71"/>
      <c r="G1189" s="72"/>
      <c r="J1189" s="71"/>
      <c r="K1189" s="71"/>
      <c r="L1189" s="71"/>
      <c r="M1189" s="71"/>
    </row>
    <row r="1190" customFormat="false" ht="15" hidden="false" customHeight="false" outlineLevel="0" collapsed="false">
      <c r="B1190" s="70"/>
      <c r="C1190" s="71"/>
      <c r="D1190" s="71"/>
      <c r="E1190" s="71"/>
      <c r="F1190" s="71"/>
      <c r="G1190" s="72"/>
      <c r="J1190" s="71"/>
      <c r="K1190" s="71"/>
      <c r="L1190" s="71"/>
      <c r="M1190" s="71"/>
    </row>
    <row r="1191" customFormat="false" ht="15" hidden="false" customHeight="false" outlineLevel="0" collapsed="false">
      <c r="B1191" s="70"/>
      <c r="C1191" s="71"/>
      <c r="D1191" s="71"/>
      <c r="E1191" s="71"/>
      <c r="F1191" s="71"/>
      <c r="G1191" s="72"/>
      <c r="J1191" s="71"/>
      <c r="K1191" s="71"/>
      <c r="L1191" s="71"/>
      <c r="M1191" s="71"/>
    </row>
    <row r="1192" customFormat="false" ht="15" hidden="false" customHeight="false" outlineLevel="0" collapsed="false">
      <c r="B1192" s="70"/>
      <c r="C1192" s="71"/>
      <c r="D1192" s="71"/>
      <c r="E1192" s="71"/>
      <c r="F1192" s="71"/>
      <c r="G1192" s="72"/>
      <c r="J1192" s="71"/>
      <c r="K1192" s="71"/>
      <c r="L1192" s="71"/>
      <c r="M1192" s="71"/>
    </row>
    <row r="1193" customFormat="false" ht="15" hidden="false" customHeight="false" outlineLevel="0" collapsed="false">
      <c r="B1193" s="70"/>
      <c r="C1193" s="71"/>
      <c r="D1193" s="71"/>
      <c r="E1193" s="71"/>
      <c r="F1193" s="71"/>
      <c r="G1193" s="72"/>
      <c r="J1193" s="71"/>
      <c r="K1193" s="71"/>
      <c r="L1193" s="71"/>
      <c r="M1193" s="71"/>
    </row>
    <row r="1194" customFormat="false" ht="15" hidden="false" customHeight="false" outlineLevel="0" collapsed="false">
      <c r="B1194" s="70"/>
      <c r="C1194" s="71"/>
      <c r="D1194" s="71"/>
      <c r="E1194" s="71"/>
      <c r="F1194" s="71"/>
      <c r="G1194" s="72"/>
      <c r="J1194" s="71"/>
      <c r="K1194" s="71"/>
      <c r="L1194" s="71"/>
      <c r="M1194" s="71"/>
    </row>
    <row r="1195" customFormat="false" ht="15" hidden="false" customHeight="false" outlineLevel="0" collapsed="false">
      <c r="B1195" s="70"/>
      <c r="C1195" s="71"/>
      <c r="D1195" s="71"/>
      <c r="E1195" s="71"/>
      <c r="F1195" s="71"/>
      <c r="G1195" s="72"/>
      <c r="J1195" s="71"/>
      <c r="K1195" s="71"/>
      <c r="L1195" s="71"/>
      <c r="M1195" s="71"/>
    </row>
    <row r="1196" customFormat="false" ht="15" hidden="false" customHeight="false" outlineLevel="0" collapsed="false">
      <c r="B1196" s="70"/>
      <c r="C1196" s="71"/>
      <c r="D1196" s="71"/>
      <c r="E1196" s="71"/>
      <c r="F1196" s="71"/>
      <c r="G1196" s="72"/>
      <c r="J1196" s="71"/>
      <c r="K1196" s="71"/>
      <c r="L1196" s="71"/>
      <c r="M1196" s="71"/>
    </row>
    <row r="1197" customFormat="false" ht="15" hidden="false" customHeight="false" outlineLevel="0" collapsed="false">
      <c r="B1197" s="70"/>
      <c r="C1197" s="71"/>
      <c r="D1197" s="71"/>
      <c r="E1197" s="71"/>
      <c r="F1197" s="71"/>
      <c r="G1197" s="72"/>
      <c r="J1197" s="71"/>
      <c r="K1197" s="71"/>
      <c r="L1197" s="71"/>
      <c r="M1197" s="71"/>
    </row>
    <row r="1198" customFormat="false" ht="15" hidden="false" customHeight="false" outlineLevel="0" collapsed="false">
      <c r="B1198" s="70"/>
      <c r="C1198" s="71"/>
      <c r="D1198" s="71"/>
      <c r="E1198" s="71"/>
      <c r="F1198" s="71"/>
      <c r="G1198" s="72"/>
      <c r="J1198" s="71"/>
      <c r="K1198" s="71"/>
      <c r="L1198" s="71"/>
      <c r="M1198" s="71"/>
    </row>
    <row r="1199" customFormat="false" ht="15" hidden="false" customHeight="false" outlineLevel="0" collapsed="false">
      <c r="B1199" s="70"/>
      <c r="C1199" s="71"/>
      <c r="D1199" s="71"/>
      <c r="E1199" s="71"/>
      <c r="F1199" s="71"/>
      <c r="G1199" s="72"/>
      <c r="J1199" s="71"/>
      <c r="K1199" s="71"/>
      <c r="L1199" s="71"/>
      <c r="M1199" s="71"/>
    </row>
    <row r="1200" customFormat="false" ht="15" hidden="false" customHeight="false" outlineLevel="0" collapsed="false">
      <c r="B1200" s="70"/>
      <c r="C1200" s="71"/>
      <c r="D1200" s="71"/>
      <c r="E1200" s="71"/>
      <c r="F1200" s="71"/>
      <c r="G1200" s="72"/>
      <c r="J1200" s="71"/>
      <c r="K1200" s="71"/>
      <c r="L1200" s="71"/>
      <c r="M1200" s="71"/>
    </row>
    <row r="1201" customFormat="false" ht="15" hidden="false" customHeight="false" outlineLevel="0" collapsed="false">
      <c r="B1201" s="70"/>
      <c r="C1201" s="71"/>
      <c r="D1201" s="71"/>
      <c r="E1201" s="71"/>
      <c r="F1201" s="71"/>
      <c r="G1201" s="72"/>
      <c r="J1201" s="71"/>
      <c r="K1201" s="71"/>
      <c r="L1201" s="71"/>
      <c r="M1201" s="71"/>
    </row>
    <row r="1202" customFormat="false" ht="15" hidden="false" customHeight="false" outlineLevel="0" collapsed="false">
      <c r="B1202" s="70"/>
      <c r="C1202" s="71"/>
      <c r="D1202" s="71"/>
      <c r="E1202" s="71"/>
      <c r="F1202" s="71"/>
      <c r="G1202" s="72"/>
      <c r="J1202" s="71"/>
      <c r="K1202" s="71"/>
      <c r="L1202" s="71"/>
      <c r="M1202" s="71"/>
    </row>
    <row r="1203" customFormat="false" ht="15" hidden="false" customHeight="false" outlineLevel="0" collapsed="false">
      <c r="B1203" s="70"/>
      <c r="C1203" s="71"/>
      <c r="D1203" s="71"/>
      <c r="E1203" s="71"/>
      <c r="F1203" s="71"/>
      <c r="G1203" s="72"/>
      <c r="J1203" s="71"/>
      <c r="K1203" s="71"/>
      <c r="L1203" s="71"/>
      <c r="M1203" s="71"/>
    </row>
    <row r="1204" customFormat="false" ht="15" hidden="false" customHeight="false" outlineLevel="0" collapsed="false">
      <c r="B1204" s="70"/>
      <c r="C1204" s="71"/>
      <c r="D1204" s="71"/>
      <c r="E1204" s="71"/>
      <c r="F1204" s="71"/>
      <c r="G1204" s="72"/>
      <c r="J1204" s="71"/>
      <c r="K1204" s="71"/>
      <c r="L1204" s="71"/>
      <c r="M1204" s="71"/>
    </row>
    <row r="1205" customFormat="false" ht="15" hidden="false" customHeight="false" outlineLevel="0" collapsed="false">
      <c r="B1205" s="70"/>
      <c r="C1205" s="71"/>
      <c r="D1205" s="71"/>
      <c r="E1205" s="71"/>
      <c r="F1205" s="71"/>
      <c r="G1205" s="72"/>
      <c r="J1205" s="71"/>
      <c r="K1205" s="71"/>
      <c r="L1205" s="71"/>
      <c r="M1205" s="71"/>
    </row>
    <row r="1206" customFormat="false" ht="15" hidden="false" customHeight="false" outlineLevel="0" collapsed="false">
      <c r="B1206" s="70"/>
      <c r="C1206" s="71"/>
      <c r="D1206" s="71"/>
      <c r="E1206" s="71"/>
      <c r="F1206" s="71"/>
      <c r="G1206" s="72"/>
      <c r="J1206" s="71"/>
      <c r="K1206" s="71"/>
      <c r="L1206" s="71"/>
      <c r="M1206" s="71"/>
    </row>
    <row r="1207" customFormat="false" ht="15" hidden="false" customHeight="false" outlineLevel="0" collapsed="false">
      <c r="B1207" s="70"/>
      <c r="C1207" s="71"/>
      <c r="D1207" s="71"/>
      <c r="E1207" s="71"/>
      <c r="F1207" s="71"/>
      <c r="G1207" s="72"/>
      <c r="J1207" s="71"/>
      <c r="K1207" s="71"/>
      <c r="L1207" s="71"/>
      <c r="M1207" s="71"/>
    </row>
    <row r="1208" customFormat="false" ht="15" hidden="false" customHeight="false" outlineLevel="0" collapsed="false">
      <c r="B1208" s="70"/>
      <c r="C1208" s="71"/>
      <c r="D1208" s="71"/>
      <c r="E1208" s="71"/>
      <c r="F1208" s="71"/>
      <c r="G1208" s="72"/>
      <c r="J1208" s="71"/>
      <c r="K1208" s="71"/>
      <c r="L1208" s="71"/>
      <c r="M1208" s="71"/>
    </row>
    <row r="1209" customFormat="false" ht="15" hidden="false" customHeight="false" outlineLevel="0" collapsed="false">
      <c r="B1209" s="70"/>
      <c r="C1209" s="71"/>
      <c r="D1209" s="71"/>
      <c r="E1209" s="71"/>
      <c r="F1209" s="71"/>
      <c r="G1209" s="72"/>
      <c r="J1209" s="71"/>
      <c r="K1209" s="71"/>
      <c r="L1209" s="71"/>
      <c r="M1209" s="71"/>
    </row>
    <row r="1210" customFormat="false" ht="15" hidden="false" customHeight="false" outlineLevel="0" collapsed="false">
      <c r="B1210" s="70"/>
      <c r="C1210" s="71"/>
      <c r="D1210" s="71"/>
      <c r="E1210" s="71"/>
      <c r="F1210" s="71"/>
      <c r="G1210" s="72"/>
      <c r="J1210" s="71"/>
      <c r="K1210" s="71"/>
      <c r="L1210" s="71"/>
      <c r="M1210" s="71"/>
    </row>
    <row r="1211" customFormat="false" ht="15" hidden="false" customHeight="false" outlineLevel="0" collapsed="false">
      <c r="B1211" s="70"/>
      <c r="C1211" s="71"/>
      <c r="D1211" s="71"/>
      <c r="E1211" s="71"/>
      <c r="F1211" s="71"/>
      <c r="G1211" s="72"/>
      <c r="J1211" s="71"/>
      <c r="K1211" s="71"/>
      <c r="L1211" s="71"/>
      <c r="M1211" s="71"/>
    </row>
    <row r="1212" customFormat="false" ht="15" hidden="false" customHeight="false" outlineLevel="0" collapsed="false">
      <c r="B1212" s="70"/>
      <c r="C1212" s="71"/>
      <c r="D1212" s="71"/>
      <c r="E1212" s="71"/>
      <c r="F1212" s="71"/>
      <c r="G1212" s="72"/>
      <c r="J1212" s="71"/>
      <c r="K1212" s="71"/>
      <c r="L1212" s="71"/>
      <c r="M1212" s="71"/>
    </row>
    <row r="1213" customFormat="false" ht="15" hidden="false" customHeight="false" outlineLevel="0" collapsed="false">
      <c r="B1213" s="70"/>
      <c r="C1213" s="71"/>
      <c r="D1213" s="71"/>
      <c r="E1213" s="71"/>
      <c r="F1213" s="71"/>
      <c r="G1213" s="72"/>
      <c r="J1213" s="71"/>
      <c r="K1213" s="71"/>
      <c r="L1213" s="71"/>
      <c r="M1213" s="71"/>
    </row>
    <row r="1214" customFormat="false" ht="15" hidden="false" customHeight="false" outlineLevel="0" collapsed="false">
      <c r="B1214" s="70"/>
      <c r="C1214" s="71"/>
      <c r="D1214" s="71"/>
      <c r="E1214" s="71"/>
      <c r="F1214" s="71"/>
      <c r="G1214" s="72"/>
      <c r="J1214" s="71"/>
      <c r="K1214" s="71"/>
      <c r="L1214" s="71"/>
      <c r="M1214" s="71"/>
    </row>
    <row r="1215" customFormat="false" ht="15" hidden="false" customHeight="false" outlineLevel="0" collapsed="false">
      <c r="B1215" s="70"/>
      <c r="C1215" s="71"/>
      <c r="D1215" s="71"/>
      <c r="E1215" s="71"/>
      <c r="F1215" s="71"/>
      <c r="G1215" s="72"/>
      <c r="J1215" s="71"/>
      <c r="K1215" s="71"/>
      <c r="L1215" s="71"/>
      <c r="M1215" s="71"/>
    </row>
    <row r="1216" customFormat="false" ht="15" hidden="false" customHeight="false" outlineLevel="0" collapsed="false">
      <c r="B1216" s="70"/>
      <c r="C1216" s="71"/>
      <c r="D1216" s="71"/>
      <c r="E1216" s="71"/>
      <c r="F1216" s="71"/>
      <c r="G1216" s="72"/>
      <c r="J1216" s="71"/>
      <c r="K1216" s="71"/>
      <c r="L1216" s="71"/>
      <c r="M1216" s="71"/>
    </row>
    <row r="1217" customFormat="false" ht="15" hidden="false" customHeight="false" outlineLevel="0" collapsed="false">
      <c r="B1217" s="70"/>
      <c r="C1217" s="71"/>
      <c r="D1217" s="71"/>
      <c r="E1217" s="71"/>
      <c r="F1217" s="71"/>
      <c r="G1217" s="72"/>
      <c r="J1217" s="71"/>
      <c r="K1217" s="71"/>
      <c r="L1217" s="71"/>
      <c r="M1217" s="71"/>
    </row>
    <row r="1218" customFormat="false" ht="15" hidden="false" customHeight="false" outlineLevel="0" collapsed="false">
      <c r="B1218" s="70"/>
      <c r="C1218" s="71"/>
      <c r="D1218" s="71"/>
      <c r="E1218" s="71"/>
      <c r="F1218" s="71"/>
      <c r="G1218" s="72"/>
      <c r="J1218" s="71"/>
      <c r="K1218" s="71"/>
      <c r="L1218" s="71"/>
      <c r="M1218" s="71"/>
    </row>
    <row r="1219" customFormat="false" ht="15" hidden="false" customHeight="false" outlineLevel="0" collapsed="false">
      <c r="B1219" s="70"/>
      <c r="C1219" s="71"/>
      <c r="D1219" s="71"/>
      <c r="E1219" s="71"/>
      <c r="F1219" s="71"/>
      <c r="G1219" s="72"/>
      <c r="J1219" s="71"/>
      <c r="K1219" s="71"/>
      <c r="L1219" s="71"/>
      <c r="M1219" s="71"/>
    </row>
    <row r="1220" customFormat="false" ht="15" hidden="false" customHeight="false" outlineLevel="0" collapsed="false">
      <c r="B1220" s="70"/>
      <c r="C1220" s="71"/>
      <c r="D1220" s="71"/>
      <c r="E1220" s="71"/>
      <c r="F1220" s="71"/>
      <c r="G1220" s="72"/>
      <c r="J1220" s="71"/>
      <c r="K1220" s="71"/>
      <c r="L1220" s="71"/>
      <c r="M1220" s="71"/>
    </row>
    <row r="1221" customFormat="false" ht="15" hidden="false" customHeight="false" outlineLevel="0" collapsed="false">
      <c r="B1221" s="70"/>
      <c r="C1221" s="71"/>
      <c r="D1221" s="71"/>
      <c r="E1221" s="71"/>
      <c r="F1221" s="71"/>
      <c r="G1221" s="72"/>
      <c r="J1221" s="71"/>
      <c r="K1221" s="71"/>
      <c r="L1221" s="71"/>
      <c r="M1221" s="71"/>
    </row>
    <row r="1222" customFormat="false" ht="15" hidden="false" customHeight="false" outlineLevel="0" collapsed="false">
      <c r="B1222" s="70"/>
      <c r="C1222" s="71"/>
      <c r="D1222" s="71"/>
      <c r="E1222" s="71"/>
      <c r="F1222" s="71"/>
      <c r="G1222" s="72"/>
      <c r="J1222" s="71"/>
      <c r="K1222" s="71"/>
      <c r="L1222" s="71"/>
      <c r="M1222" s="71"/>
    </row>
    <row r="1223" customFormat="false" ht="15" hidden="false" customHeight="false" outlineLevel="0" collapsed="false">
      <c r="B1223" s="70"/>
      <c r="C1223" s="71"/>
      <c r="D1223" s="71"/>
      <c r="E1223" s="71"/>
      <c r="F1223" s="71"/>
      <c r="G1223" s="72"/>
      <c r="J1223" s="71"/>
      <c r="K1223" s="71"/>
      <c r="L1223" s="71"/>
      <c r="M1223" s="71"/>
    </row>
    <row r="1224" customFormat="false" ht="15" hidden="false" customHeight="false" outlineLevel="0" collapsed="false">
      <c r="B1224" s="70"/>
      <c r="C1224" s="71"/>
      <c r="D1224" s="71"/>
      <c r="E1224" s="71"/>
      <c r="F1224" s="71"/>
      <c r="G1224" s="72"/>
      <c r="J1224" s="71"/>
      <c r="K1224" s="71"/>
      <c r="L1224" s="71"/>
      <c r="M1224" s="71"/>
    </row>
    <row r="1225" customFormat="false" ht="15" hidden="false" customHeight="false" outlineLevel="0" collapsed="false">
      <c r="B1225" s="70"/>
      <c r="C1225" s="71"/>
      <c r="D1225" s="71"/>
      <c r="E1225" s="71"/>
      <c r="F1225" s="71"/>
      <c r="G1225" s="72"/>
      <c r="J1225" s="71"/>
      <c r="K1225" s="71"/>
      <c r="L1225" s="71"/>
      <c r="M1225" s="71"/>
    </row>
    <row r="1226" customFormat="false" ht="15" hidden="false" customHeight="false" outlineLevel="0" collapsed="false">
      <c r="B1226" s="70"/>
      <c r="C1226" s="71"/>
      <c r="D1226" s="71"/>
      <c r="E1226" s="71"/>
      <c r="F1226" s="71"/>
      <c r="G1226" s="72"/>
      <c r="J1226" s="71"/>
      <c r="K1226" s="71"/>
      <c r="L1226" s="71"/>
      <c r="M1226" s="71"/>
    </row>
    <row r="1227" customFormat="false" ht="15" hidden="false" customHeight="false" outlineLevel="0" collapsed="false">
      <c r="B1227" s="70"/>
      <c r="C1227" s="71"/>
      <c r="D1227" s="71"/>
      <c r="E1227" s="71"/>
      <c r="F1227" s="71"/>
      <c r="G1227" s="72"/>
      <c r="J1227" s="71"/>
      <c r="K1227" s="71"/>
      <c r="L1227" s="71"/>
      <c r="M1227" s="71"/>
    </row>
    <row r="1228" customFormat="false" ht="15" hidden="false" customHeight="false" outlineLevel="0" collapsed="false">
      <c r="B1228" s="70"/>
      <c r="C1228" s="71"/>
      <c r="D1228" s="71"/>
      <c r="E1228" s="71"/>
      <c r="F1228" s="71"/>
      <c r="G1228" s="72"/>
      <c r="J1228" s="71"/>
      <c r="K1228" s="71"/>
      <c r="L1228" s="71"/>
      <c r="M1228" s="71"/>
    </row>
    <row r="1229" customFormat="false" ht="15" hidden="false" customHeight="false" outlineLevel="0" collapsed="false">
      <c r="B1229" s="70"/>
      <c r="C1229" s="71"/>
      <c r="D1229" s="71"/>
      <c r="E1229" s="71"/>
      <c r="F1229" s="71"/>
      <c r="G1229" s="72"/>
      <c r="J1229" s="71"/>
      <c r="K1229" s="71"/>
      <c r="L1229" s="71"/>
      <c r="M1229" s="71"/>
    </row>
    <row r="1230" customFormat="false" ht="15" hidden="false" customHeight="false" outlineLevel="0" collapsed="false">
      <c r="B1230" s="70"/>
      <c r="C1230" s="71"/>
      <c r="D1230" s="71"/>
      <c r="E1230" s="71"/>
      <c r="F1230" s="71"/>
      <c r="G1230" s="72"/>
      <c r="J1230" s="71"/>
      <c r="K1230" s="71"/>
      <c r="L1230" s="71"/>
      <c r="M1230" s="71"/>
    </row>
    <row r="1231" customFormat="false" ht="15" hidden="false" customHeight="false" outlineLevel="0" collapsed="false">
      <c r="B1231" s="70"/>
      <c r="C1231" s="71"/>
      <c r="D1231" s="71"/>
      <c r="E1231" s="71"/>
      <c r="F1231" s="71"/>
      <c r="G1231" s="72"/>
      <c r="J1231" s="71"/>
      <c r="K1231" s="71"/>
      <c r="L1231" s="71"/>
      <c r="M1231" s="71"/>
    </row>
    <row r="1232" customFormat="false" ht="15" hidden="false" customHeight="false" outlineLevel="0" collapsed="false">
      <c r="B1232" s="70"/>
      <c r="C1232" s="71"/>
      <c r="D1232" s="71"/>
      <c r="E1232" s="71"/>
      <c r="F1232" s="71"/>
      <c r="G1232" s="72"/>
      <c r="J1232" s="71"/>
      <c r="K1232" s="71"/>
      <c r="L1232" s="71"/>
      <c r="M1232" s="71"/>
    </row>
    <row r="1233" customFormat="false" ht="15" hidden="false" customHeight="false" outlineLevel="0" collapsed="false">
      <c r="B1233" s="70"/>
      <c r="C1233" s="71"/>
      <c r="D1233" s="71"/>
      <c r="E1233" s="71"/>
      <c r="F1233" s="71"/>
      <c r="G1233" s="72"/>
      <c r="J1233" s="71"/>
      <c r="K1233" s="71"/>
      <c r="L1233" s="71"/>
      <c r="M1233" s="71"/>
    </row>
    <row r="1234" customFormat="false" ht="15" hidden="false" customHeight="false" outlineLevel="0" collapsed="false">
      <c r="B1234" s="70"/>
      <c r="C1234" s="71"/>
      <c r="D1234" s="71"/>
      <c r="E1234" s="71"/>
      <c r="F1234" s="71"/>
      <c r="G1234" s="72"/>
      <c r="J1234" s="71"/>
      <c r="K1234" s="71"/>
      <c r="L1234" s="71"/>
      <c r="M1234" s="71"/>
    </row>
    <row r="1235" customFormat="false" ht="15" hidden="false" customHeight="false" outlineLevel="0" collapsed="false">
      <c r="B1235" s="70"/>
      <c r="C1235" s="71"/>
      <c r="D1235" s="71"/>
      <c r="E1235" s="71"/>
      <c r="F1235" s="71"/>
      <c r="G1235" s="72"/>
      <c r="J1235" s="71"/>
      <c r="K1235" s="71"/>
      <c r="L1235" s="71"/>
      <c r="M1235" s="71"/>
    </row>
    <row r="1236" customFormat="false" ht="15" hidden="false" customHeight="false" outlineLevel="0" collapsed="false">
      <c r="B1236" s="70"/>
      <c r="C1236" s="71"/>
      <c r="D1236" s="71"/>
      <c r="E1236" s="71"/>
      <c r="F1236" s="71"/>
      <c r="G1236" s="72"/>
      <c r="J1236" s="71"/>
      <c r="K1236" s="71"/>
      <c r="L1236" s="71"/>
      <c r="M1236" s="71"/>
    </row>
    <row r="1237" customFormat="false" ht="15" hidden="false" customHeight="false" outlineLevel="0" collapsed="false">
      <c r="B1237" s="70"/>
      <c r="C1237" s="71"/>
      <c r="D1237" s="71"/>
      <c r="E1237" s="71"/>
      <c r="F1237" s="71"/>
      <c r="G1237" s="72"/>
      <c r="J1237" s="71"/>
      <c r="K1237" s="71"/>
      <c r="L1237" s="71"/>
      <c r="M1237" s="71"/>
    </row>
    <row r="1238" customFormat="false" ht="15" hidden="false" customHeight="false" outlineLevel="0" collapsed="false">
      <c r="B1238" s="70"/>
      <c r="C1238" s="71"/>
      <c r="D1238" s="71"/>
      <c r="E1238" s="71"/>
      <c r="F1238" s="71"/>
      <c r="G1238" s="72"/>
      <c r="J1238" s="71"/>
      <c r="K1238" s="71"/>
      <c r="L1238" s="71"/>
      <c r="M1238" s="71"/>
    </row>
    <row r="1239" customFormat="false" ht="15" hidden="false" customHeight="false" outlineLevel="0" collapsed="false">
      <c r="B1239" s="70"/>
      <c r="C1239" s="71"/>
      <c r="D1239" s="71"/>
      <c r="E1239" s="71"/>
      <c r="F1239" s="71"/>
      <c r="G1239" s="72"/>
      <c r="J1239" s="71"/>
      <c r="K1239" s="71"/>
      <c r="L1239" s="71"/>
      <c r="M1239" s="71"/>
    </row>
    <row r="1240" customFormat="false" ht="15" hidden="false" customHeight="false" outlineLevel="0" collapsed="false">
      <c r="B1240" s="70"/>
      <c r="C1240" s="71"/>
      <c r="D1240" s="71"/>
      <c r="E1240" s="71"/>
      <c r="F1240" s="71"/>
      <c r="G1240" s="72"/>
      <c r="J1240" s="71"/>
      <c r="K1240" s="71"/>
      <c r="L1240" s="71"/>
      <c r="M1240" s="71"/>
    </row>
    <row r="1241" customFormat="false" ht="15" hidden="false" customHeight="false" outlineLevel="0" collapsed="false">
      <c r="B1241" s="70"/>
      <c r="C1241" s="71"/>
      <c r="D1241" s="71"/>
      <c r="E1241" s="71"/>
      <c r="F1241" s="71"/>
      <c r="G1241" s="72"/>
      <c r="J1241" s="71"/>
      <c r="K1241" s="71"/>
      <c r="L1241" s="71"/>
      <c r="M1241" s="71"/>
    </row>
    <row r="1242" customFormat="false" ht="15" hidden="false" customHeight="false" outlineLevel="0" collapsed="false">
      <c r="B1242" s="70"/>
      <c r="C1242" s="71"/>
      <c r="D1242" s="71"/>
      <c r="E1242" s="71"/>
      <c r="F1242" s="71"/>
      <c r="G1242" s="72"/>
      <c r="J1242" s="71"/>
      <c r="K1242" s="71"/>
      <c r="L1242" s="71"/>
      <c r="M1242" s="71"/>
    </row>
    <row r="1243" customFormat="false" ht="15" hidden="false" customHeight="false" outlineLevel="0" collapsed="false">
      <c r="B1243" s="70"/>
      <c r="C1243" s="71"/>
      <c r="D1243" s="71"/>
      <c r="E1243" s="71"/>
      <c r="F1243" s="71"/>
      <c r="G1243" s="72"/>
      <c r="J1243" s="71"/>
      <c r="K1243" s="71"/>
      <c r="L1243" s="71"/>
      <c r="M1243" s="71"/>
    </row>
    <row r="1244" customFormat="false" ht="15" hidden="false" customHeight="false" outlineLevel="0" collapsed="false">
      <c r="B1244" s="70"/>
      <c r="C1244" s="71"/>
      <c r="D1244" s="71"/>
      <c r="E1244" s="71"/>
      <c r="F1244" s="71"/>
      <c r="G1244" s="72"/>
      <c r="J1244" s="71"/>
      <c r="K1244" s="71"/>
      <c r="L1244" s="71"/>
      <c r="M1244" s="71"/>
    </row>
    <row r="1245" customFormat="false" ht="15" hidden="false" customHeight="false" outlineLevel="0" collapsed="false">
      <c r="B1245" s="70"/>
      <c r="C1245" s="71"/>
      <c r="D1245" s="71"/>
      <c r="E1245" s="71"/>
      <c r="F1245" s="71"/>
      <c r="G1245" s="72"/>
      <c r="J1245" s="71"/>
      <c r="K1245" s="71"/>
      <c r="L1245" s="71"/>
      <c r="M1245" s="71"/>
    </row>
    <row r="1246" customFormat="false" ht="15" hidden="false" customHeight="false" outlineLevel="0" collapsed="false">
      <c r="B1246" s="70"/>
      <c r="C1246" s="71"/>
      <c r="D1246" s="71"/>
      <c r="E1246" s="71"/>
      <c r="F1246" s="71"/>
      <c r="G1246" s="72"/>
      <c r="J1246" s="71"/>
      <c r="K1246" s="71"/>
      <c r="L1246" s="71"/>
      <c r="M1246" s="71"/>
    </row>
    <row r="1247" customFormat="false" ht="15" hidden="false" customHeight="false" outlineLevel="0" collapsed="false">
      <c r="B1247" s="70"/>
      <c r="C1247" s="71"/>
      <c r="D1247" s="71"/>
      <c r="E1247" s="71"/>
      <c r="F1247" s="71"/>
      <c r="G1247" s="72"/>
      <c r="J1247" s="71"/>
      <c r="K1247" s="71"/>
      <c r="L1247" s="71"/>
      <c r="M1247" s="71"/>
    </row>
    <row r="1248" customFormat="false" ht="15" hidden="false" customHeight="false" outlineLevel="0" collapsed="false">
      <c r="B1248" s="70"/>
      <c r="C1248" s="71"/>
      <c r="D1248" s="71"/>
      <c r="E1248" s="71"/>
      <c r="F1248" s="71"/>
      <c r="G1248" s="72"/>
      <c r="J1248" s="71"/>
      <c r="K1248" s="71"/>
      <c r="L1248" s="71"/>
      <c r="M1248" s="71"/>
    </row>
    <row r="1249" customFormat="false" ht="15" hidden="false" customHeight="false" outlineLevel="0" collapsed="false">
      <c r="B1249" s="70"/>
      <c r="C1249" s="71"/>
      <c r="D1249" s="71"/>
      <c r="E1249" s="71"/>
      <c r="F1249" s="71"/>
      <c r="G1249" s="72"/>
      <c r="J1249" s="71"/>
      <c r="K1249" s="71"/>
      <c r="L1249" s="71"/>
      <c r="M1249" s="71"/>
    </row>
    <row r="1250" customFormat="false" ht="15" hidden="false" customHeight="false" outlineLevel="0" collapsed="false">
      <c r="B1250" s="70"/>
      <c r="C1250" s="71"/>
      <c r="D1250" s="71"/>
      <c r="E1250" s="71"/>
      <c r="F1250" s="71"/>
      <c r="G1250" s="72"/>
      <c r="J1250" s="71"/>
      <c r="K1250" s="71"/>
      <c r="L1250" s="71"/>
      <c r="M1250" s="71"/>
    </row>
    <row r="1251" customFormat="false" ht="15" hidden="false" customHeight="false" outlineLevel="0" collapsed="false">
      <c r="B1251" s="70"/>
      <c r="C1251" s="71"/>
      <c r="D1251" s="71"/>
      <c r="E1251" s="71"/>
      <c r="F1251" s="71"/>
      <c r="G1251" s="72"/>
      <c r="J1251" s="71"/>
      <c r="K1251" s="71"/>
      <c r="L1251" s="71"/>
      <c r="M1251" s="71"/>
    </row>
    <row r="1252" customFormat="false" ht="15" hidden="false" customHeight="false" outlineLevel="0" collapsed="false">
      <c r="B1252" s="70"/>
      <c r="C1252" s="71"/>
      <c r="D1252" s="71"/>
      <c r="E1252" s="71"/>
      <c r="F1252" s="71"/>
      <c r="G1252" s="72"/>
      <c r="J1252" s="71"/>
      <c r="K1252" s="71"/>
      <c r="L1252" s="71"/>
      <c r="M1252" s="71"/>
    </row>
    <row r="1253" customFormat="false" ht="15" hidden="false" customHeight="false" outlineLevel="0" collapsed="false">
      <c r="B1253" s="70"/>
      <c r="C1253" s="71"/>
      <c r="D1253" s="71"/>
      <c r="E1253" s="71"/>
      <c r="F1253" s="71"/>
      <c r="G1253" s="72"/>
      <c r="J1253" s="71"/>
      <c r="K1253" s="71"/>
      <c r="L1253" s="71"/>
      <c r="M1253" s="71"/>
    </row>
    <row r="1254" customFormat="false" ht="15" hidden="false" customHeight="false" outlineLevel="0" collapsed="false">
      <c r="B1254" s="70"/>
      <c r="C1254" s="71"/>
      <c r="D1254" s="71"/>
      <c r="E1254" s="71"/>
      <c r="F1254" s="71"/>
      <c r="G1254" s="72"/>
      <c r="J1254" s="71"/>
      <c r="K1254" s="71"/>
      <c r="L1254" s="71"/>
      <c r="M1254" s="71"/>
    </row>
    <row r="1255" customFormat="false" ht="15" hidden="false" customHeight="false" outlineLevel="0" collapsed="false">
      <c r="B1255" s="70"/>
      <c r="C1255" s="71"/>
      <c r="D1255" s="71"/>
      <c r="E1255" s="71"/>
      <c r="F1255" s="71"/>
      <c r="G1255" s="72"/>
      <c r="J1255" s="71"/>
      <c r="K1255" s="71"/>
      <c r="L1255" s="71"/>
      <c r="M1255" s="71"/>
    </row>
    <row r="1256" customFormat="false" ht="15" hidden="false" customHeight="false" outlineLevel="0" collapsed="false">
      <c r="B1256" s="70"/>
      <c r="C1256" s="71"/>
      <c r="D1256" s="71"/>
      <c r="E1256" s="71"/>
      <c r="F1256" s="71"/>
      <c r="G1256" s="72"/>
      <c r="J1256" s="71"/>
      <c r="K1256" s="71"/>
      <c r="L1256" s="71"/>
      <c r="M1256" s="71"/>
    </row>
    <row r="1257" customFormat="false" ht="15" hidden="false" customHeight="false" outlineLevel="0" collapsed="false">
      <c r="B1257" s="70"/>
      <c r="C1257" s="71"/>
      <c r="D1257" s="71"/>
      <c r="E1257" s="71"/>
      <c r="F1257" s="71"/>
      <c r="G1257" s="72"/>
      <c r="J1257" s="71"/>
      <c r="K1257" s="71"/>
      <c r="L1257" s="71"/>
      <c r="M1257" s="71"/>
    </row>
    <row r="1258" customFormat="false" ht="15" hidden="false" customHeight="false" outlineLevel="0" collapsed="false">
      <c r="B1258" s="70"/>
      <c r="C1258" s="71"/>
      <c r="D1258" s="71"/>
      <c r="E1258" s="71"/>
      <c r="F1258" s="71"/>
      <c r="G1258" s="72"/>
      <c r="J1258" s="71"/>
      <c r="K1258" s="71"/>
      <c r="L1258" s="71"/>
      <c r="M1258" s="71"/>
    </row>
    <row r="1259" customFormat="false" ht="15" hidden="false" customHeight="false" outlineLevel="0" collapsed="false">
      <c r="B1259" s="70"/>
      <c r="C1259" s="71"/>
      <c r="D1259" s="71"/>
      <c r="E1259" s="71"/>
      <c r="F1259" s="71"/>
      <c r="G1259" s="72"/>
      <c r="J1259" s="71"/>
      <c r="K1259" s="71"/>
      <c r="L1259" s="71"/>
      <c r="M1259" s="71"/>
    </row>
    <row r="1260" customFormat="false" ht="15" hidden="false" customHeight="false" outlineLevel="0" collapsed="false">
      <c r="B1260" s="70"/>
      <c r="C1260" s="71"/>
      <c r="D1260" s="71"/>
      <c r="E1260" s="71"/>
      <c r="F1260" s="71"/>
      <c r="G1260" s="72"/>
      <c r="J1260" s="71"/>
      <c r="K1260" s="71"/>
      <c r="L1260" s="71"/>
      <c r="M1260" s="71"/>
    </row>
    <row r="1261" customFormat="false" ht="15" hidden="false" customHeight="false" outlineLevel="0" collapsed="false">
      <c r="B1261" s="70"/>
      <c r="C1261" s="71"/>
      <c r="D1261" s="71"/>
      <c r="E1261" s="71"/>
      <c r="F1261" s="71"/>
      <c r="G1261" s="72"/>
      <c r="J1261" s="71"/>
      <c r="K1261" s="71"/>
      <c r="L1261" s="71"/>
      <c r="M1261" s="71"/>
    </row>
    <row r="1262" customFormat="false" ht="15" hidden="false" customHeight="false" outlineLevel="0" collapsed="false">
      <c r="B1262" s="70"/>
      <c r="C1262" s="71"/>
      <c r="D1262" s="71"/>
      <c r="E1262" s="71"/>
      <c r="F1262" s="71"/>
      <c r="G1262" s="72"/>
      <c r="J1262" s="71"/>
      <c r="K1262" s="71"/>
      <c r="L1262" s="71"/>
      <c r="M1262" s="71"/>
    </row>
    <row r="1263" customFormat="false" ht="15" hidden="false" customHeight="false" outlineLevel="0" collapsed="false">
      <c r="B1263" s="70"/>
      <c r="C1263" s="71"/>
      <c r="D1263" s="71"/>
      <c r="E1263" s="71"/>
      <c r="F1263" s="71"/>
      <c r="G1263" s="72"/>
      <c r="J1263" s="71"/>
      <c r="K1263" s="71"/>
      <c r="L1263" s="71"/>
      <c r="M1263" s="71"/>
    </row>
    <row r="1264" customFormat="false" ht="15" hidden="false" customHeight="false" outlineLevel="0" collapsed="false">
      <c r="B1264" s="70"/>
      <c r="C1264" s="71"/>
      <c r="D1264" s="71"/>
      <c r="E1264" s="71"/>
      <c r="F1264" s="71"/>
      <c r="G1264" s="72"/>
      <c r="J1264" s="71"/>
      <c r="K1264" s="71"/>
      <c r="L1264" s="71"/>
      <c r="M1264" s="71"/>
    </row>
    <row r="1265" customFormat="false" ht="15" hidden="false" customHeight="false" outlineLevel="0" collapsed="false">
      <c r="B1265" s="70"/>
      <c r="C1265" s="71"/>
      <c r="D1265" s="71"/>
      <c r="E1265" s="71"/>
      <c r="F1265" s="71"/>
      <c r="G1265" s="72"/>
      <c r="J1265" s="71"/>
      <c r="K1265" s="71"/>
      <c r="L1265" s="71"/>
      <c r="M1265" s="71"/>
    </row>
    <row r="1266" customFormat="false" ht="15" hidden="false" customHeight="false" outlineLevel="0" collapsed="false">
      <c r="B1266" s="70"/>
      <c r="C1266" s="71"/>
      <c r="D1266" s="71"/>
      <c r="E1266" s="71"/>
      <c r="F1266" s="71"/>
      <c r="G1266" s="72"/>
      <c r="J1266" s="71"/>
      <c r="K1266" s="71"/>
      <c r="L1266" s="71"/>
      <c r="M1266" s="71"/>
    </row>
    <row r="1267" customFormat="false" ht="15" hidden="false" customHeight="false" outlineLevel="0" collapsed="false">
      <c r="B1267" s="70"/>
      <c r="C1267" s="71"/>
      <c r="D1267" s="71"/>
      <c r="E1267" s="71"/>
      <c r="F1267" s="71"/>
      <c r="G1267" s="72"/>
      <c r="J1267" s="71"/>
      <c r="K1267" s="71"/>
      <c r="L1267" s="71"/>
      <c r="M1267" s="71"/>
    </row>
    <row r="1268" customFormat="false" ht="15" hidden="false" customHeight="false" outlineLevel="0" collapsed="false">
      <c r="B1268" s="70"/>
      <c r="C1268" s="71"/>
      <c r="D1268" s="71"/>
      <c r="E1268" s="71"/>
      <c r="F1268" s="71"/>
      <c r="G1268" s="72"/>
      <c r="J1268" s="71"/>
      <c r="K1268" s="71"/>
      <c r="L1268" s="71"/>
      <c r="M1268" s="71"/>
    </row>
    <row r="1269" customFormat="false" ht="15" hidden="false" customHeight="false" outlineLevel="0" collapsed="false">
      <c r="B1269" s="70"/>
      <c r="C1269" s="71"/>
      <c r="D1269" s="71"/>
      <c r="E1269" s="71"/>
      <c r="F1269" s="71"/>
      <c r="G1269" s="72"/>
      <c r="J1269" s="71"/>
      <c r="K1269" s="71"/>
      <c r="L1269" s="71"/>
      <c r="M1269" s="71"/>
    </row>
    <row r="1270" customFormat="false" ht="15" hidden="false" customHeight="false" outlineLevel="0" collapsed="false">
      <c r="B1270" s="70"/>
      <c r="C1270" s="71"/>
      <c r="D1270" s="71"/>
      <c r="E1270" s="71"/>
      <c r="F1270" s="71"/>
      <c r="G1270" s="72"/>
      <c r="J1270" s="71"/>
      <c r="K1270" s="71"/>
      <c r="L1270" s="71"/>
      <c r="M1270" s="71"/>
    </row>
    <row r="1271" customFormat="false" ht="15" hidden="false" customHeight="false" outlineLevel="0" collapsed="false">
      <c r="B1271" s="70"/>
      <c r="C1271" s="71"/>
      <c r="D1271" s="71"/>
      <c r="E1271" s="71"/>
      <c r="F1271" s="71"/>
      <c r="G1271" s="72"/>
      <c r="J1271" s="71"/>
      <c r="K1271" s="71"/>
      <c r="L1271" s="71"/>
      <c r="M1271" s="71"/>
    </row>
    <row r="1272" customFormat="false" ht="15" hidden="false" customHeight="false" outlineLevel="0" collapsed="false">
      <c r="B1272" s="70"/>
      <c r="C1272" s="71"/>
      <c r="D1272" s="71"/>
      <c r="E1272" s="71"/>
      <c r="F1272" s="71"/>
      <c r="G1272" s="72"/>
      <c r="J1272" s="71"/>
      <c r="K1272" s="71"/>
      <c r="L1272" s="71"/>
      <c r="M1272" s="71"/>
    </row>
    <row r="1273" customFormat="false" ht="15" hidden="false" customHeight="false" outlineLevel="0" collapsed="false">
      <c r="B1273" s="70"/>
      <c r="C1273" s="71"/>
      <c r="D1273" s="71"/>
      <c r="E1273" s="71"/>
      <c r="F1273" s="71"/>
      <c r="G1273" s="72"/>
      <c r="J1273" s="71"/>
      <c r="K1273" s="71"/>
      <c r="L1273" s="71"/>
      <c r="M1273" s="71"/>
    </row>
    <row r="1274" customFormat="false" ht="15" hidden="false" customHeight="false" outlineLevel="0" collapsed="false">
      <c r="B1274" s="70"/>
      <c r="C1274" s="71"/>
      <c r="D1274" s="71"/>
      <c r="E1274" s="71"/>
      <c r="F1274" s="71"/>
      <c r="G1274" s="72"/>
      <c r="J1274" s="71"/>
      <c r="K1274" s="71"/>
      <c r="L1274" s="71"/>
      <c r="M1274" s="71"/>
    </row>
    <row r="1275" customFormat="false" ht="15" hidden="false" customHeight="false" outlineLevel="0" collapsed="false">
      <c r="B1275" s="70"/>
      <c r="C1275" s="71"/>
      <c r="D1275" s="71"/>
      <c r="E1275" s="71"/>
      <c r="F1275" s="71"/>
      <c r="G1275" s="72"/>
      <c r="J1275" s="71"/>
      <c r="K1275" s="71"/>
      <c r="L1275" s="71"/>
      <c r="M1275" s="71"/>
    </row>
    <row r="1276" customFormat="false" ht="15" hidden="false" customHeight="false" outlineLevel="0" collapsed="false">
      <c r="B1276" s="70"/>
      <c r="C1276" s="71"/>
      <c r="D1276" s="71"/>
      <c r="E1276" s="71"/>
      <c r="F1276" s="71"/>
      <c r="G1276" s="72"/>
      <c r="J1276" s="71"/>
      <c r="K1276" s="71"/>
      <c r="L1276" s="71"/>
      <c r="M1276" s="71"/>
    </row>
    <row r="1277" customFormat="false" ht="15" hidden="false" customHeight="false" outlineLevel="0" collapsed="false">
      <c r="B1277" s="70"/>
      <c r="C1277" s="71"/>
      <c r="D1277" s="71"/>
      <c r="E1277" s="71"/>
      <c r="F1277" s="71"/>
      <c r="G1277" s="72"/>
      <c r="J1277" s="71"/>
      <c r="K1277" s="71"/>
      <c r="L1277" s="71"/>
      <c r="M1277" s="71"/>
    </row>
    <row r="1278" customFormat="false" ht="15" hidden="false" customHeight="false" outlineLevel="0" collapsed="false">
      <c r="B1278" s="70"/>
      <c r="C1278" s="71"/>
      <c r="D1278" s="71"/>
      <c r="E1278" s="71"/>
      <c r="F1278" s="71"/>
      <c r="G1278" s="72"/>
      <c r="J1278" s="71"/>
      <c r="K1278" s="71"/>
      <c r="L1278" s="71"/>
      <c r="M1278" s="71"/>
    </row>
    <row r="1279" customFormat="false" ht="15" hidden="false" customHeight="false" outlineLevel="0" collapsed="false">
      <c r="B1279" s="70"/>
      <c r="C1279" s="71"/>
      <c r="D1279" s="71"/>
      <c r="E1279" s="71"/>
      <c r="F1279" s="71"/>
      <c r="G1279" s="72"/>
      <c r="J1279" s="71"/>
      <c r="K1279" s="71"/>
      <c r="L1279" s="71"/>
      <c r="M1279" s="71"/>
    </row>
    <row r="1280" customFormat="false" ht="15" hidden="false" customHeight="false" outlineLevel="0" collapsed="false">
      <c r="B1280" s="70"/>
      <c r="C1280" s="71"/>
      <c r="D1280" s="71"/>
      <c r="E1280" s="71"/>
      <c r="F1280" s="71"/>
      <c r="G1280" s="72"/>
      <c r="J1280" s="71"/>
      <c r="K1280" s="71"/>
      <c r="L1280" s="71"/>
      <c r="M1280" s="71"/>
    </row>
    <row r="1281" customFormat="false" ht="15" hidden="false" customHeight="false" outlineLevel="0" collapsed="false">
      <c r="B1281" s="70"/>
      <c r="C1281" s="71"/>
      <c r="D1281" s="71"/>
      <c r="E1281" s="71"/>
      <c r="F1281" s="71"/>
      <c r="G1281" s="72"/>
      <c r="J1281" s="71"/>
      <c r="K1281" s="71"/>
      <c r="L1281" s="71"/>
      <c r="M1281" s="71"/>
    </row>
    <row r="1282" customFormat="false" ht="15" hidden="false" customHeight="false" outlineLevel="0" collapsed="false">
      <c r="B1282" s="70"/>
      <c r="C1282" s="71"/>
      <c r="D1282" s="71"/>
      <c r="E1282" s="71"/>
      <c r="F1282" s="71"/>
      <c r="G1282" s="72"/>
      <c r="J1282" s="71"/>
      <c r="K1282" s="71"/>
      <c r="L1282" s="71"/>
      <c r="M1282" s="71"/>
    </row>
    <row r="1283" customFormat="false" ht="15" hidden="false" customHeight="false" outlineLevel="0" collapsed="false">
      <c r="B1283" s="70"/>
      <c r="C1283" s="71"/>
      <c r="D1283" s="71"/>
      <c r="E1283" s="71"/>
      <c r="F1283" s="71"/>
      <c r="G1283" s="72"/>
      <c r="J1283" s="71"/>
      <c r="K1283" s="71"/>
      <c r="L1283" s="71"/>
      <c r="M1283" s="71"/>
    </row>
    <row r="1284" customFormat="false" ht="15" hidden="false" customHeight="false" outlineLevel="0" collapsed="false">
      <c r="B1284" s="70"/>
      <c r="C1284" s="71"/>
      <c r="D1284" s="71"/>
      <c r="E1284" s="71"/>
      <c r="F1284" s="71"/>
      <c r="G1284" s="72"/>
      <c r="J1284" s="71"/>
      <c r="K1284" s="71"/>
      <c r="L1284" s="71"/>
      <c r="M1284" s="71"/>
    </row>
    <row r="1285" customFormat="false" ht="15" hidden="false" customHeight="false" outlineLevel="0" collapsed="false">
      <c r="B1285" s="70"/>
      <c r="C1285" s="71"/>
      <c r="D1285" s="71"/>
      <c r="E1285" s="71"/>
      <c r="F1285" s="71"/>
      <c r="G1285" s="72"/>
      <c r="J1285" s="71"/>
      <c r="K1285" s="71"/>
      <c r="L1285" s="71"/>
      <c r="M1285" s="71"/>
    </row>
    <row r="1286" customFormat="false" ht="15" hidden="false" customHeight="false" outlineLevel="0" collapsed="false">
      <c r="B1286" s="70"/>
      <c r="C1286" s="71"/>
      <c r="D1286" s="71"/>
      <c r="E1286" s="71"/>
      <c r="F1286" s="71"/>
      <c r="G1286" s="72"/>
      <c r="J1286" s="71"/>
      <c r="K1286" s="71"/>
      <c r="L1286" s="71"/>
      <c r="M1286" s="71"/>
    </row>
    <row r="1287" customFormat="false" ht="15" hidden="false" customHeight="false" outlineLevel="0" collapsed="false">
      <c r="B1287" s="70"/>
      <c r="C1287" s="71"/>
      <c r="D1287" s="71"/>
      <c r="E1287" s="71"/>
      <c r="F1287" s="71"/>
      <c r="G1287" s="72"/>
      <c r="J1287" s="71"/>
      <c r="K1287" s="71"/>
      <c r="L1287" s="71"/>
      <c r="M1287" s="71"/>
    </row>
    <row r="1288" customFormat="false" ht="15" hidden="false" customHeight="false" outlineLevel="0" collapsed="false">
      <c r="B1288" s="70"/>
      <c r="C1288" s="71"/>
      <c r="D1288" s="71"/>
      <c r="E1288" s="71"/>
      <c r="F1288" s="71"/>
      <c r="G1288" s="72"/>
      <c r="J1288" s="71"/>
      <c r="K1288" s="71"/>
      <c r="L1288" s="71"/>
      <c r="M1288" s="71"/>
    </row>
    <row r="1289" customFormat="false" ht="15" hidden="false" customHeight="false" outlineLevel="0" collapsed="false">
      <c r="B1289" s="70"/>
      <c r="C1289" s="71"/>
      <c r="D1289" s="71"/>
      <c r="E1289" s="71"/>
      <c r="F1289" s="71"/>
      <c r="G1289" s="72"/>
      <c r="J1289" s="71"/>
      <c r="K1289" s="71"/>
      <c r="L1289" s="71"/>
      <c r="M1289" s="71"/>
    </row>
    <row r="1290" customFormat="false" ht="15" hidden="false" customHeight="false" outlineLevel="0" collapsed="false">
      <c r="B1290" s="70"/>
      <c r="C1290" s="71"/>
      <c r="D1290" s="71"/>
      <c r="E1290" s="71"/>
      <c r="F1290" s="71"/>
      <c r="G1290" s="72"/>
      <c r="J1290" s="71"/>
      <c r="K1290" s="71"/>
      <c r="L1290" s="71"/>
      <c r="M1290" s="71"/>
    </row>
    <row r="1291" customFormat="false" ht="15" hidden="false" customHeight="false" outlineLevel="0" collapsed="false">
      <c r="B1291" s="70"/>
      <c r="C1291" s="71"/>
      <c r="D1291" s="71"/>
      <c r="E1291" s="71"/>
      <c r="F1291" s="71"/>
      <c r="G1291" s="72"/>
      <c r="J1291" s="71"/>
      <c r="K1291" s="71"/>
      <c r="L1291" s="71"/>
      <c r="M1291" s="71"/>
    </row>
    <row r="1292" customFormat="false" ht="15" hidden="false" customHeight="false" outlineLevel="0" collapsed="false">
      <c r="B1292" s="70"/>
      <c r="C1292" s="71"/>
      <c r="D1292" s="71"/>
      <c r="E1292" s="71"/>
      <c r="F1292" s="71"/>
      <c r="G1292" s="72"/>
      <c r="J1292" s="71"/>
      <c r="K1292" s="71"/>
      <c r="L1292" s="71"/>
      <c r="M1292" s="71"/>
    </row>
    <row r="1293" customFormat="false" ht="15" hidden="false" customHeight="false" outlineLevel="0" collapsed="false">
      <c r="B1293" s="70"/>
      <c r="C1293" s="71"/>
      <c r="D1293" s="71"/>
      <c r="E1293" s="71"/>
      <c r="F1293" s="71"/>
      <c r="G1293" s="72"/>
      <c r="J1293" s="71"/>
      <c r="K1293" s="71"/>
      <c r="L1293" s="71"/>
      <c r="M1293" s="71"/>
    </row>
    <row r="1294" customFormat="false" ht="15" hidden="false" customHeight="false" outlineLevel="0" collapsed="false">
      <c r="B1294" s="70"/>
      <c r="C1294" s="71"/>
      <c r="D1294" s="71"/>
      <c r="E1294" s="71"/>
      <c r="F1294" s="71"/>
      <c r="G1294" s="72"/>
      <c r="J1294" s="71"/>
      <c r="K1294" s="71"/>
      <c r="L1294" s="71"/>
      <c r="M1294" s="71"/>
    </row>
    <row r="1295" customFormat="false" ht="15" hidden="false" customHeight="false" outlineLevel="0" collapsed="false">
      <c r="B1295" s="70"/>
      <c r="C1295" s="71"/>
      <c r="D1295" s="71"/>
      <c r="E1295" s="71"/>
      <c r="F1295" s="71"/>
      <c r="G1295" s="72"/>
      <c r="J1295" s="71"/>
      <c r="K1295" s="71"/>
      <c r="L1295" s="71"/>
      <c r="M1295" s="71"/>
    </row>
    <row r="1296" customFormat="false" ht="15" hidden="false" customHeight="false" outlineLevel="0" collapsed="false">
      <c r="B1296" s="70"/>
      <c r="C1296" s="71"/>
      <c r="D1296" s="71"/>
      <c r="E1296" s="71"/>
      <c r="F1296" s="71"/>
      <c r="G1296" s="72"/>
      <c r="J1296" s="71"/>
      <c r="K1296" s="71"/>
      <c r="L1296" s="71"/>
      <c r="M1296" s="71"/>
    </row>
    <row r="1297" customFormat="false" ht="15" hidden="false" customHeight="false" outlineLevel="0" collapsed="false">
      <c r="B1297" s="70"/>
      <c r="C1297" s="71"/>
      <c r="D1297" s="71"/>
      <c r="E1297" s="71"/>
      <c r="F1297" s="71"/>
      <c r="G1297" s="72"/>
      <c r="J1297" s="71"/>
      <c r="K1297" s="71"/>
      <c r="L1297" s="71"/>
      <c r="M1297" s="71"/>
    </row>
    <row r="1298" customFormat="false" ht="15" hidden="false" customHeight="false" outlineLevel="0" collapsed="false">
      <c r="B1298" s="70"/>
      <c r="C1298" s="71"/>
      <c r="D1298" s="71"/>
      <c r="E1298" s="71"/>
      <c r="F1298" s="71"/>
      <c r="G1298" s="72"/>
      <c r="J1298" s="71"/>
      <c r="K1298" s="71"/>
      <c r="L1298" s="71"/>
      <c r="M1298" s="71"/>
    </row>
    <row r="1299" customFormat="false" ht="15" hidden="false" customHeight="false" outlineLevel="0" collapsed="false">
      <c r="B1299" s="70"/>
      <c r="C1299" s="71"/>
      <c r="D1299" s="71"/>
      <c r="E1299" s="71"/>
      <c r="F1299" s="71"/>
      <c r="G1299" s="72"/>
      <c r="J1299" s="71"/>
      <c r="K1299" s="71"/>
      <c r="L1299" s="71"/>
      <c r="M1299" s="71"/>
    </row>
    <row r="1300" customFormat="false" ht="15" hidden="false" customHeight="false" outlineLevel="0" collapsed="false">
      <c r="B1300" s="70"/>
      <c r="C1300" s="71"/>
      <c r="D1300" s="71"/>
      <c r="E1300" s="71"/>
      <c r="F1300" s="71"/>
      <c r="G1300" s="72"/>
      <c r="J1300" s="71"/>
      <c r="K1300" s="71"/>
      <c r="L1300" s="71"/>
      <c r="M1300" s="71"/>
    </row>
    <row r="1301" customFormat="false" ht="15" hidden="false" customHeight="false" outlineLevel="0" collapsed="false">
      <c r="B1301" s="70"/>
      <c r="C1301" s="71"/>
      <c r="D1301" s="71"/>
      <c r="E1301" s="71"/>
      <c r="F1301" s="71"/>
      <c r="G1301" s="72"/>
      <c r="J1301" s="71"/>
      <c r="K1301" s="71"/>
      <c r="L1301" s="71"/>
      <c r="M1301" s="71"/>
    </row>
    <row r="1302" customFormat="false" ht="15" hidden="false" customHeight="false" outlineLevel="0" collapsed="false">
      <c r="B1302" s="70"/>
      <c r="C1302" s="71"/>
      <c r="D1302" s="71"/>
      <c r="E1302" s="71"/>
      <c r="F1302" s="71"/>
      <c r="G1302" s="72"/>
      <c r="J1302" s="71"/>
      <c r="K1302" s="71"/>
      <c r="L1302" s="71"/>
      <c r="M1302" s="71"/>
    </row>
    <row r="1303" customFormat="false" ht="15" hidden="false" customHeight="false" outlineLevel="0" collapsed="false">
      <c r="B1303" s="70"/>
      <c r="C1303" s="71"/>
      <c r="D1303" s="71"/>
      <c r="E1303" s="71"/>
      <c r="F1303" s="71"/>
      <c r="G1303" s="72"/>
      <c r="J1303" s="71"/>
      <c r="K1303" s="71"/>
      <c r="L1303" s="71"/>
      <c r="M1303" s="71"/>
    </row>
    <row r="1304" customFormat="false" ht="15" hidden="false" customHeight="false" outlineLevel="0" collapsed="false">
      <c r="B1304" s="70"/>
      <c r="C1304" s="71"/>
      <c r="D1304" s="71"/>
      <c r="E1304" s="71"/>
      <c r="F1304" s="71"/>
      <c r="G1304" s="72"/>
      <c r="J1304" s="71"/>
      <c r="K1304" s="71"/>
      <c r="L1304" s="71"/>
      <c r="M1304" s="71"/>
    </row>
    <row r="1305" customFormat="false" ht="15" hidden="false" customHeight="false" outlineLevel="0" collapsed="false">
      <c r="B1305" s="70"/>
      <c r="C1305" s="71"/>
      <c r="D1305" s="71"/>
      <c r="E1305" s="71"/>
      <c r="F1305" s="71"/>
      <c r="G1305" s="72"/>
      <c r="J1305" s="71"/>
      <c r="K1305" s="71"/>
      <c r="L1305" s="71"/>
      <c r="M1305" s="71"/>
    </row>
    <row r="1306" customFormat="false" ht="15" hidden="false" customHeight="false" outlineLevel="0" collapsed="false">
      <c r="B1306" s="70"/>
      <c r="C1306" s="71"/>
      <c r="D1306" s="71"/>
      <c r="E1306" s="71"/>
      <c r="F1306" s="71"/>
      <c r="G1306" s="72"/>
      <c r="J1306" s="71"/>
      <c r="K1306" s="71"/>
      <c r="L1306" s="71"/>
      <c r="M1306" s="71"/>
    </row>
    <row r="1307" customFormat="false" ht="15" hidden="false" customHeight="false" outlineLevel="0" collapsed="false">
      <c r="B1307" s="70"/>
      <c r="C1307" s="71"/>
      <c r="D1307" s="71"/>
      <c r="E1307" s="71"/>
      <c r="F1307" s="71"/>
      <c r="G1307" s="72"/>
      <c r="J1307" s="71"/>
      <c r="K1307" s="71"/>
      <c r="L1307" s="71"/>
      <c r="M1307" s="71"/>
    </row>
    <row r="1308" customFormat="false" ht="15" hidden="false" customHeight="false" outlineLevel="0" collapsed="false">
      <c r="B1308" s="70"/>
      <c r="C1308" s="71"/>
      <c r="D1308" s="71"/>
      <c r="E1308" s="71"/>
      <c r="F1308" s="71"/>
      <c r="G1308" s="72"/>
      <c r="J1308" s="71"/>
      <c r="K1308" s="71"/>
      <c r="L1308" s="71"/>
      <c r="M1308" s="71"/>
    </row>
    <row r="1309" customFormat="false" ht="15" hidden="false" customHeight="false" outlineLevel="0" collapsed="false">
      <c r="B1309" s="70"/>
      <c r="C1309" s="71"/>
      <c r="D1309" s="71"/>
      <c r="E1309" s="71"/>
      <c r="F1309" s="71"/>
      <c r="G1309" s="72"/>
      <c r="J1309" s="71"/>
      <c r="K1309" s="71"/>
      <c r="L1309" s="71"/>
      <c r="M1309" s="71"/>
    </row>
    <row r="1310" customFormat="false" ht="15" hidden="false" customHeight="false" outlineLevel="0" collapsed="false">
      <c r="B1310" s="70"/>
      <c r="C1310" s="71"/>
      <c r="D1310" s="71"/>
      <c r="E1310" s="71"/>
      <c r="F1310" s="71"/>
      <c r="G1310" s="72"/>
      <c r="J1310" s="71"/>
      <c r="K1310" s="71"/>
      <c r="L1310" s="71"/>
      <c r="M1310" s="71"/>
    </row>
    <row r="1311" customFormat="false" ht="15" hidden="false" customHeight="false" outlineLevel="0" collapsed="false">
      <c r="B1311" s="70"/>
      <c r="C1311" s="71"/>
      <c r="D1311" s="71"/>
      <c r="E1311" s="71"/>
      <c r="F1311" s="71"/>
      <c r="G1311" s="72"/>
      <c r="J1311" s="71"/>
      <c r="K1311" s="71"/>
      <c r="L1311" s="71"/>
      <c r="M1311" s="71"/>
    </row>
    <row r="1312" customFormat="false" ht="15" hidden="false" customHeight="false" outlineLevel="0" collapsed="false">
      <c r="B1312" s="70"/>
      <c r="C1312" s="71"/>
      <c r="D1312" s="71"/>
      <c r="E1312" s="71"/>
      <c r="F1312" s="71"/>
      <c r="G1312" s="72"/>
      <c r="J1312" s="71"/>
      <c r="K1312" s="71"/>
      <c r="L1312" s="71"/>
      <c r="M1312" s="71"/>
    </row>
    <row r="1313" customFormat="false" ht="15" hidden="false" customHeight="false" outlineLevel="0" collapsed="false">
      <c r="B1313" s="70"/>
      <c r="C1313" s="71"/>
      <c r="D1313" s="71"/>
      <c r="E1313" s="71"/>
      <c r="F1313" s="71"/>
      <c r="G1313" s="72"/>
      <c r="J1313" s="71"/>
      <c r="K1313" s="71"/>
      <c r="L1313" s="71"/>
      <c r="M1313" s="71"/>
    </row>
    <row r="1314" customFormat="false" ht="15" hidden="false" customHeight="false" outlineLevel="0" collapsed="false">
      <c r="B1314" s="70"/>
      <c r="C1314" s="71"/>
      <c r="D1314" s="71"/>
      <c r="E1314" s="71"/>
      <c r="F1314" s="71"/>
      <c r="G1314" s="72"/>
      <c r="J1314" s="71"/>
      <c r="K1314" s="71"/>
      <c r="L1314" s="71"/>
      <c r="M1314" s="71"/>
    </row>
    <row r="1315" customFormat="false" ht="15" hidden="false" customHeight="false" outlineLevel="0" collapsed="false">
      <c r="B1315" s="70"/>
      <c r="C1315" s="71"/>
      <c r="D1315" s="71"/>
      <c r="E1315" s="71"/>
      <c r="F1315" s="71"/>
      <c r="G1315" s="72"/>
      <c r="J1315" s="71"/>
      <c r="K1315" s="71"/>
      <c r="L1315" s="71"/>
      <c r="M1315" s="71"/>
    </row>
    <row r="1316" customFormat="false" ht="15" hidden="false" customHeight="false" outlineLevel="0" collapsed="false">
      <c r="B1316" s="70"/>
      <c r="C1316" s="71"/>
      <c r="D1316" s="71"/>
      <c r="E1316" s="71"/>
      <c r="F1316" s="71"/>
      <c r="G1316" s="72"/>
      <c r="J1316" s="71"/>
      <c r="K1316" s="71"/>
      <c r="L1316" s="71"/>
      <c r="M1316" s="71"/>
    </row>
    <row r="1317" customFormat="false" ht="15" hidden="false" customHeight="false" outlineLevel="0" collapsed="false">
      <c r="B1317" s="70"/>
      <c r="C1317" s="71"/>
      <c r="D1317" s="71"/>
      <c r="E1317" s="71"/>
      <c r="F1317" s="71"/>
      <c r="G1317" s="72"/>
      <c r="J1317" s="71"/>
      <c r="K1317" s="71"/>
      <c r="L1317" s="71"/>
      <c r="M1317" s="71"/>
    </row>
    <row r="1318" customFormat="false" ht="15" hidden="false" customHeight="false" outlineLevel="0" collapsed="false">
      <c r="B1318" s="70"/>
      <c r="C1318" s="71"/>
      <c r="D1318" s="71"/>
      <c r="E1318" s="71"/>
      <c r="F1318" s="71"/>
      <c r="G1318" s="72"/>
      <c r="J1318" s="71"/>
      <c r="K1318" s="71"/>
      <c r="L1318" s="71"/>
      <c r="M1318" s="71"/>
    </row>
    <row r="1319" customFormat="false" ht="15" hidden="false" customHeight="false" outlineLevel="0" collapsed="false">
      <c r="B1319" s="70"/>
      <c r="C1319" s="71"/>
      <c r="D1319" s="71"/>
      <c r="E1319" s="71"/>
      <c r="F1319" s="71"/>
      <c r="G1319" s="72"/>
      <c r="J1319" s="71"/>
      <c r="K1319" s="71"/>
      <c r="L1319" s="71"/>
      <c r="M1319" s="71"/>
    </row>
    <row r="1320" customFormat="false" ht="15" hidden="false" customHeight="false" outlineLevel="0" collapsed="false">
      <c r="B1320" s="70"/>
      <c r="C1320" s="71"/>
      <c r="D1320" s="71"/>
      <c r="E1320" s="71"/>
      <c r="F1320" s="71"/>
      <c r="G1320" s="72"/>
      <c r="J1320" s="71"/>
      <c r="K1320" s="71"/>
      <c r="L1320" s="71"/>
      <c r="M1320" s="71"/>
    </row>
    <row r="1321" customFormat="false" ht="15" hidden="false" customHeight="false" outlineLevel="0" collapsed="false">
      <c r="B1321" s="70"/>
      <c r="C1321" s="71"/>
      <c r="D1321" s="71"/>
      <c r="E1321" s="71"/>
      <c r="F1321" s="71"/>
      <c r="G1321" s="72"/>
      <c r="J1321" s="71"/>
      <c r="K1321" s="71"/>
      <c r="L1321" s="71"/>
      <c r="M1321" s="71"/>
    </row>
    <row r="1322" customFormat="false" ht="15" hidden="false" customHeight="false" outlineLevel="0" collapsed="false">
      <c r="B1322" s="70"/>
      <c r="C1322" s="71"/>
      <c r="D1322" s="71"/>
      <c r="E1322" s="71"/>
      <c r="F1322" s="71"/>
      <c r="G1322" s="72"/>
      <c r="J1322" s="71"/>
      <c r="K1322" s="71"/>
      <c r="L1322" s="71"/>
      <c r="M1322" s="71"/>
    </row>
    <row r="1323" customFormat="false" ht="15" hidden="false" customHeight="false" outlineLevel="0" collapsed="false">
      <c r="B1323" s="70"/>
      <c r="C1323" s="71"/>
      <c r="D1323" s="71"/>
      <c r="E1323" s="71"/>
      <c r="F1323" s="71"/>
      <c r="G1323" s="72"/>
      <c r="J1323" s="71"/>
      <c r="K1323" s="71"/>
      <c r="L1323" s="71"/>
      <c r="M1323" s="71"/>
    </row>
    <row r="1324" customFormat="false" ht="15" hidden="false" customHeight="false" outlineLevel="0" collapsed="false">
      <c r="B1324" s="70"/>
      <c r="C1324" s="71"/>
      <c r="D1324" s="71"/>
      <c r="E1324" s="71"/>
      <c r="F1324" s="71"/>
      <c r="G1324" s="72"/>
      <c r="J1324" s="71"/>
      <c r="K1324" s="71"/>
      <c r="L1324" s="71"/>
      <c r="M1324" s="71"/>
    </row>
    <row r="1325" customFormat="false" ht="15" hidden="false" customHeight="false" outlineLevel="0" collapsed="false">
      <c r="B1325" s="70"/>
      <c r="C1325" s="71"/>
      <c r="D1325" s="71"/>
      <c r="E1325" s="71"/>
      <c r="F1325" s="71"/>
      <c r="G1325" s="72"/>
      <c r="J1325" s="71"/>
      <c r="K1325" s="71"/>
      <c r="L1325" s="71"/>
      <c r="M1325" s="71"/>
    </row>
    <row r="1326" customFormat="false" ht="15" hidden="false" customHeight="false" outlineLevel="0" collapsed="false">
      <c r="B1326" s="70"/>
      <c r="C1326" s="71"/>
      <c r="D1326" s="71"/>
      <c r="E1326" s="71"/>
      <c r="F1326" s="71"/>
      <c r="G1326" s="72"/>
      <c r="J1326" s="71"/>
      <c r="K1326" s="71"/>
      <c r="L1326" s="71"/>
      <c r="M1326" s="71"/>
    </row>
    <row r="1327" customFormat="false" ht="15" hidden="false" customHeight="false" outlineLevel="0" collapsed="false">
      <c r="B1327" s="70"/>
      <c r="C1327" s="71"/>
      <c r="D1327" s="71"/>
      <c r="E1327" s="71"/>
      <c r="F1327" s="71"/>
      <c r="G1327" s="72"/>
      <c r="J1327" s="71"/>
      <c r="K1327" s="71"/>
      <c r="L1327" s="71"/>
      <c r="M1327" s="71"/>
    </row>
    <row r="1328" customFormat="false" ht="15" hidden="false" customHeight="false" outlineLevel="0" collapsed="false">
      <c r="B1328" s="70"/>
      <c r="C1328" s="71"/>
      <c r="D1328" s="71"/>
      <c r="E1328" s="71"/>
      <c r="F1328" s="71"/>
      <c r="G1328" s="72"/>
      <c r="J1328" s="71"/>
      <c r="K1328" s="71"/>
      <c r="L1328" s="71"/>
      <c r="M1328" s="71"/>
    </row>
    <row r="1329" customFormat="false" ht="15" hidden="false" customHeight="false" outlineLevel="0" collapsed="false">
      <c r="B1329" s="70"/>
      <c r="C1329" s="71"/>
      <c r="D1329" s="71"/>
      <c r="E1329" s="71"/>
      <c r="F1329" s="71"/>
      <c r="G1329" s="72"/>
      <c r="J1329" s="71"/>
      <c r="K1329" s="71"/>
      <c r="L1329" s="71"/>
      <c r="M1329" s="71"/>
    </row>
    <row r="1330" customFormat="false" ht="15" hidden="false" customHeight="false" outlineLevel="0" collapsed="false">
      <c r="B1330" s="70"/>
      <c r="C1330" s="71"/>
      <c r="D1330" s="71"/>
      <c r="E1330" s="71"/>
      <c r="F1330" s="71"/>
      <c r="G1330" s="72"/>
      <c r="J1330" s="71"/>
      <c r="K1330" s="71"/>
      <c r="L1330" s="71"/>
      <c r="M1330" s="71"/>
    </row>
    <row r="1331" customFormat="false" ht="15" hidden="false" customHeight="false" outlineLevel="0" collapsed="false">
      <c r="B1331" s="70"/>
      <c r="C1331" s="71"/>
      <c r="D1331" s="71"/>
      <c r="E1331" s="71"/>
      <c r="F1331" s="71"/>
      <c r="G1331" s="72"/>
      <c r="J1331" s="71"/>
      <c r="K1331" s="71"/>
      <c r="L1331" s="71"/>
      <c r="M1331" s="71"/>
    </row>
    <row r="1332" customFormat="false" ht="15" hidden="false" customHeight="false" outlineLevel="0" collapsed="false">
      <c r="B1332" s="70"/>
      <c r="C1332" s="71"/>
      <c r="D1332" s="71"/>
      <c r="E1332" s="71"/>
      <c r="F1332" s="71"/>
      <c r="G1332" s="72"/>
      <c r="J1332" s="71"/>
      <c r="K1332" s="71"/>
      <c r="L1332" s="71"/>
      <c r="M1332" s="71"/>
    </row>
    <row r="1333" customFormat="false" ht="15" hidden="false" customHeight="false" outlineLevel="0" collapsed="false">
      <c r="B1333" s="70"/>
      <c r="C1333" s="71"/>
      <c r="D1333" s="71"/>
      <c r="E1333" s="71"/>
      <c r="F1333" s="71"/>
      <c r="G1333" s="72"/>
      <c r="J1333" s="71"/>
      <c r="K1333" s="71"/>
      <c r="L1333" s="71"/>
      <c r="M1333" s="71"/>
    </row>
    <row r="1334" customFormat="false" ht="15" hidden="false" customHeight="false" outlineLevel="0" collapsed="false">
      <c r="B1334" s="70"/>
      <c r="C1334" s="71"/>
      <c r="D1334" s="71"/>
      <c r="E1334" s="71"/>
      <c r="F1334" s="71"/>
      <c r="G1334" s="72"/>
      <c r="J1334" s="71"/>
      <c r="K1334" s="71"/>
      <c r="L1334" s="71"/>
      <c r="M1334" s="71"/>
    </row>
    <row r="1335" customFormat="false" ht="15" hidden="false" customHeight="false" outlineLevel="0" collapsed="false">
      <c r="B1335" s="70"/>
      <c r="C1335" s="71"/>
      <c r="D1335" s="71"/>
      <c r="E1335" s="71"/>
      <c r="F1335" s="71"/>
      <c r="G1335" s="72"/>
      <c r="J1335" s="71"/>
      <c r="K1335" s="71"/>
      <c r="L1335" s="71"/>
      <c r="M1335" s="71"/>
    </row>
    <row r="1336" customFormat="false" ht="15" hidden="false" customHeight="false" outlineLevel="0" collapsed="false">
      <c r="B1336" s="70"/>
      <c r="C1336" s="71"/>
      <c r="D1336" s="71"/>
      <c r="E1336" s="71"/>
      <c r="F1336" s="71"/>
      <c r="G1336" s="72"/>
      <c r="J1336" s="71"/>
      <c r="K1336" s="71"/>
      <c r="L1336" s="71"/>
      <c r="M1336" s="71"/>
    </row>
    <row r="1337" customFormat="false" ht="15" hidden="false" customHeight="false" outlineLevel="0" collapsed="false">
      <c r="B1337" s="70"/>
      <c r="C1337" s="71"/>
      <c r="D1337" s="71"/>
      <c r="E1337" s="71"/>
      <c r="F1337" s="71"/>
      <c r="G1337" s="72"/>
      <c r="J1337" s="71"/>
      <c r="K1337" s="71"/>
      <c r="L1337" s="71"/>
      <c r="M1337" s="71"/>
    </row>
    <row r="1338" customFormat="false" ht="15" hidden="false" customHeight="false" outlineLevel="0" collapsed="false">
      <c r="B1338" s="70"/>
      <c r="C1338" s="71"/>
      <c r="D1338" s="71"/>
      <c r="E1338" s="71"/>
      <c r="F1338" s="71"/>
      <c r="G1338" s="72"/>
      <c r="J1338" s="71"/>
      <c r="K1338" s="71"/>
      <c r="L1338" s="71"/>
      <c r="M1338" s="71"/>
    </row>
    <row r="1339" customFormat="false" ht="15" hidden="false" customHeight="false" outlineLevel="0" collapsed="false">
      <c r="B1339" s="70"/>
      <c r="C1339" s="71"/>
      <c r="D1339" s="71"/>
      <c r="E1339" s="71"/>
      <c r="F1339" s="71"/>
      <c r="G1339" s="72"/>
      <c r="J1339" s="71"/>
      <c r="K1339" s="71"/>
      <c r="L1339" s="71"/>
      <c r="M1339" s="71"/>
    </row>
    <row r="1340" customFormat="false" ht="15" hidden="false" customHeight="false" outlineLevel="0" collapsed="false">
      <c r="B1340" s="70"/>
      <c r="C1340" s="71"/>
      <c r="D1340" s="71"/>
      <c r="E1340" s="71"/>
      <c r="F1340" s="71"/>
      <c r="G1340" s="72"/>
      <c r="J1340" s="71"/>
      <c r="K1340" s="71"/>
      <c r="L1340" s="71"/>
      <c r="M1340" s="71"/>
    </row>
    <row r="1341" customFormat="false" ht="15" hidden="false" customHeight="false" outlineLevel="0" collapsed="false">
      <c r="B1341" s="70"/>
      <c r="C1341" s="71"/>
      <c r="D1341" s="71"/>
      <c r="E1341" s="71"/>
      <c r="F1341" s="71"/>
      <c r="G1341" s="72"/>
      <c r="J1341" s="71"/>
      <c r="K1341" s="71"/>
      <c r="L1341" s="71"/>
      <c r="M1341" s="71"/>
    </row>
    <row r="1342" customFormat="false" ht="15" hidden="false" customHeight="false" outlineLevel="0" collapsed="false">
      <c r="B1342" s="70"/>
      <c r="C1342" s="71"/>
      <c r="D1342" s="71"/>
      <c r="E1342" s="71"/>
      <c r="F1342" s="71"/>
      <c r="G1342" s="72"/>
      <c r="J1342" s="71"/>
      <c r="K1342" s="71"/>
      <c r="L1342" s="71"/>
      <c r="M1342" s="71"/>
    </row>
    <row r="1343" customFormat="false" ht="15" hidden="false" customHeight="false" outlineLevel="0" collapsed="false">
      <c r="B1343" s="70"/>
      <c r="C1343" s="71"/>
      <c r="D1343" s="71"/>
      <c r="E1343" s="71"/>
      <c r="F1343" s="71"/>
      <c r="G1343" s="72"/>
      <c r="J1343" s="71"/>
      <c r="K1343" s="71"/>
      <c r="L1343" s="71"/>
      <c r="M1343" s="71"/>
    </row>
    <row r="1344" customFormat="false" ht="15" hidden="false" customHeight="false" outlineLevel="0" collapsed="false">
      <c r="B1344" s="70"/>
      <c r="C1344" s="71"/>
      <c r="D1344" s="71"/>
      <c r="E1344" s="71"/>
      <c r="F1344" s="71"/>
      <c r="G1344" s="72"/>
      <c r="J1344" s="71"/>
      <c r="K1344" s="71"/>
      <c r="L1344" s="71"/>
      <c r="M1344" s="71"/>
    </row>
    <row r="1345" customFormat="false" ht="15" hidden="false" customHeight="false" outlineLevel="0" collapsed="false">
      <c r="B1345" s="70"/>
      <c r="C1345" s="71"/>
      <c r="D1345" s="71"/>
      <c r="E1345" s="71"/>
      <c r="F1345" s="71"/>
      <c r="G1345" s="72"/>
      <c r="J1345" s="71"/>
      <c r="K1345" s="71"/>
      <c r="L1345" s="71"/>
      <c r="M1345" s="71"/>
    </row>
    <row r="1346" customFormat="false" ht="15" hidden="false" customHeight="false" outlineLevel="0" collapsed="false">
      <c r="B1346" s="70"/>
      <c r="C1346" s="71"/>
      <c r="D1346" s="71"/>
      <c r="E1346" s="71"/>
      <c r="F1346" s="71"/>
      <c r="G1346" s="72"/>
      <c r="J1346" s="71"/>
      <c r="K1346" s="71"/>
      <c r="L1346" s="71"/>
      <c r="M1346" s="71"/>
    </row>
    <row r="1347" customFormat="false" ht="15" hidden="false" customHeight="false" outlineLevel="0" collapsed="false">
      <c r="B1347" s="70"/>
      <c r="C1347" s="71"/>
      <c r="D1347" s="71"/>
      <c r="E1347" s="71"/>
      <c r="F1347" s="71"/>
      <c r="G1347" s="72"/>
      <c r="J1347" s="71"/>
      <c r="K1347" s="71"/>
      <c r="L1347" s="71"/>
      <c r="M1347" s="71"/>
    </row>
    <row r="1348" customFormat="false" ht="15" hidden="false" customHeight="false" outlineLevel="0" collapsed="false">
      <c r="B1348" s="70"/>
      <c r="C1348" s="71"/>
      <c r="D1348" s="71"/>
      <c r="E1348" s="71"/>
      <c r="F1348" s="71"/>
      <c r="G1348" s="72"/>
      <c r="J1348" s="71"/>
      <c r="K1348" s="71"/>
      <c r="L1348" s="71"/>
      <c r="M1348" s="71"/>
    </row>
    <row r="1349" customFormat="false" ht="15" hidden="false" customHeight="false" outlineLevel="0" collapsed="false">
      <c r="B1349" s="70"/>
      <c r="C1349" s="71"/>
      <c r="D1349" s="71"/>
      <c r="E1349" s="71"/>
      <c r="F1349" s="71"/>
      <c r="G1349" s="72"/>
      <c r="J1349" s="71"/>
      <c r="K1349" s="71"/>
      <c r="L1349" s="71"/>
      <c r="M1349" s="71"/>
    </row>
    <row r="1350" customFormat="false" ht="15" hidden="false" customHeight="false" outlineLevel="0" collapsed="false">
      <c r="B1350" s="70"/>
      <c r="C1350" s="71"/>
      <c r="D1350" s="71"/>
      <c r="E1350" s="71"/>
      <c r="F1350" s="71"/>
      <c r="G1350" s="72"/>
      <c r="J1350" s="71"/>
      <c r="K1350" s="71"/>
      <c r="L1350" s="71"/>
      <c r="M1350" s="71"/>
    </row>
    <row r="1351" customFormat="false" ht="15" hidden="false" customHeight="false" outlineLevel="0" collapsed="false">
      <c r="B1351" s="70"/>
      <c r="C1351" s="71"/>
      <c r="D1351" s="71"/>
      <c r="E1351" s="71"/>
      <c r="F1351" s="71"/>
      <c r="G1351" s="72"/>
      <c r="J1351" s="71"/>
      <c r="K1351" s="71"/>
      <c r="L1351" s="71"/>
      <c r="M1351" s="71"/>
    </row>
    <row r="1352" customFormat="false" ht="15" hidden="false" customHeight="false" outlineLevel="0" collapsed="false">
      <c r="B1352" s="70"/>
      <c r="C1352" s="71"/>
      <c r="D1352" s="71"/>
      <c r="E1352" s="71"/>
      <c r="F1352" s="71"/>
      <c r="G1352" s="72"/>
      <c r="J1352" s="71"/>
      <c r="K1352" s="71"/>
      <c r="L1352" s="71"/>
      <c r="M1352" s="71"/>
    </row>
    <row r="1353" customFormat="false" ht="15" hidden="false" customHeight="false" outlineLevel="0" collapsed="false">
      <c r="B1353" s="70"/>
      <c r="C1353" s="71"/>
      <c r="D1353" s="71"/>
      <c r="E1353" s="71"/>
      <c r="F1353" s="71"/>
      <c r="G1353" s="72"/>
      <c r="J1353" s="71"/>
      <c r="K1353" s="71"/>
      <c r="L1353" s="71"/>
      <c r="M1353" s="71"/>
    </row>
    <row r="1354" customFormat="false" ht="15" hidden="false" customHeight="false" outlineLevel="0" collapsed="false">
      <c r="B1354" s="70"/>
      <c r="C1354" s="71"/>
      <c r="D1354" s="71"/>
      <c r="E1354" s="71"/>
      <c r="F1354" s="71"/>
      <c r="G1354" s="72"/>
      <c r="J1354" s="71"/>
      <c r="K1354" s="71"/>
      <c r="L1354" s="71"/>
      <c r="M1354" s="71"/>
    </row>
    <row r="1355" customFormat="false" ht="15" hidden="false" customHeight="false" outlineLevel="0" collapsed="false">
      <c r="B1355" s="70"/>
      <c r="C1355" s="71"/>
      <c r="D1355" s="71"/>
      <c r="E1355" s="71"/>
      <c r="F1355" s="71"/>
      <c r="G1355" s="72"/>
      <c r="J1355" s="71"/>
      <c r="K1355" s="71"/>
      <c r="L1355" s="71"/>
      <c r="M1355" s="71"/>
    </row>
    <row r="1356" customFormat="false" ht="15" hidden="false" customHeight="false" outlineLevel="0" collapsed="false">
      <c r="B1356" s="70"/>
      <c r="C1356" s="71"/>
      <c r="D1356" s="71"/>
      <c r="E1356" s="71"/>
      <c r="F1356" s="71"/>
      <c r="G1356" s="72"/>
      <c r="J1356" s="71"/>
      <c r="K1356" s="71"/>
      <c r="L1356" s="71"/>
      <c r="M1356" s="71"/>
    </row>
    <row r="1357" customFormat="false" ht="15" hidden="false" customHeight="false" outlineLevel="0" collapsed="false">
      <c r="B1357" s="70"/>
      <c r="C1357" s="71"/>
      <c r="D1357" s="71"/>
      <c r="E1357" s="71"/>
      <c r="F1357" s="71"/>
      <c r="G1357" s="72"/>
      <c r="J1357" s="71"/>
      <c r="K1357" s="71"/>
      <c r="L1357" s="71"/>
      <c r="M1357" s="71"/>
    </row>
    <row r="1358" customFormat="false" ht="15" hidden="false" customHeight="false" outlineLevel="0" collapsed="false">
      <c r="B1358" s="70"/>
      <c r="C1358" s="71"/>
      <c r="D1358" s="71"/>
      <c r="E1358" s="71"/>
      <c r="F1358" s="71"/>
      <c r="G1358" s="72"/>
      <c r="J1358" s="71"/>
      <c r="K1358" s="71"/>
      <c r="L1358" s="71"/>
      <c r="M1358" s="71"/>
    </row>
    <row r="1359" customFormat="false" ht="15" hidden="false" customHeight="false" outlineLevel="0" collapsed="false">
      <c r="B1359" s="70"/>
      <c r="C1359" s="71"/>
      <c r="D1359" s="71"/>
      <c r="E1359" s="71"/>
      <c r="F1359" s="71"/>
      <c r="G1359" s="72"/>
      <c r="J1359" s="71"/>
      <c r="K1359" s="71"/>
      <c r="L1359" s="71"/>
      <c r="M1359" s="71"/>
    </row>
    <row r="1360" customFormat="false" ht="15" hidden="false" customHeight="false" outlineLevel="0" collapsed="false">
      <c r="B1360" s="70"/>
      <c r="C1360" s="71"/>
      <c r="D1360" s="71"/>
      <c r="E1360" s="71"/>
      <c r="F1360" s="71"/>
      <c r="G1360" s="72"/>
      <c r="J1360" s="71"/>
      <c r="K1360" s="71"/>
      <c r="L1360" s="71"/>
      <c r="M1360" s="71"/>
    </row>
    <row r="1361" customFormat="false" ht="15" hidden="false" customHeight="false" outlineLevel="0" collapsed="false">
      <c r="B1361" s="70"/>
      <c r="C1361" s="71"/>
      <c r="D1361" s="71"/>
      <c r="E1361" s="71"/>
      <c r="F1361" s="71"/>
      <c r="G1361" s="72"/>
      <c r="J1361" s="71"/>
      <c r="K1361" s="71"/>
      <c r="L1361" s="71"/>
      <c r="M1361" s="71"/>
    </row>
    <row r="1362" customFormat="false" ht="15" hidden="false" customHeight="false" outlineLevel="0" collapsed="false">
      <c r="B1362" s="70"/>
      <c r="C1362" s="71"/>
      <c r="D1362" s="71"/>
      <c r="E1362" s="71"/>
      <c r="F1362" s="71"/>
      <c r="G1362" s="72"/>
      <c r="J1362" s="71"/>
      <c r="K1362" s="71"/>
      <c r="L1362" s="71"/>
      <c r="M1362" s="71"/>
    </row>
    <row r="1363" customFormat="false" ht="15" hidden="false" customHeight="false" outlineLevel="0" collapsed="false">
      <c r="B1363" s="70"/>
      <c r="C1363" s="71"/>
      <c r="D1363" s="71"/>
      <c r="E1363" s="71"/>
      <c r="F1363" s="71"/>
      <c r="G1363" s="72"/>
      <c r="J1363" s="71"/>
      <c r="K1363" s="71"/>
      <c r="L1363" s="71"/>
      <c r="M1363" s="71"/>
    </row>
    <row r="1364" customFormat="false" ht="15" hidden="false" customHeight="false" outlineLevel="0" collapsed="false">
      <c r="B1364" s="70"/>
      <c r="C1364" s="71"/>
      <c r="D1364" s="71"/>
      <c r="E1364" s="71"/>
      <c r="F1364" s="71"/>
      <c r="G1364" s="72"/>
      <c r="J1364" s="71"/>
      <c r="K1364" s="71"/>
      <c r="L1364" s="71"/>
      <c r="M1364" s="71"/>
    </row>
    <row r="1365" customFormat="false" ht="15" hidden="false" customHeight="false" outlineLevel="0" collapsed="false">
      <c r="B1365" s="70"/>
      <c r="C1365" s="71"/>
      <c r="D1365" s="71"/>
      <c r="E1365" s="71"/>
      <c r="F1365" s="71"/>
      <c r="G1365" s="72"/>
      <c r="J1365" s="71"/>
      <c r="K1365" s="71"/>
      <c r="L1365" s="71"/>
      <c r="M1365" s="71"/>
    </row>
    <row r="1366" customFormat="false" ht="15" hidden="false" customHeight="false" outlineLevel="0" collapsed="false">
      <c r="B1366" s="70"/>
      <c r="C1366" s="71"/>
      <c r="D1366" s="71"/>
      <c r="E1366" s="71"/>
      <c r="F1366" s="71"/>
      <c r="G1366" s="72"/>
      <c r="J1366" s="71"/>
      <c r="K1366" s="71"/>
      <c r="L1366" s="71"/>
      <c r="M1366" s="71"/>
    </row>
    <row r="1367" customFormat="false" ht="15" hidden="false" customHeight="false" outlineLevel="0" collapsed="false">
      <c r="B1367" s="70"/>
      <c r="C1367" s="71"/>
      <c r="D1367" s="71"/>
      <c r="E1367" s="71"/>
      <c r="F1367" s="71"/>
      <c r="G1367" s="72"/>
      <c r="J1367" s="71"/>
      <c r="K1367" s="71"/>
      <c r="L1367" s="71"/>
      <c r="M1367" s="71"/>
    </row>
    <row r="1368" customFormat="false" ht="15" hidden="false" customHeight="false" outlineLevel="0" collapsed="false">
      <c r="B1368" s="70"/>
      <c r="C1368" s="71"/>
      <c r="D1368" s="71"/>
      <c r="E1368" s="71"/>
      <c r="F1368" s="71"/>
      <c r="G1368" s="72"/>
      <c r="J1368" s="71"/>
      <c r="K1368" s="71"/>
      <c r="L1368" s="71"/>
      <c r="M1368" s="71"/>
    </row>
    <row r="1369" customFormat="false" ht="15" hidden="false" customHeight="false" outlineLevel="0" collapsed="false">
      <c r="B1369" s="70"/>
      <c r="C1369" s="71"/>
      <c r="D1369" s="71"/>
      <c r="E1369" s="71"/>
      <c r="F1369" s="71"/>
      <c r="G1369" s="72"/>
      <c r="J1369" s="71"/>
      <c r="K1369" s="71"/>
      <c r="L1369" s="71"/>
      <c r="M1369" s="71"/>
    </row>
    <row r="1370" customFormat="false" ht="15" hidden="false" customHeight="false" outlineLevel="0" collapsed="false">
      <c r="B1370" s="70"/>
      <c r="C1370" s="71"/>
      <c r="D1370" s="71"/>
      <c r="E1370" s="71"/>
      <c r="F1370" s="71"/>
      <c r="G1370" s="72"/>
      <c r="J1370" s="71"/>
      <c r="K1370" s="71"/>
      <c r="L1370" s="71"/>
      <c r="M1370" s="71"/>
    </row>
    <row r="1371" customFormat="false" ht="15" hidden="false" customHeight="false" outlineLevel="0" collapsed="false">
      <c r="B1371" s="70"/>
      <c r="C1371" s="71"/>
      <c r="D1371" s="71"/>
      <c r="E1371" s="71"/>
      <c r="F1371" s="71"/>
      <c r="G1371" s="72"/>
      <c r="J1371" s="71"/>
      <c r="K1371" s="71"/>
      <c r="L1371" s="71"/>
      <c r="M1371" s="71"/>
    </row>
    <row r="1372" customFormat="false" ht="15" hidden="false" customHeight="false" outlineLevel="0" collapsed="false">
      <c r="B1372" s="70"/>
      <c r="C1372" s="71"/>
      <c r="D1372" s="71"/>
      <c r="E1372" s="71"/>
      <c r="F1372" s="71"/>
      <c r="G1372" s="72"/>
      <c r="J1372" s="71"/>
      <c r="K1372" s="71"/>
      <c r="L1372" s="71"/>
      <c r="M1372" s="71"/>
    </row>
    <row r="1373" customFormat="false" ht="15" hidden="false" customHeight="false" outlineLevel="0" collapsed="false">
      <c r="B1373" s="70"/>
      <c r="C1373" s="71"/>
      <c r="D1373" s="71"/>
      <c r="E1373" s="71"/>
      <c r="F1373" s="71"/>
      <c r="G1373" s="72"/>
      <c r="J1373" s="71"/>
      <c r="K1373" s="71"/>
      <c r="L1373" s="71"/>
      <c r="M1373" s="71"/>
    </row>
    <row r="1374" customFormat="false" ht="15" hidden="false" customHeight="false" outlineLevel="0" collapsed="false">
      <c r="B1374" s="70"/>
      <c r="C1374" s="71"/>
      <c r="D1374" s="71"/>
      <c r="E1374" s="71"/>
      <c r="F1374" s="71"/>
      <c r="G1374" s="72"/>
      <c r="J1374" s="71"/>
      <c r="K1374" s="71"/>
      <c r="L1374" s="71"/>
      <c r="M1374" s="71"/>
    </row>
    <row r="1375" customFormat="false" ht="15" hidden="false" customHeight="false" outlineLevel="0" collapsed="false">
      <c r="B1375" s="70"/>
      <c r="C1375" s="71"/>
      <c r="D1375" s="71"/>
      <c r="E1375" s="71"/>
      <c r="F1375" s="71"/>
      <c r="G1375" s="72"/>
      <c r="J1375" s="71"/>
      <c r="K1375" s="71"/>
      <c r="L1375" s="71"/>
      <c r="M1375" s="71"/>
    </row>
    <row r="1376" customFormat="false" ht="15" hidden="false" customHeight="false" outlineLevel="0" collapsed="false">
      <c r="B1376" s="70"/>
      <c r="C1376" s="71"/>
      <c r="D1376" s="71"/>
      <c r="E1376" s="71"/>
      <c r="F1376" s="71"/>
      <c r="G1376" s="72"/>
      <c r="J1376" s="71"/>
      <c r="K1376" s="71"/>
      <c r="L1376" s="71"/>
      <c r="M1376" s="71"/>
    </row>
    <row r="1377" customFormat="false" ht="15" hidden="false" customHeight="false" outlineLevel="0" collapsed="false">
      <c r="B1377" s="70"/>
      <c r="C1377" s="71"/>
      <c r="D1377" s="71"/>
      <c r="E1377" s="71"/>
      <c r="F1377" s="71"/>
      <c r="G1377" s="72"/>
      <c r="J1377" s="71"/>
      <c r="K1377" s="71"/>
      <c r="L1377" s="71"/>
      <c r="M1377" s="71"/>
    </row>
    <row r="1378" customFormat="false" ht="15" hidden="false" customHeight="false" outlineLevel="0" collapsed="false">
      <c r="B1378" s="70"/>
      <c r="C1378" s="71"/>
      <c r="D1378" s="71"/>
      <c r="E1378" s="71"/>
      <c r="F1378" s="71"/>
      <c r="G1378" s="72"/>
      <c r="J1378" s="71"/>
      <c r="K1378" s="71"/>
      <c r="L1378" s="71"/>
      <c r="M1378" s="71"/>
    </row>
    <row r="1379" customFormat="false" ht="15" hidden="false" customHeight="false" outlineLevel="0" collapsed="false">
      <c r="B1379" s="70"/>
      <c r="C1379" s="71"/>
      <c r="D1379" s="71"/>
      <c r="E1379" s="71"/>
      <c r="F1379" s="71"/>
      <c r="G1379" s="72"/>
      <c r="J1379" s="71"/>
      <c r="K1379" s="71"/>
      <c r="L1379" s="71"/>
      <c r="M1379" s="71"/>
    </row>
    <row r="1380" customFormat="false" ht="15" hidden="false" customHeight="false" outlineLevel="0" collapsed="false">
      <c r="B1380" s="70"/>
      <c r="C1380" s="71"/>
      <c r="D1380" s="71"/>
      <c r="E1380" s="71"/>
      <c r="F1380" s="71"/>
      <c r="G1380" s="72"/>
      <c r="J1380" s="71"/>
      <c r="K1380" s="71"/>
      <c r="L1380" s="71"/>
      <c r="M1380" s="71"/>
    </row>
    <row r="1381" customFormat="false" ht="15" hidden="false" customHeight="false" outlineLevel="0" collapsed="false">
      <c r="B1381" s="70"/>
      <c r="C1381" s="71"/>
      <c r="D1381" s="71"/>
      <c r="E1381" s="71"/>
      <c r="F1381" s="71"/>
      <c r="G1381" s="72"/>
      <c r="J1381" s="71"/>
      <c r="K1381" s="71"/>
      <c r="L1381" s="71"/>
      <c r="M1381" s="71"/>
    </row>
    <row r="1382" customFormat="false" ht="15" hidden="false" customHeight="false" outlineLevel="0" collapsed="false">
      <c r="B1382" s="70"/>
      <c r="C1382" s="71"/>
      <c r="D1382" s="71"/>
      <c r="E1382" s="71"/>
      <c r="F1382" s="71"/>
      <c r="G1382" s="72"/>
      <c r="J1382" s="71"/>
      <c r="K1382" s="71"/>
      <c r="L1382" s="71"/>
      <c r="M1382" s="71"/>
    </row>
    <row r="1383" customFormat="false" ht="15" hidden="false" customHeight="false" outlineLevel="0" collapsed="false">
      <c r="B1383" s="70"/>
      <c r="C1383" s="71"/>
      <c r="D1383" s="71"/>
      <c r="E1383" s="71"/>
      <c r="F1383" s="71"/>
      <c r="G1383" s="72"/>
      <c r="J1383" s="71"/>
      <c r="K1383" s="71"/>
      <c r="L1383" s="71"/>
      <c r="M1383" s="71"/>
    </row>
    <row r="1384" customFormat="false" ht="15" hidden="false" customHeight="false" outlineLevel="0" collapsed="false">
      <c r="B1384" s="70"/>
      <c r="C1384" s="71"/>
      <c r="D1384" s="71"/>
      <c r="E1384" s="71"/>
      <c r="F1384" s="71"/>
      <c r="G1384" s="72"/>
      <c r="J1384" s="71"/>
      <c r="K1384" s="71"/>
      <c r="L1384" s="71"/>
      <c r="M1384" s="71"/>
    </row>
    <row r="1385" customFormat="false" ht="15" hidden="false" customHeight="false" outlineLevel="0" collapsed="false">
      <c r="B1385" s="70"/>
      <c r="C1385" s="71"/>
      <c r="D1385" s="71"/>
      <c r="E1385" s="71"/>
      <c r="F1385" s="71"/>
      <c r="G1385" s="72"/>
      <c r="J1385" s="71"/>
      <c r="K1385" s="71"/>
      <c r="L1385" s="71"/>
      <c r="M1385" s="71"/>
    </row>
    <row r="1386" customFormat="false" ht="15" hidden="false" customHeight="false" outlineLevel="0" collapsed="false">
      <c r="B1386" s="70"/>
      <c r="C1386" s="71"/>
      <c r="D1386" s="71"/>
      <c r="E1386" s="71"/>
      <c r="F1386" s="71"/>
      <c r="G1386" s="72"/>
      <c r="J1386" s="71"/>
      <c r="K1386" s="71"/>
      <c r="L1386" s="71"/>
      <c r="M1386" s="71"/>
    </row>
    <row r="1387" customFormat="false" ht="15" hidden="false" customHeight="false" outlineLevel="0" collapsed="false">
      <c r="B1387" s="70"/>
      <c r="C1387" s="71"/>
      <c r="D1387" s="71"/>
      <c r="E1387" s="71"/>
      <c r="F1387" s="71"/>
      <c r="G1387" s="72"/>
      <c r="J1387" s="71"/>
      <c r="K1387" s="71"/>
      <c r="L1387" s="71"/>
      <c r="M1387" s="71"/>
    </row>
    <row r="1388" customFormat="false" ht="15" hidden="false" customHeight="false" outlineLevel="0" collapsed="false">
      <c r="B1388" s="70"/>
      <c r="C1388" s="71"/>
      <c r="D1388" s="71"/>
      <c r="E1388" s="71"/>
      <c r="F1388" s="71"/>
      <c r="G1388" s="72"/>
      <c r="J1388" s="71"/>
      <c r="K1388" s="71"/>
      <c r="L1388" s="71"/>
      <c r="M1388" s="71"/>
    </row>
    <row r="1389" customFormat="false" ht="15" hidden="false" customHeight="false" outlineLevel="0" collapsed="false">
      <c r="B1389" s="70"/>
      <c r="C1389" s="71"/>
      <c r="D1389" s="71"/>
      <c r="E1389" s="71"/>
      <c r="F1389" s="71"/>
      <c r="G1389" s="72"/>
      <c r="J1389" s="71"/>
      <c r="K1389" s="71"/>
      <c r="L1389" s="71"/>
      <c r="M1389" s="71"/>
    </row>
    <row r="1390" customFormat="false" ht="15" hidden="false" customHeight="false" outlineLevel="0" collapsed="false">
      <c r="B1390" s="70"/>
      <c r="C1390" s="71"/>
      <c r="D1390" s="71"/>
      <c r="E1390" s="71"/>
      <c r="F1390" s="71"/>
      <c r="G1390" s="72"/>
      <c r="J1390" s="71"/>
      <c r="K1390" s="71"/>
      <c r="L1390" s="71"/>
      <c r="M1390" s="71"/>
    </row>
    <row r="1391" customFormat="false" ht="15" hidden="false" customHeight="false" outlineLevel="0" collapsed="false">
      <c r="B1391" s="70"/>
      <c r="C1391" s="71"/>
      <c r="D1391" s="71"/>
      <c r="E1391" s="71"/>
      <c r="F1391" s="71"/>
      <c r="G1391" s="72"/>
      <c r="J1391" s="71"/>
      <c r="K1391" s="71"/>
      <c r="L1391" s="71"/>
      <c r="M1391" s="71"/>
    </row>
    <row r="1392" customFormat="false" ht="15" hidden="false" customHeight="false" outlineLevel="0" collapsed="false">
      <c r="B1392" s="70"/>
      <c r="C1392" s="71"/>
      <c r="D1392" s="71"/>
      <c r="E1392" s="71"/>
      <c r="F1392" s="71"/>
      <c r="G1392" s="72"/>
      <c r="J1392" s="71"/>
      <c r="K1392" s="71"/>
      <c r="L1392" s="71"/>
      <c r="M1392" s="71"/>
    </row>
    <row r="1393" customFormat="false" ht="15" hidden="false" customHeight="false" outlineLevel="0" collapsed="false">
      <c r="B1393" s="70"/>
      <c r="C1393" s="71"/>
      <c r="D1393" s="71"/>
      <c r="E1393" s="71"/>
      <c r="F1393" s="71"/>
      <c r="G1393" s="72"/>
      <c r="J1393" s="71"/>
      <c r="K1393" s="71"/>
      <c r="L1393" s="71"/>
      <c r="M1393" s="71"/>
    </row>
    <row r="1394" customFormat="false" ht="15" hidden="false" customHeight="false" outlineLevel="0" collapsed="false">
      <c r="B1394" s="70"/>
      <c r="C1394" s="71"/>
      <c r="D1394" s="71"/>
      <c r="E1394" s="71"/>
      <c r="F1394" s="71"/>
      <c r="G1394" s="72"/>
      <c r="J1394" s="71"/>
      <c r="K1394" s="71"/>
      <c r="L1394" s="71"/>
      <c r="M1394" s="71"/>
    </row>
    <row r="1395" customFormat="false" ht="15" hidden="false" customHeight="false" outlineLevel="0" collapsed="false">
      <c r="B1395" s="70"/>
      <c r="C1395" s="71"/>
      <c r="D1395" s="71"/>
      <c r="E1395" s="71"/>
      <c r="F1395" s="71"/>
      <c r="G1395" s="72"/>
      <c r="J1395" s="71"/>
      <c r="K1395" s="71"/>
      <c r="L1395" s="71"/>
      <c r="M1395" s="71"/>
    </row>
    <row r="1396" customFormat="false" ht="15" hidden="false" customHeight="false" outlineLevel="0" collapsed="false">
      <c r="B1396" s="70"/>
      <c r="C1396" s="71"/>
      <c r="D1396" s="71"/>
      <c r="E1396" s="71"/>
      <c r="F1396" s="71"/>
      <c r="G1396" s="72"/>
      <c r="J1396" s="71"/>
      <c r="K1396" s="71"/>
      <c r="L1396" s="71"/>
      <c r="M1396" s="71"/>
    </row>
    <row r="1397" customFormat="false" ht="15" hidden="false" customHeight="false" outlineLevel="0" collapsed="false">
      <c r="B1397" s="70"/>
      <c r="C1397" s="71"/>
      <c r="D1397" s="71"/>
      <c r="E1397" s="71"/>
      <c r="F1397" s="71"/>
      <c r="G1397" s="72"/>
      <c r="J1397" s="71"/>
      <c r="K1397" s="71"/>
      <c r="L1397" s="71"/>
      <c r="M1397" s="71"/>
    </row>
    <row r="1398" customFormat="false" ht="15" hidden="false" customHeight="false" outlineLevel="0" collapsed="false">
      <c r="B1398" s="70"/>
      <c r="C1398" s="71"/>
      <c r="D1398" s="71"/>
      <c r="E1398" s="71"/>
      <c r="F1398" s="71"/>
      <c r="G1398" s="72"/>
      <c r="J1398" s="71"/>
      <c r="K1398" s="71"/>
      <c r="L1398" s="71"/>
      <c r="M1398" s="71"/>
    </row>
    <row r="1399" customFormat="false" ht="15" hidden="false" customHeight="false" outlineLevel="0" collapsed="false">
      <c r="B1399" s="70"/>
      <c r="C1399" s="71"/>
      <c r="D1399" s="71"/>
      <c r="E1399" s="71"/>
      <c r="F1399" s="71"/>
      <c r="G1399" s="72"/>
      <c r="J1399" s="71"/>
      <c r="K1399" s="71"/>
      <c r="L1399" s="71"/>
      <c r="M1399" s="71"/>
    </row>
    <row r="1400" customFormat="false" ht="15" hidden="false" customHeight="false" outlineLevel="0" collapsed="false">
      <c r="B1400" s="70"/>
      <c r="C1400" s="71"/>
      <c r="D1400" s="71"/>
      <c r="E1400" s="71"/>
      <c r="F1400" s="71"/>
      <c r="G1400" s="72"/>
      <c r="J1400" s="71"/>
      <c r="K1400" s="71"/>
      <c r="L1400" s="71"/>
      <c r="M1400" s="71"/>
    </row>
    <row r="1401" customFormat="false" ht="15" hidden="false" customHeight="false" outlineLevel="0" collapsed="false">
      <c r="B1401" s="70"/>
      <c r="C1401" s="71"/>
      <c r="D1401" s="71"/>
      <c r="E1401" s="71"/>
      <c r="F1401" s="71"/>
      <c r="G1401" s="72"/>
      <c r="J1401" s="71"/>
      <c r="K1401" s="71"/>
      <c r="L1401" s="71"/>
      <c r="M1401" s="71"/>
    </row>
    <row r="1402" customFormat="false" ht="15" hidden="false" customHeight="false" outlineLevel="0" collapsed="false">
      <c r="B1402" s="70"/>
      <c r="C1402" s="71"/>
      <c r="D1402" s="71"/>
      <c r="E1402" s="71"/>
      <c r="F1402" s="71"/>
      <c r="G1402" s="72"/>
      <c r="J1402" s="71"/>
      <c r="K1402" s="71"/>
      <c r="L1402" s="71"/>
      <c r="M1402" s="71"/>
    </row>
    <row r="1403" customFormat="false" ht="15" hidden="false" customHeight="false" outlineLevel="0" collapsed="false">
      <c r="B1403" s="70"/>
      <c r="C1403" s="71"/>
      <c r="D1403" s="71"/>
      <c r="E1403" s="71"/>
      <c r="F1403" s="71"/>
      <c r="G1403" s="72"/>
      <c r="J1403" s="71"/>
      <c r="K1403" s="71"/>
      <c r="L1403" s="71"/>
      <c r="M1403" s="71"/>
    </row>
    <row r="1404" customFormat="false" ht="15" hidden="false" customHeight="false" outlineLevel="0" collapsed="false">
      <c r="B1404" s="70"/>
      <c r="C1404" s="71"/>
      <c r="D1404" s="71"/>
      <c r="E1404" s="71"/>
      <c r="F1404" s="71"/>
      <c r="G1404" s="72"/>
      <c r="J1404" s="71"/>
      <c r="K1404" s="71"/>
      <c r="L1404" s="71"/>
      <c r="M1404" s="71"/>
    </row>
    <row r="1405" customFormat="false" ht="15" hidden="false" customHeight="false" outlineLevel="0" collapsed="false">
      <c r="B1405" s="70"/>
      <c r="C1405" s="71"/>
      <c r="D1405" s="71"/>
      <c r="E1405" s="71"/>
      <c r="F1405" s="71"/>
      <c r="G1405" s="72"/>
      <c r="J1405" s="71"/>
      <c r="K1405" s="71"/>
      <c r="L1405" s="71"/>
      <c r="M1405" s="71"/>
    </row>
    <row r="1406" customFormat="false" ht="15" hidden="false" customHeight="false" outlineLevel="0" collapsed="false">
      <c r="B1406" s="70"/>
      <c r="C1406" s="71"/>
      <c r="D1406" s="71"/>
      <c r="E1406" s="71"/>
      <c r="F1406" s="71"/>
      <c r="G1406" s="72"/>
      <c r="J1406" s="71"/>
      <c r="K1406" s="71"/>
      <c r="L1406" s="71"/>
      <c r="M1406" s="71"/>
    </row>
    <row r="1407" customFormat="false" ht="15" hidden="false" customHeight="false" outlineLevel="0" collapsed="false">
      <c r="B1407" s="70"/>
      <c r="C1407" s="71"/>
      <c r="D1407" s="71"/>
      <c r="E1407" s="71"/>
      <c r="F1407" s="71"/>
      <c r="G1407" s="72"/>
      <c r="J1407" s="71"/>
      <c r="K1407" s="71"/>
      <c r="L1407" s="71"/>
      <c r="M1407" s="71"/>
    </row>
    <row r="1408" customFormat="false" ht="15" hidden="false" customHeight="false" outlineLevel="0" collapsed="false">
      <c r="B1408" s="70"/>
      <c r="C1408" s="71"/>
      <c r="D1408" s="71"/>
      <c r="E1408" s="71"/>
      <c r="F1408" s="71"/>
      <c r="G1408" s="72"/>
      <c r="J1408" s="71"/>
      <c r="K1408" s="71"/>
      <c r="L1408" s="71"/>
      <c r="M1408" s="71"/>
    </row>
    <row r="1409" customFormat="false" ht="15" hidden="false" customHeight="false" outlineLevel="0" collapsed="false">
      <c r="B1409" s="70"/>
      <c r="C1409" s="71"/>
      <c r="D1409" s="71"/>
      <c r="E1409" s="71"/>
      <c r="F1409" s="71"/>
      <c r="G1409" s="72"/>
      <c r="J1409" s="71"/>
      <c r="K1409" s="71"/>
      <c r="L1409" s="71"/>
      <c r="M1409" s="71"/>
    </row>
    <row r="1410" customFormat="false" ht="15" hidden="false" customHeight="false" outlineLevel="0" collapsed="false">
      <c r="B1410" s="70"/>
      <c r="C1410" s="71"/>
      <c r="D1410" s="71"/>
      <c r="E1410" s="71"/>
      <c r="F1410" s="71"/>
      <c r="G1410" s="72"/>
      <c r="J1410" s="71"/>
      <c r="K1410" s="71"/>
      <c r="L1410" s="71"/>
      <c r="M1410" s="71"/>
    </row>
    <row r="1411" customFormat="false" ht="15" hidden="false" customHeight="false" outlineLevel="0" collapsed="false">
      <c r="B1411" s="70"/>
      <c r="C1411" s="71"/>
      <c r="D1411" s="71"/>
      <c r="E1411" s="71"/>
      <c r="F1411" s="71"/>
      <c r="G1411" s="72"/>
      <c r="J1411" s="71"/>
      <c r="K1411" s="71"/>
      <c r="L1411" s="71"/>
      <c r="M1411" s="71"/>
    </row>
    <row r="1412" customFormat="false" ht="15" hidden="false" customHeight="false" outlineLevel="0" collapsed="false">
      <c r="B1412" s="70"/>
      <c r="C1412" s="71"/>
      <c r="D1412" s="71"/>
      <c r="E1412" s="71"/>
      <c r="F1412" s="71"/>
      <c r="G1412" s="72"/>
      <c r="J1412" s="71"/>
      <c r="K1412" s="71"/>
      <c r="L1412" s="71"/>
      <c r="M1412" s="71"/>
    </row>
    <row r="1413" customFormat="false" ht="15" hidden="false" customHeight="false" outlineLevel="0" collapsed="false">
      <c r="B1413" s="70"/>
      <c r="C1413" s="71"/>
      <c r="D1413" s="71"/>
      <c r="E1413" s="71"/>
      <c r="F1413" s="71"/>
      <c r="G1413" s="72"/>
      <c r="J1413" s="71"/>
      <c r="K1413" s="71"/>
      <c r="L1413" s="71"/>
      <c r="M1413" s="71"/>
    </row>
    <row r="1414" customFormat="false" ht="15" hidden="false" customHeight="false" outlineLevel="0" collapsed="false">
      <c r="B1414" s="70"/>
      <c r="C1414" s="71"/>
      <c r="D1414" s="71"/>
      <c r="E1414" s="71"/>
      <c r="F1414" s="71"/>
      <c r="G1414" s="72"/>
      <c r="J1414" s="71"/>
      <c r="K1414" s="71"/>
      <c r="L1414" s="71"/>
      <c r="M1414" s="71"/>
    </row>
    <row r="1415" customFormat="false" ht="15" hidden="false" customHeight="false" outlineLevel="0" collapsed="false">
      <c r="B1415" s="70"/>
      <c r="C1415" s="71"/>
      <c r="D1415" s="71"/>
      <c r="E1415" s="71"/>
      <c r="F1415" s="71"/>
      <c r="G1415" s="72"/>
      <c r="J1415" s="71"/>
      <c r="K1415" s="71"/>
      <c r="L1415" s="71"/>
      <c r="M1415" s="71"/>
    </row>
    <row r="1416" customFormat="false" ht="15" hidden="false" customHeight="false" outlineLevel="0" collapsed="false">
      <c r="B1416" s="70"/>
      <c r="C1416" s="71"/>
      <c r="D1416" s="71"/>
      <c r="E1416" s="71"/>
      <c r="F1416" s="71"/>
      <c r="G1416" s="72"/>
      <c r="J1416" s="71"/>
      <c r="K1416" s="71"/>
      <c r="L1416" s="71"/>
      <c r="M1416" s="71"/>
    </row>
    <row r="1417" customFormat="false" ht="15" hidden="false" customHeight="false" outlineLevel="0" collapsed="false">
      <c r="B1417" s="70"/>
      <c r="C1417" s="71"/>
      <c r="D1417" s="71"/>
      <c r="E1417" s="71"/>
      <c r="F1417" s="71"/>
      <c r="G1417" s="72"/>
      <c r="J1417" s="71"/>
      <c r="K1417" s="71"/>
      <c r="L1417" s="71"/>
      <c r="M1417" s="71"/>
    </row>
    <row r="1418" customFormat="false" ht="15" hidden="false" customHeight="false" outlineLevel="0" collapsed="false">
      <c r="B1418" s="70"/>
      <c r="C1418" s="71"/>
      <c r="D1418" s="71"/>
      <c r="E1418" s="71"/>
      <c r="F1418" s="71"/>
      <c r="G1418" s="72"/>
      <c r="J1418" s="71"/>
      <c r="K1418" s="71"/>
      <c r="L1418" s="71"/>
      <c r="M1418" s="71"/>
    </row>
    <row r="1419" customFormat="false" ht="15" hidden="false" customHeight="false" outlineLevel="0" collapsed="false">
      <c r="B1419" s="70"/>
      <c r="C1419" s="71"/>
      <c r="D1419" s="71"/>
      <c r="E1419" s="71"/>
      <c r="F1419" s="71"/>
      <c r="G1419" s="72"/>
      <c r="J1419" s="71"/>
      <c r="K1419" s="71"/>
      <c r="L1419" s="71"/>
      <c r="M1419" s="71"/>
    </row>
    <row r="1420" customFormat="false" ht="15" hidden="false" customHeight="false" outlineLevel="0" collapsed="false">
      <c r="B1420" s="70"/>
      <c r="C1420" s="71"/>
      <c r="D1420" s="71"/>
      <c r="E1420" s="71"/>
      <c r="F1420" s="71"/>
      <c r="G1420" s="72"/>
      <c r="J1420" s="71"/>
      <c r="K1420" s="71"/>
      <c r="L1420" s="71"/>
      <c r="M1420" s="71"/>
    </row>
    <row r="1421" customFormat="false" ht="15" hidden="false" customHeight="false" outlineLevel="0" collapsed="false">
      <c r="B1421" s="70"/>
      <c r="C1421" s="71"/>
      <c r="D1421" s="71"/>
      <c r="E1421" s="71"/>
      <c r="F1421" s="71"/>
      <c r="G1421" s="72"/>
      <c r="J1421" s="71"/>
      <c r="K1421" s="71"/>
      <c r="L1421" s="71"/>
      <c r="M1421" s="71"/>
    </row>
    <row r="1422" customFormat="false" ht="15" hidden="false" customHeight="false" outlineLevel="0" collapsed="false">
      <c r="B1422" s="70"/>
      <c r="C1422" s="71"/>
      <c r="D1422" s="71"/>
      <c r="E1422" s="71"/>
      <c r="F1422" s="71"/>
      <c r="G1422" s="72"/>
      <c r="J1422" s="71"/>
      <c r="K1422" s="71"/>
      <c r="L1422" s="71"/>
      <c r="M1422" s="71"/>
    </row>
    <row r="1423" customFormat="false" ht="15" hidden="false" customHeight="false" outlineLevel="0" collapsed="false">
      <c r="B1423" s="70"/>
      <c r="C1423" s="71"/>
      <c r="D1423" s="71"/>
      <c r="E1423" s="71"/>
      <c r="F1423" s="71"/>
      <c r="G1423" s="72"/>
      <c r="J1423" s="71"/>
      <c r="K1423" s="71"/>
      <c r="L1423" s="71"/>
      <c r="M1423" s="71"/>
    </row>
    <row r="1424" customFormat="false" ht="15" hidden="false" customHeight="false" outlineLevel="0" collapsed="false">
      <c r="B1424" s="70"/>
      <c r="C1424" s="71"/>
      <c r="D1424" s="71"/>
      <c r="E1424" s="71"/>
      <c r="F1424" s="71"/>
      <c r="G1424" s="72"/>
      <c r="J1424" s="71"/>
      <c r="K1424" s="71"/>
      <c r="L1424" s="71"/>
      <c r="M1424" s="71"/>
    </row>
    <row r="1425" customFormat="false" ht="15" hidden="false" customHeight="false" outlineLevel="0" collapsed="false">
      <c r="B1425" s="70"/>
      <c r="C1425" s="71"/>
      <c r="D1425" s="71"/>
      <c r="E1425" s="71"/>
      <c r="F1425" s="71"/>
      <c r="G1425" s="72"/>
      <c r="J1425" s="71"/>
      <c r="K1425" s="71"/>
      <c r="L1425" s="71"/>
      <c r="M1425" s="71"/>
    </row>
    <row r="1426" customFormat="false" ht="15" hidden="false" customHeight="false" outlineLevel="0" collapsed="false">
      <c r="B1426" s="70"/>
      <c r="C1426" s="71"/>
      <c r="D1426" s="71"/>
      <c r="E1426" s="71"/>
      <c r="F1426" s="71"/>
      <c r="G1426" s="72"/>
      <c r="J1426" s="71"/>
      <c r="K1426" s="71"/>
      <c r="L1426" s="71"/>
      <c r="M1426" s="71"/>
    </row>
    <row r="1427" customFormat="false" ht="15" hidden="false" customHeight="false" outlineLevel="0" collapsed="false">
      <c r="B1427" s="70"/>
      <c r="C1427" s="71"/>
      <c r="D1427" s="71"/>
      <c r="E1427" s="71"/>
      <c r="F1427" s="71"/>
      <c r="G1427" s="72"/>
      <c r="J1427" s="71"/>
      <c r="K1427" s="71"/>
      <c r="L1427" s="71"/>
      <c r="M1427" s="71"/>
    </row>
    <row r="1428" customFormat="false" ht="15" hidden="false" customHeight="false" outlineLevel="0" collapsed="false">
      <c r="B1428" s="70"/>
      <c r="C1428" s="71"/>
      <c r="D1428" s="71"/>
      <c r="E1428" s="71"/>
      <c r="F1428" s="71"/>
      <c r="G1428" s="72"/>
      <c r="J1428" s="71"/>
      <c r="K1428" s="71"/>
      <c r="L1428" s="71"/>
      <c r="M1428" s="71"/>
    </row>
    <row r="1429" customFormat="false" ht="15" hidden="false" customHeight="false" outlineLevel="0" collapsed="false">
      <c r="B1429" s="70"/>
      <c r="C1429" s="71"/>
      <c r="D1429" s="71"/>
      <c r="E1429" s="71"/>
      <c r="F1429" s="71"/>
      <c r="G1429" s="72"/>
      <c r="J1429" s="71"/>
      <c r="K1429" s="71"/>
      <c r="L1429" s="71"/>
      <c r="M1429" s="71"/>
    </row>
    <row r="1430" customFormat="false" ht="15" hidden="false" customHeight="false" outlineLevel="0" collapsed="false">
      <c r="B1430" s="70"/>
      <c r="C1430" s="71"/>
      <c r="D1430" s="71"/>
      <c r="E1430" s="71"/>
      <c r="F1430" s="71"/>
      <c r="G1430" s="72"/>
      <c r="J1430" s="71"/>
      <c r="K1430" s="71"/>
      <c r="L1430" s="71"/>
      <c r="M1430" s="71"/>
    </row>
    <row r="1431" customFormat="false" ht="15" hidden="false" customHeight="false" outlineLevel="0" collapsed="false">
      <c r="B1431" s="70"/>
      <c r="C1431" s="71"/>
      <c r="D1431" s="71"/>
      <c r="E1431" s="71"/>
      <c r="F1431" s="71"/>
      <c r="G1431" s="72"/>
      <c r="J1431" s="71"/>
      <c r="K1431" s="71"/>
      <c r="L1431" s="71"/>
      <c r="M1431" s="71"/>
    </row>
    <row r="1432" customFormat="false" ht="15" hidden="false" customHeight="false" outlineLevel="0" collapsed="false">
      <c r="B1432" s="70"/>
      <c r="C1432" s="71"/>
      <c r="D1432" s="71"/>
      <c r="E1432" s="71"/>
      <c r="F1432" s="71"/>
      <c r="G1432" s="72"/>
      <c r="J1432" s="71"/>
      <c r="K1432" s="71"/>
      <c r="L1432" s="71"/>
      <c r="M1432" s="71"/>
    </row>
    <row r="1433" customFormat="false" ht="15" hidden="false" customHeight="false" outlineLevel="0" collapsed="false">
      <c r="B1433" s="70"/>
      <c r="C1433" s="71"/>
      <c r="D1433" s="71"/>
      <c r="E1433" s="71"/>
      <c r="F1433" s="71"/>
      <c r="G1433" s="72"/>
      <c r="J1433" s="71"/>
      <c r="K1433" s="71"/>
      <c r="L1433" s="71"/>
      <c r="M1433" s="71"/>
    </row>
    <row r="1434" customFormat="false" ht="15" hidden="false" customHeight="false" outlineLevel="0" collapsed="false">
      <c r="B1434" s="70"/>
      <c r="C1434" s="71"/>
      <c r="D1434" s="71"/>
      <c r="E1434" s="71"/>
      <c r="F1434" s="71"/>
      <c r="G1434" s="72"/>
      <c r="J1434" s="71"/>
      <c r="K1434" s="71"/>
      <c r="L1434" s="71"/>
      <c r="M1434" s="71"/>
    </row>
    <row r="1435" customFormat="false" ht="15" hidden="false" customHeight="false" outlineLevel="0" collapsed="false">
      <c r="B1435" s="70"/>
      <c r="C1435" s="71"/>
      <c r="D1435" s="71"/>
      <c r="E1435" s="71"/>
      <c r="F1435" s="71"/>
      <c r="G1435" s="72"/>
      <c r="J1435" s="71"/>
      <c r="K1435" s="71"/>
      <c r="L1435" s="71"/>
      <c r="M1435" s="71"/>
    </row>
    <row r="1436" customFormat="false" ht="15" hidden="false" customHeight="false" outlineLevel="0" collapsed="false">
      <c r="B1436" s="70"/>
      <c r="C1436" s="71"/>
      <c r="D1436" s="71"/>
      <c r="E1436" s="71"/>
      <c r="F1436" s="71"/>
      <c r="G1436" s="72"/>
      <c r="J1436" s="71"/>
      <c r="K1436" s="71"/>
      <c r="L1436" s="71"/>
      <c r="M1436" s="71"/>
    </row>
    <row r="1437" customFormat="false" ht="15" hidden="false" customHeight="false" outlineLevel="0" collapsed="false">
      <c r="B1437" s="70"/>
      <c r="C1437" s="71"/>
      <c r="D1437" s="71"/>
      <c r="E1437" s="71"/>
      <c r="F1437" s="71"/>
      <c r="G1437" s="72"/>
      <c r="J1437" s="71"/>
      <c r="K1437" s="71"/>
      <c r="L1437" s="71"/>
      <c r="M1437" s="71"/>
    </row>
    <row r="1438" customFormat="false" ht="15" hidden="false" customHeight="false" outlineLevel="0" collapsed="false">
      <c r="B1438" s="70"/>
      <c r="C1438" s="71"/>
      <c r="D1438" s="71"/>
      <c r="E1438" s="71"/>
      <c r="F1438" s="71"/>
      <c r="G1438" s="72"/>
      <c r="J1438" s="71"/>
      <c r="K1438" s="71"/>
      <c r="L1438" s="71"/>
      <c r="M1438" s="71"/>
    </row>
    <row r="1439" customFormat="false" ht="15" hidden="false" customHeight="false" outlineLevel="0" collapsed="false">
      <c r="B1439" s="70"/>
      <c r="C1439" s="71"/>
      <c r="D1439" s="71"/>
      <c r="E1439" s="71"/>
      <c r="F1439" s="71"/>
      <c r="G1439" s="72"/>
      <c r="J1439" s="71"/>
      <c r="K1439" s="71"/>
      <c r="L1439" s="71"/>
      <c r="M1439" s="71"/>
    </row>
    <row r="1440" customFormat="false" ht="15" hidden="false" customHeight="false" outlineLevel="0" collapsed="false">
      <c r="B1440" s="70"/>
      <c r="C1440" s="71"/>
      <c r="D1440" s="71"/>
      <c r="E1440" s="71"/>
      <c r="F1440" s="71"/>
      <c r="G1440" s="72"/>
      <c r="J1440" s="71"/>
      <c r="K1440" s="71"/>
      <c r="L1440" s="71"/>
      <c r="M1440" s="71"/>
    </row>
    <row r="1441" customFormat="false" ht="15" hidden="false" customHeight="false" outlineLevel="0" collapsed="false">
      <c r="B1441" s="70"/>
      <c r="C1441" s="71"/>
      <c r="D1441" s="71"/>
      <c r="E1441" s="71"/>
      <c r="F1441" s="71"/>
      <c r="G1441" s="72"/>
      <c r="J1441" s="71"/>
      <c r="K1441" s="71"/>
      <c r="L1441" s="71"/>
      <c r="M1441" s="71"/>
    </row>
    <row r="1442" customFormat="false" ht="15" hidden="false" customHeight="false" outlineLevel="0" collapsed="false">
      <c r="B1442" s="70"/>
      <c r="C1442" s="71"/>
      <c r="D1442" s="71"/>
      <c r="E1442" s="71"/>
      <c r="F1442" s="71"/>
      <c r="G1442" s="72"/>
      <c r="J1442" s="71"/>
      <c r="K1442" s="71"/>
      <c r="L1442" s="71"/>
      <c r="M1442" s="71"/>
    </row>
    <row r="1443" customFormat="false" ht="15" hidden="false" customHeight="false" outlineLevel="0" collapsed="false">
      <c r="B1443" s="70"/>
      <c r="C1443" s="71"/>
      <c r="D1443" s="71"/>
      <c r="E1443" s="71"/>
      <c r="F1443" s="71"/>
      <c r="G1443" s="72"/>
      <c r="J1443" s="71"/>
      <c r="K1443" s="71"/>
      <c r="L1443" s="71"/>
      <c r="M1443" s="71"/>
    </row>
    <row r="1444" customFormat="false" ht="15" hidden="false" customHeight="false" outlineLevel="0" collapsed="false">
      <c r="B1444" s="70"/>
      <c r="C1444" s="71"/>
      <c r="D1444" s="71"/>
      <c r="E1444" s="71"/>
      <c r="F1444" s="71"/>
      <c r="G1444" s="72"/>
      <c r="J1444" s="71"/>
      <c r="K1444" s="71"/>
      <c r="L1444" s="71"/>
      <c r="M1444" s="71"/>
    </row>
    <row r="1445" customFormat="false" ht="15" hidden="false" customHeight="false" outlineLevel="0" collapsed="false">
      <c r="B1445" s="70"/>
      <c r="C1445" s="71"/>
      <c r="D1445" s="71"/>
      <c r="E1445" s="71"/>
      <c r="F1445" s="71"/>
      <c r="G1445" s="72"/>
      <c r="J1445" s="71"/>
      <c r="K1445" s="71"/>
      <c r="L1445" s="71"/>
      <c r="M1445" s="71"/>
    </row>
    <row r="1446" customFormat="false" ht="15" hidden="false" customHeight="false" outlineLevel="0" collapsed="false">
      <c r="B1446" s="70"/>
      <c r="C1446" s="71"/>
      <c r="D1446" s="71"/>
      <c r="E1446" s="71"/>
      <c r="F1446" s="71"/>
      <c r="G1446" s="72"/>
      <c r="J1446" s="71"/>
      <c r="K1446" s="71"/>
      <c r="L1446" s="71"/>
      <c r="M1446" s="71"/>
    </row>
    <row r="1447" customFormat="false" ht="15" hidden="false" customHeight="false" outlineLevel="0" collapsed="false">
      <c r="B1447" s="70"/>
      <c r="C1447" s="71"/>
      <c r="D1447" s="71"/>
      <c r="E1447" s="71"/>
      <c r="F1447" s="71"/>
      <c r="G1447" s="72"/>
      <c r="J1447" s="71"/>
      <c r="K1447" s="71"/>
      <c r="L1447" s="71"/>
      <c r="M1447" s="71"/>
    </row>
    <row r="1448" customFormat="false" ht="15" hidden="false" customHeight="false" outlineLevel="0" collapsed="false">
      <c r="B1448" s="70"/>
      <c r="C1448" s="71"/>
      <c r="D1448" s="71"/>
      <c r="E1448" s="71"/>
      <c r="F1448" s="71"/>
      <c r="G1448" s="72"/>
      <c r="J1448" s="71"/>
      <c r="K1448" s="71"/>
      <c r="L1448" s="71"/>
      <c r="M1448" s="71"/>
    </row>
    <row r="1449" customFormat="false" ht="15" hidden="false" customHeight="false" outlineLevel="0" collapsed="false">
      <c r="B1449" s="70"/>
      <c r="C1449" s="71"/>
      <c r="D1449" s="71"/>
      <c r="E1449" s="71"/>
      <c r="F1449" s="71"/>
      <c r="G1449" s="72"/>
      <c r="J1449" s="71"/>
      <c r="K1449" s="71"/>
      <c r="L1449" s="71"/>
      <c r="M1449" s="71"/>
    </row>
    <row r="1450" customFormat="false" ht="15" hidden="false" customHeight="false" outlineLevel="0" collapsed="false">
      <c r="B1450" s="70"/>
      <c r="C1450" s="71"/>
      <c r="D1450" s="71"/>
      <c r="E1450" s="71"/>
      <c r="F1450" s="71"/>
      <c r="G1450" s="72"/>
      <c r="J1450" s="71"/>
      <c r="K1450" s="71"/>
      <c r="L1450" s="71"/>
      <c r="M1450" s="71"/>
    </row>
    <row r="1451" customFormat="false" ht="15" hidden="false" customHeight="false" outlineLevel="0" collapsed="false">
      <c r="B1451" s="70"/>
      <c r="C1451" s="71"/>
      <c r="D1451" s="71"/>
      <c r="E1451" s="71"/>
      <c r="F1451" s="71"/>
      <c r="G1451" s="72"/>
      <c r="J1451" s="71"/>
      <c r="K1451" s="71"/>
      <c r="L1451" s="71"/>
      <c r="M1451" s="71"/>
    </row>
    <row r="1452" customFormat="false" ht="15" hidden="false" customHeight="false" outlineLevel="0" collapsed="false">
      <c r="B1452" s="70"/>
      <c r="C1452" s="71"/>
      <c r="D1452" s="71"/>
      <c r="E1452" s="71"/>
      <c r="F1452" s="71"/>
      <c r="G1452" s="72"/>
      <c r="J1452" s="71"/>
      <c r="K1452" s="71"/>
      <c r="L1452" s="71"/>
      <c r="M1452" s="71"/>
    </row>
    <row r="1453" customFormat="false" ht="15" hidden="false" customHeight="false" outlineLevel="0" collapsed="false">
      <c r="B1453" s="70"/>
      <c r="C1453" s="71"/>
      <c r="D1453" s="71"/>
      <c r="E1453" s="71"/>
      <c r="F1453" s="71"/>
      <c r="G1453" s="72"/>
      <c r="J1453" s="71"/>
      <c r="K1453" s="71"/>
      <c r="L1453" s="71"/>
      <c r="M1453" s="71"/>
    </row>
    <row r="1454" customFormat="false" ht="15" hidden="false" customHeight="false" outlineLevel="0" collapsed="false">
      <c r="B1454" s="70"/>
      <c r="C1454" s="71"/>
      <c r="D1454" s="71"/>
      <c r="E1454" s="71"/>
      <c r="F1454" s="71"/>
      <c r="G1454" s="72"/>
      <c r="J1454" s="71"/>
      <c r="K1454" s="71"/>
      <c r="L1454" s="71"/>
      <c r="M1454" s="71"/>
    </row>
    <row r="1455" customFormat="false" ht="15" hidden="false" customHeight="false" outlineLevel="0" collapsed="false">
      <c r="B1455" s="70"/>
      <c r="C1455" s="71"/>
      <c r="D1455" s="71"/>
      <c r="E1455" s="71"/>
      <c r="F1455" s="71"/>
      <c r="G1455" s="72"/>
      <c r="J1455" s="71"/>
      <c r="K1455" s="71"/>
      <c r="L1455" s="71"/>
      <c r="M1455" s="71"/>
    </row>
    <row r="1456" customFormat="false" ht="15" hidden="false" customHeight="false" outlineLevel="0" collapsed="false">
      <c r="B1456" s="70"/>
      <c r="C1456" s="71"/>
      <c r="D1456" s="71"/>
      <c r="E1456" s="71"/>
      <c r="F1456" s="71"/>
      <c r="G1456" s="72"/>
      <c r="J1456" s="71"/>
      <c r="K1456" s="71"/>
      <c r="L1456" s="71"/>
      <c r="M1456" s="71"/>
    </row>
    <row r="1457" customFormat="false" ht="15" hidden="false" customHeight="false" outlineLevel="0" collapsed="false">
      <c r="B1457" s="70"/>
      <c r="C1457" s="71"/>
      <c r="D1457" s="71"/>
      <c r="E1457" s="71"/>
      <c r="F1457" s="71"/>
      <c r="G1457" s="72"/>
      <c r="J1457" s="71"/>
      <c r="K1457" s="71"/>
      <c r="L1457" s="71"/>
      <c r="M1457" s="71"/>
    </row>
    <row r="1458" customFormat="false" ht="15" hidden="false" customHeight="false" outlineLevel="0" collapsed="false">
      <c r="B1458" s="70"/>
      <c r="C1458" s="71"/>
      <c r="D1458" s="71"/>
      <c r="E1458" s="71"/>
      <c r="F1458" s="71"/>
      <c r="G1458" s="72"/>
      <c r="J1458" s="71"/>
      <c r="K1458" s="71"/>
      <c r="L1458" s="71"/>
      <c r="M1458" s="71"/>
    </row>
    <row r="1459" customFormat="false" ht="15" hidden="false" customHeight="false" outlineLevel="0" collapsed="false">
      <c r="B1459" s="70"/>
      <c r="C1459" s="71"/>
      <c r="D1459" s="71"/>
      <c r="E1459" s="71"/>
      <c r="F1459" s="71"/>
      <c r="G1459" s="72"/>
      <c r="J1459" s="71"/>
      <c r="K1459" s="71"/>
      <c r="L1459" s="71"/>
      <c r="M1459" s="71"/>
    </row>
    <row r="1460" customFormat="false" ht="15" hidden="false" customHeight="false" outlineLevel="0" collapsed="false">
      <c r="B1460" s="70"/>
      <c r="C1460" s="71"/>
      <c r="D1460" s="71"/>
      <c r="E1460" s="71"/>
      <c r="F1460" s="71"/>
      <c r="G1460" s="72"/>
      <c r="J1460" s="71"/>
      <c r="K1460" s="71"/>
      <c r="L1460" s="71"/>
      <c r="M1460" s="71"/>
    </row>
    <row r="1461" customFormat="false" ht="15" hidden="false" customHeight="false" outlineLevel="0" collapsed="false">
      <c r="B1461" s="70"/>
      <c r="C1461" s="71"/>
      <c r="D1461" s="71"/>
      <c r="E1461" s="71"/>
      <c r="F1461" s="71"/>
      <c r="G1461" s="72"/>
      <c r="J1461" s="71"/>
      <c r="K1461" s="71"/>
      <c r="L1461" s="71"/>
      <c r="M1461" s="71"/>
    </row>
    <row r="1462" customFormat="false" ht="15" hidden="false" customHeight="false" outlineLevel="0" collapsed="false">
      <c r="B1462" s="70"/>
      <c r="C1462" s="71"/>
      <c r="D1462" s="71"/>
      <c r="E1462" s="71"/>
      <c r="F1462" s="71"/>
      <c r="G1462" s="72"/>
      <c r="J1462" s="71"/>
      <c r="K1462" s="71"/>
      <c r="L1462" s="71"/>
      <c r="M1462" s="71"/>
    </row>
    <row r="1463" customFormat="false" ht="15" hidden="false" customHeight="false" outlineLevel="0" collapsed="false">
      <c r="B1463" s="70"/>
      <c r="C1463" s="71"/>
      <c r="D1463" s="71"/>
      <c r="E1463" s="71"/>
      <c r="F1463" s="71"/>
      <c r="G1463" s="72"/>
      <c r="J1463" s="71"/>
      <c r="K1463" s="71"/>
      <c r="L1463" s="71"/>
      <c r="M1463" s="71"/>
    </row>
    <row r="1464" customFormat="false" ht="15" hidden="false" customHeight="false" outlineLevel="0" collapsed="false">
      <c r="B1464" s="70"/>
      <c r="C1464" s="71"/>
      <c r="D1464" s="71"/>
      <c r="E1464" s="71"/>
      <c r="F1464" s="71"/>
      <c r="G1464" s="72"/>
      <c r="J1464" s="71"/>
      <c r="K1464" s="71"/>
      <c r="L1464" s="71"/>
      <c r="M1464" s="71"/>
    </row>
    <row r="1465" customFormat="false" ht="15" hidden="false" customHeight="false" outlineLevel="0" collapsed="false">
      <c r="B1465" s="70"/>
      <c r="C1465" s="71"/>
      <c r="D1465" s="71"/>
      <c r="E1465" s="71"/>
      <c r="F1465" s="71"/>
      <c r="G1465" s="72"/>
      <c r="J1465" s="71"/>
      <c r="K1465" s="71"/>
      <c r="L1465" s="71"/>
      <c r="M1465" s="71"/>
    </row>
    <row r="1466" customFormat="false" ht="15" hidden="false" customHeight="false" outlineLevel="0" collapsed="false">
      <c r="B1466" s="70"/>
      <c r="C1466" s="71"/>
      <c r="D1466" s="71"/>
      <c r="E1466" s="71"/>
      <c r="F1466" s="71"/>
      <c r="G1466" s="72"/>
      <c r="J1466" s="71"/>
      <c r="K1466" s="71"/>
      <c r="L1466" s="71"/>
      <c r="M1466" s="71"/>
    </row>
    <row r="1467" customFormat="false" ht="15" hidden="false" customHeight="false" outlineLevel="0" collapsed="false">
      <c r="B1467" s="70"/>
      <c r="C1467" s="71"/>
      <c r="D1467" s="71"/>
      <c r="E1467" s="71"/>
      <c r="F1467" s="71"/>
      <c r="G1467" s="72"/>
      <c r="J1467" s="71"/>
      <c r="K1467" s="71"/>
      <c r="L1467" s="71"/>
      <c r="M1467" s="71"/>
    </row>
    <row r="1468" customFormat="false" ht="15" hidden="false" customHeight="false" outlineLevel="0" collapsed="false">
      <c r="B1468" s="70"/>
      <c r="C1468" s="71"/>
      <c r="D1468" s="71"/>
      <c r="E1468" s="71"/>
      <c r="F1468" s="71"/>
      <c r="G1468" s="72"/>
      <c r="J1468" s="71"/>
      <c r="K1468" s="71"/>
      <c r="L1468" s="71"/>
      <c r="M1468" s="71"/>
    </row>
    <row r="1469" customFormat="false" ht="15" hidden="false" customHeight="false" outlineLevel="0" collapsed="false">
      <c r="B1469" s="70"/>
      <c r="C1469" s="71"/>
      <c r="D1469" s="71"/>
      <c r="E1469" s="71"/>
      <c r="F1469" s="71"/>
      <c r="G1469" s="72"/>
      <c r="J1469" s="71"/>
      <c r="K1469" s="71"/>
      <c r="L1469" s="71"/>
      <c r="M1469" s="71"/>
    </row>
    <row r="1470" customFormat="false" ht="15" hidden="false" customHeight="false" outlineLevel="0" collapsed="false">
      <c r="B1470" s="70"/>
      <c r="C1470" s="71"/>
      <c r="D1470" s="71"/>
      <c r="E1470" s="71"/>
      <c r="F1470" s="71"/>
      <c r="G1470" s="72"/>
      <c r="J1470" s="71"/>
      <c r="K1470" s="71"/>
      <c r="L1470" s="71"/>
      <c r="M1470" s="71"/>
    </row>
    <row r="1471" customFormat="false" ht="15" hidden="false" customHeight="false" outlineLevel="0" collapsed="false">
      <c r="B1471" s="70"/>
      <c r="C1471" s="71"/>
      <c r="D1471" s="71"/>
      <c r="E1471" s="71"/>
      <c r="F1471" s="71"/>
      <c r="G1471" s="72"/>
      <c r="J1471" s="71"/>
      <c r="K1471" s="71"/>
      <c r="L1471" s="71"/>
      <c r="M1471" s="71"/>
    </row>
    <row r="1472" customFormat="false" ht="15" hidden="false" customHeight="false" outlineLevel="0" collapsed="false">
      <c r="B1472" s="70"/>
      <c r="C1472" s="71"/>
      <c r="D1472" s="71"/>
      <c r="E1472" s="71"/>
      <c r="F1472" s="71"/>
      <c r="G1472" s="72"/>
      <c r="J1472" s="71"/>
      <c r="K1472" s="71"/>
      <c r="L1472" s="71"/>
      <c r="M1472" s="71"/>
    </row>
    <row r="1473" customFormat="false" ht="15" hidden="false" customHeight="false" outlineLevel="0" collapsed="false">
      <c r="B1473" s="70"/>
      <c r="C1473" s="71"/>
      <c r="D1473" s="71"/>
      <c r="E1473" s="71"/>
      <c r="F1473" s="71"/>
      <c r="G1473" s="72"/>
      <c r="J1473" s="71"/>
      <c r="K1473" s="71"/>
      <c r="L1473" s="71"/>
      <c r="M1473" s="71"/>
    </row>
    <row r="1474" customFormat="false" ht="15" hidden="false" customHeight="false" outlineLevel="0" collapsed="false">
      <c r="B1474" s="70"/>
      <c r="C1474" s="71"/>
      <c r="D1474" s="71"/>
      <c r="E1474" s="71"/>
      <c r="F1474" s="71"/>
      <c r="G1474" s="72"/>
      <c r="J1474" s="71"/>
      <c r="K1474" s="71"/>
      <c r="L1474" s="71"/>
      <c r="M1474" s="71"/>
    </row>
    <row r="1475" customFormat="false" ht="15" hidden="false" customHeight="false" outlineLevel="0" collapsed="false">
      <c r="B1475" s="70"/>
      <c r="C1475" s="71"/>
      <c r="D1475" s="71"/>
      <c r="E1475" s="71"/>
      <c r="F1475" s="71"/>
      <c r="G1475" s="72"/>
      <c r="J1475" s="71"/>
      <c r="K1475" s="71"/>
      <c r="L1475" s="71"/>
      <c r="M1475" s="71"/>
    </row>
    <row r="1476" customFormat="false" ht="15" hidden="false" customHeight="false" outlineLevel="0" collapsed="false">
      <c r="B1476" s="70"/>
      <c r="C1476" s="71"/>
      <c r="D1476" s="71"/>
      <c r="E1476" s="71"/>
      <c r="F1476" s="71"/>
      <c r="G1476" s="72"/>
      <c r="J1476" s="71"/>
      <c r="K1476" s="71"/>
      <c r="L1476" s="71"/>
      <c r="M1476" s="71"/>
    </row>
    <row r="1477" customFormat="false" ht="15" hidden="false" customHeight="false" outlineLevel="0" collapsed="false">
      <c r="B1477" s="70"/>
      <c r="C1477" s="71"/>
      <c r="D1477" s="71"/>
      <c r="E1477" s="71"/>
      <c r="F1477" s="71"/>
      <c r="G1477" s="72"/>
      <c r="J1477" s="71"/>
      <c r="K1477" s="71"/>
      <c r="L1477" s="71"/>
      <c r="M1477" s="71"/>
    </row>
    <row r="1478" customFormat="false" ht="15" hidden="false" customHeight="false" outlineLevel="0" collapsed="false">
      <c r="B1478" s="70"/>
      <c r="C1478" s="71"/>
      <c r="D1478" s="71"/>
      <c r="E1478" s="71"/>
      <c r="F1478" s="71"/>
      <c r="G1478" s="72"/>
      <c r="J1478" s="71"/>
      <c r="K1478" s="71"/>
      <c r="L1478" s="71"/>
      <c r="M1478" s="71"/>
    </row>
    <row r="1479" customFormat="false" ht="15" hidden="false" customHeight="false" outlineLevel="0" collapsed="false">
      <c r="B1479" s="70"/>
      <c r="C1479" s="71"/>
      <c r="D1479" s="71"/>
      <c r="E1479" s="71"/>
      <c r="F1479" s="71"/>
      <c r="G1479" s="72"/>
      <c r="J1479" s="71"/>
      <c r="K1479" s="71"/>
      <c r="L1479" s="71"/>
      <c r="M1479" s="71"/>
    </row>
    <row r="1480" customFormat="false" ht="15" hidden="false" customHeight="false" outlineLevel="0" collapsed="false">
      <c r="B1480" s="70"/>
      <c r="C1480" s="71"/>
      <c r="D1480" s="71"/>
      <c r="E1480" s="71"/>
      <c r="F1480" s="71"/>
      <c r="G1480" s="72"/>
      <c r="J1480" s="71"/>
      <c r="K1480" s="71"/>
      <c r="L1480" s="71"/>
      <c r="M1480" s="71"/>
    </row>
    <row r="1481" customFormat="false" ht="15" hidden="false" customHeight="false" outlineLevel="0" collapsed="false">
      <c r="B1481" s="70"/>
      <c r="C1481" s="71"/>
      <c r="D1481" s="71"/>
      <c r="E1481" s="71"/>
      <c r="F1481" s="71"/>
      <c r="G1481" s="72"/>
      <c r="J1481" s="71"/>
      <c r="K1481" s="71"/>
      <c r="L1481" s="71"/>
      <c r="M1481" s="71"/>
    </row>
    <row r="1482" customFormat="false" ht="15" hidden="false" customHeight="false" outlineLevel="0" collapsed="false">
      <c r="B1482" s="70"/>
      <c r="C1482" s="71"/>
      <c r="D1482" s="71"/>
      <c r="E1482" s="71"/>
      <c r="F1482" s="71"/>
      <c r="G1482" s="72"/>
      <c r="J1482" s="71"/>
      <c r="K1482" s="71"/>
      <c r="L1482" s="71"/>
      <c r="M1482" s="71"/>
    </row>
    <row r="1483" customFormat="false" ht="15" hidden="false" customHeight="false" outlineLevel="0" collapsed="false">
      <c r="B1483" s="70"/>
      <c r="C1483" s="71"/>
      <c r="D1483" s="71"/>
      <c r="E1483" s="71"/>
      <c r="F1483" s="71"/>
      <c r="G1483" s="72"/>
      <c r="J1483" s="71"/>
      <c r="K1483" s="71"/>
      <c r="L1483" s="71"/>
      <c r="M1483" s="71"/>
    </row>
    <row r="1484" customFormat="false" ht="15" hidden="false" customHeight="false" outlineLevel="0" collapsed="false">
      <c r="B1484" s="70"/>
      <c r="C1484" s="71"/>
      <c r="D1484" s="71"/>
      <c r="E1484" s="71"/>
      <c r="F1484" s="71"/>
      <c r="G1484" s="72"/>
      <c r="J1484" s="71"/>
      <c r="K1484" s="71"/>
      <c r="L1484" s="71"/>
      <c r="M1484" s="71"/>
    </row>
    <row r="1485" customFormat="false" ht="15" hidden="false" customHeight="false" outlineLevel="0" collapsed="false">
      <c r="B1485" s="70"/>
      <c r="C1485" s="71"/>
      <c r="D1485" s="71"/>
      <c r="E1485" s="71"/>
      <c r="F1485" s="71"/>
      <c r="G1485" s="72"/>
      <c r="J1485" s="71"/>
      <c r="K1485" s="71"/>
      <c r="L1485" s="71"/>
      <c r="M1485" s="71"/>
    </row>
    <row r="1486" customFormat="false" ht="15" hidden="false" customHeight="false" outlineLevel="0" collapsed="false">
      <c r="B1486" s="70"/>
      <c r="C1486" s="71"/>
      <c r="D1486" s="71"/>
      <c r="E1486" s="71"/>
      <c r="F1486" s="71"/>
      <c r="G1486" s="72"/>
      <c r="J1486" s="71"/>
      <c r="K1486" s="71"/>
      <c r="L1486" s="71"/>
      <c r="M1486" s="71"/>
    </row>
    <row r="1487" customFormat="false" ht="15" hidden="false" customHeight="false" outlineLevel="0" collapsed="false">
      <c r="B1487" s="70"/>
      <c r="C1487" s="71"/>
      <c r="D1487" s="71"/>
      <c r="E1487" s="71"/>
      <c r="F1487" s="71"/>
      <c r="G1487" s="72"/>
      <c r="J1487" s="71"/>
      <c r="K1487" s="71"/>
      <c r="L1487" s="71"/>
      <c r="M1487" s="71"/>
    </row>
    <row r="1488" customFormat="false" ht="15" hidden="false" customHeight="false" outlineLevel="0" collapsed="false">
      <c r="B1488" s="70"/>
      <c r="C1488" s="71"/>
      <c r="D1488" s="71"/>
      <c r="E1488" s="71"/>
      <c r="F1488" s="71"/>
      <c r="G1488" s="72"/>
      <c r="J1488" s="71"/>
      <c r="K1488" s="71"/>
      <c r="L1488" s="71"/>
      <c r="M1488" s="71"/>
    </row>
    <row r="1489" customFormat="false" ht="15" hidden="false" customHeight="false" outlineLevel="0" collapsed="false">
      <c r="B1489" s="70"/>
      <c r="C1489" s="71"/>
      <c r="D1489" s="71"/>
      <c r="E1489" s="71"/>
      <c r="F1489" s="71"/>
      <c r="G1489" s="72"/>
      <c r="J1489" s="71"/>
      <c r="K1489" s="71"/>
      <c r="L1489" s="71"/>
      <c r="M1489" s="71"/>
    </row>
    <row r="1490" customFormat="false" ht="15" hidden="false" customHeight="false" outlineLevel="0" collapsed="false">
      <c r="B1490" s="70"/>
      <c r="C1490" s="71"/>
      <c r="D1490" s="71"/>
      <c r="E1490" s="71"/>
      <c r="F1490" s="71"/>
      <c r="G1490" s="72"/>
      <c r="J1490" s="71"/>
      <c r="K1490" s="71"/>
      <c r="L1490" s="71"/>
      <c r="M1490" s="71"/>
    </row>
    <row r="1491" customFormat="false" ht="15" hidden="false" customHeight="false" outlineLevel="0" collapsed="false">
      <c r="B1491" s="70"/>
      <c r="C1491" s="71"/>
      <c r="D1491" s="71"/>
      <c r="E1491" s="71"/>
      <c r="F1491" s="71"/>
      <c r="G1491" s="72"/>
      <c r="J1491" s="71"/>
      <c r="K1491" s="71"/>
      <c r="L1491" s="71"/>
      <c r="M1491" s="71"/>
    </row>
    <row r="1492" customFormat="false" ht="15" hidden="false" customHeight="false" outlineLevel="0" collapsed="false">
      <c r="B1492" s="70"/>
      <c r="C1492" s="71"/>
      <c r="D1492" s="71"/>
      <c r="E1492" s="71"/>
      <c r="F1492" s="71"/>
      <c r="G1492" s="72"/>
      <c r="J1492" s="71"/>
      <c r="K1492" s="71"/>
      <c r="L1492" s="71"/>
      <c r="M1492" s="71"/>
    </row>
    <row r="1493" customFormat="false" ht="15" hidden="false" customHeight="false" outlineLevel="0" collapsed="false">
      <c r="B1493" s="70"/>
      <c r="C1493" s="71"/>
      <c r="D1493" s="71"/>
      <c r="E1493" s="71"/>
      <c r="F1493" s="71"/>
      <c r="G1493" s="72"/>
      <c r="J1493" s="71"/>
      <c r="K1493" s="71"/>
      <c r="L1493" s="71"/>
      <c r="M1493" s="71"/>
    </row>
    <row r="1494" customFormat="false" ht="15" hidden="false" customHeight="false" outlineLevel="0" collapsed="false">
      <c r="B1494" s="70"/>
      <c r="C1494" s="71"/>
      <c r="D1494" s="71"/>
      <c r="E1494" s="71"/>
      <c r="F1494" s="71"/>
      <c r="G1494" s="72"/>
      <c r="J1494" s="71"/>
      <c r="K1494" s="71"/>
      <c r="L1494" s="71"/>
      <c r="M1494" s="71"/>
    </row>
    <row r="1495" customFormat="false" ht="15" hidden="false" customHeight="false" outlineLevel="0" collapsed="false">
      <c r="B1495" s="70"/>
      <c r="C1495" s="71"/>
      <c r="D1495" s="71"/>
      <c r="E1495" s="71"/>
      <c r="F1495" s="71"/>
      <c r="G1495" s="72"/>
      <c r="J1495" s="71"/>
      <c r="K1495" s="71"/>
      <c r="L1495" s="71"/>
      <c r="M1495" s="71"/>
    </row>
    <row r="1496" customFormat="false" ht="15" hidden="false" customHeight="false" outlineLevel="0" collapsed="false">
      <c r="B1496" s="70"/>
      <c r="C1496" s="71"/>
      <c r="D1496" s="71"/>
      <c r="E1496" s="71"/>
      <c r="F1496" s="71"/>
      <c r="G1496" s="72"/>
      <c r="J1496" s="71"/>
      <c r="K1496" s="71"/>
      <c r="L1496" s="71"/>
      <c r="M1496" s="71"/>
    </row>
    <row r="1497" customFormat="false" ht="15" hidden="false" customHeight="false" outlineLevel="0" collapsed="false">
      <c r="B1497" s="70"/>
      <c r="C1497" s="71"/>
      <c r="D1497" s="71"/>
      <c r="E1497" s="71"/>
      <c r="F1497" s="71"/>
      <c r="G1497" s="72"/>
      <c r="J1497" s="71"/>
      <c r="K1497" s="71"/>
      <c r="L1497" s="71"/>
      <c r="M1497" s="71"/>
    </row>
    <row r="1498" customFormat="false" ht="15" hidden="false" customHeight="false" outlineLevel="0" collapsed="false">
      <c r="B1498" s="70"/>
      <c r="C1498" s="71"/>
      <c r="D1498" s="71"/>
      <c r="E1498" s="71"/>
      <c r="F1498" s="71"/>
      <c r="G1498" s="72"/>
      <c r="J1498" s="71"/>
      <c r="K1498" s="71"/>
      <c r="L1498" s="71"/>
      <c r="M1498" s="71"/>
    </row>
    <row r="1499" customFormat="false" ht="15" hidden="false" customHeight="false" outlineLevel="0" collapsed="false">
      <c r="B1499" s="70"/>
      <c r="C1499" s="71"/>
      <c r="D1499" s="71"/>
      <c r="E1499" s="71"/>
      <c r="F1499" s="71"/>
      <c r="G1499" s="72"/>
      <c r="J1499" s="71"/>
      <c r="K1499" s="71"/>
      <c r="L1499" s="71"/>
      <c r="M1499" s="71"/>
    </row>
    <row r="1500" customFormat="false" ht="15" hidden="false" customHeight="false" outlineLevel="0" collapsed="false">
      <c r="B1500" s="70"/>
      <c r="C1500" s="71"/>
      <c r="D1500" s="71"/>
      <c r="E1500" s="71"/>
      <c r="F1500" s="71"/>
      <c r="G1500" s="72"/>
      <c r="J1500" s="71"/>
      <c r="K1500" s="71"/>
      <c r="L1500" s="71"/>
      <c r="M1500" s="71"/>
    </row>
    <row r="1501" customFormat="false" ht="15" hidden="false" customHeight="false" outlineLevel="0" collapsed="false">
      <c r="B1501" s="70"/>
      <c r="C1501" s="71"/>
      <c r="D1501" s="71"/>
      <c r="E1501" s="71"/>
      <c r="F1501" s="71"/>
      <c r="G1501" s="72"/>
      <c r="J1501" s="71"/>
      <c r="K1501" s="71"/>
      <c r="L1501" s="71"/>
      <c r="M1501" s="71"/>
    </row>
    <row r="1502" customFormat="false" ht="15" hidden="false" customHeight="false" outlineLevel="0" collapsed="false">
      <c r="B1502" s="70"/>
      <c r="C1502" s="71"/>
      <c r="D1502" s="71"/>
      <c r="E1502" s="71"/>
      <c r="F1502" s="71"/>
      <c r="G1502" s="72"/>
      <c r="J1502" s="71"/>
      <c r="K1502" s="71"/>
      <c r="L1502" s="71"/>
      <c r="M1502" s="71"/>
    </row>
    <row r="1503" customFormat="false" ht="15" hidden="false" customHeight="false" outlineLevel="0" collapsed="false">
      <c r="B1503" s="70"/>
      <c r="C1503" s="71"/>
      <c r="D1503" s="71"/>
      <c r="E1503" s="71"/>
      <c r="F1503" s="71"/>
      <c r="G1503" s="72"/>
      <c r="J1503" s="71"/>
      <c r="K1503" s="71"/>
      <c r="L1503" s="71"/>
      <c r="M1503" s="71"/>
    </row>
    <row r="1504" customFormat="false" ht="15" hidden="false" customHeight="false" outlineLevel="0" collapsed="false">
      <c r="B1504" s="70"/>
      <c r="C1504" s="71"/>
      <c r="D1504" s="71"/>
      <c r="E1504" s="71"/>
      <c r="F1504" s="71"/>
      <c r="G1504" s="72"/>
      <c r="J1504" s="71"/>
      <c r="K1504" s="71"/>
      <c r="L1504" s="71"/>
      <c r="M1504" s="71"/>
    </row>
    <row r="1505" customFormat="false" ht="15" hidden="false" customHeight="false" outlineLevel="0" collapsed="false">
      <c r="B1505" s="70"/>
      <c r="C1505" s="71"/>
      <c r="D1505" s="71"/>
      <c r="E1505" s="71"/>
      <c r="F1505" s="71"/>
      <c r="G1505" s="72"/>
      <c r="J1505" s="71"/>
      <c r="K1505" s="71"/>
      <c r="L1505" s="71"/>
      <c r="M1505" s="71"/>
    </row>
    <row r="1506" customFormat="false" ht="15" hidden="false" customHeight="false" outlineLevel="0" collapsed="false">
      <c r="B1506" s="70"/>
      <c r="C1506" s="71"/>
      <c r="D1506" s="71"/>
      <c r="E1506" s="71"/>
      <c r="F1506" s="71"/>
      <c r="G1506" s="72"/>
      <c r="J1506" s="71"/>
      <c r="K1506" s="71"/>
      <c r="L1506" s="71"/>
      <c r="M1506" s="71"/>
    </row>
    <row r="1507" customFormat="false" ht="15" hidden="false" customHeight="false" outlineLevel="0" collapsed="false">
      <c r="B1507" s="70"/>
      <c r="C1507" s="71"/>
      <c r="D1507" s="71"/>
      <c r="E1507" s="71"/>
      <c r="F1507" s="71"/>
      <c r="G1507" s="72"/>
      <c r="J1507" s="71"/>
      <c r="K1507" s="71"/>
      <c r="L1507" s="71"/>
      <c r="M1507" s="71"/>
    </row>
    <row r="1508" customFormat="false" ht="15" hidden="false" customHeight="false" outlineLevel="0" collapsed="false">
      <c r="B1508" s="70"/>
      <c r="C1508" s="71"/>
      <c r="D1508" s="71"/>
      <c r="E1508" s="71"/>
      <c r="F1508" s="71"/>
      <c r="G1508" s="72"/>
      <c r="J1508" s="71"/>
      <c r="K1508" s="71"/>
      <c r="L1508" s="71"/>
      <c r="M1508" s="71"/>
    </row>
    <row r="1509" customFormat="false" ht="15" hidden="false" customHeight="false" outlineLevel="0" collapsed="false">
      <c r="B1509" s="70"/>
      <c r="C1509" s="71"/>
      <c r="D1509" s="71"/>
      <c r="E1509" s="71"/>
      <c r="F1509" s="71"/>
      <c r="G1509" s="72"/>
      <c r="J1509" s="71"/>
      <c r="K1509" s="71"/>
      <c r="L1509" s="71"/>
      <c r="M1509" s="71"/>
    </row>
    <row r="1510" customFormat="false" ht="15" hidden="false" customHeight="false" outlineLevel="0" collapsed="false">
      <c r="B1510" s="70"/>
      <c r="C1510" s="71"/>
      <c r="D1510" s="71"/>
      <c r="E1510" s="71"/>
      <c r="F1510" s="71"/>
      <c r="G1510" s="72"/>
      <c r="J1510" s="71"/>
      <c r="K1510" s="71"/>
      <c r="L1510" s="71"/>
      <c r="M1510" s="71"/>
    </row>
    <row r="1511" customFormat="false" ht="15" hidden="false" customHeight="false" outlineLevel="0" collapsed="false">
      <c r="B1511" s="70"/>
      <c r="C1511" s="71"/>
      <c r="D1511" s="71"/>
      <c r="E1511" s="71"/>
      <c r="F1511" s="71"/>
      <c r="G1511" s="72"/>
      <c r="J1511" s="71"/>
      <c r="K1511" s="71"/>
      <c r="L1511" s="71"/>
      <c r="M1511" s="71"/>
    </row>
    <row r="1512" customFormat="false" ht="15" hidden="false" customHeight="false" outlineLevel="0" collapsed="false">
      <c r="B1512" s="70"/>
      <c r="C1512" s="71"/>
      <c r="D1512" s="71"/>
      <c r="E1512" s="71"/>
      <c r="F1512" s="71"/>
      <c r="G1512" s="72"/>
      <c r="J1512" s="71"/>
      <c r="K1512" s="71"/>
      <c r="L1512" s="71"/>
      <c r="M1512" s="71"/>
    </row>
    <row r="1513" customFormat="false" ht="15" hidden="false" customHeight="false" outlineLevel="0" collapsed="false">
      <c r="B1513" s="70"/>
      <c r="C1513" s="71"/>
      <c r="D1513" s="71"/>
      <c r="E1513" s="71"/>
      <c r="F1513" s="71"/>
      <c r="G1513" s="72"/>
      <c r="J1513" s="71"/>
      <c r="K1513" s="71"/>
      <c r="L1513" s="71"/>
      <c r="M1513" s="71"/>
    </row>
    <row r="1514" customFormat="false" ht="15" hidden="false" customHeight="false" outlineLevel="0" collapsed="false">
      <c r="B1514" s="70"/>
      <c r="C1514" s="71"/>
      <c r="D1514" s="71"/>
      <c r="E1514" s="71"/>
      <c r="F1514" s="71"/>
      <c r="G1514" s="72"/>
      <c r="J1514" s="71"/>
      <c r="K1514" s="71"/>
      <c r="L1514" s="71"/>
      <c r="M1514" s="71"/>
    </row>
    <row r="1515" customFormat="false" ht="15" hidden="false" customHeight="false" outlineLevel="0" collapsed="false">
      <c r="B1515" s="70"/>
      <c r="C1515" s="71"/>
      <c r="D1515" s="71"/>
      <c r="E1515" s="71"/>
      <c r="F1515" s="71"/>
      <c r="G1515" s="72"/>
      <c r="J1515" s="71"/>
      <c r="K1515" s="71"/>
      <c r="L1515" s="71"/>
      <c r="M1515" s="71"/>
    </row>
    <row r="1516" customFormat="false" ht="15" hidden="false" customHeight="false" outlineLevel="0" collapsed="false">
      <c r="B1516" s="70"/>
      <c r="C1516" s="71"/>
      <c r="D1516" s="71"/>
      <c r="E1516" s="71"/>
      <c r="F1516" s="71"/>
      <c r="G1516" s="72"/>
      <c r="J1516" s="71"/>
      <c r="K1516" s="71"/>
      <c r="L1516" s="71"/>
      <c r="M1516" s="71"/>
    </row>
    <row r="1517" customFormat="false" ht="15" hidden="false" customHeight="false" outlineLevel="0" collapsed="false">
      <c r="B1517" s="70"/>
      <c r="C1517" s="71"/>
      <c r="D1517" s="71"/>
      <c r="E1517" s="71"/>
      <c r="F1517" s="71"/>
      <c r="G1517" s="72"/>
      <c r="J1517" s="71"/>
      <c r="K1517" s="71"/>
      <c r="L1517" s="71"/>
      <c r="M1517" s="71"/>
    </row>
    <row r="1518" customFormat="false" ht="15" hidden="false" customHeight="false" outlineLevel="0" collapsed="false">
      <c r="B1518" s="70"/>
      <c r="C1518" s="71"/>
      <c r="D1518" s="71"/>
      <c r="E1518" s="71"/>
      <c r="F1518" s="71"/>
      <c r="G1518" s="72"/>
      <c r="J1518" s="71"/>
      <c r="K1518" s="71"/>
      <c r="L1518" s="71"/>
      <c r="M1518" s="71"/>
    </row>
    <row r="1519" customFormat="false" ht="15" hidden="false" customHeight="false" outlineLevel="0" collapsed="false">
      <c r="B1519" s="70"/>
      <c r="C1519" s="71"/>
      <c r="D1519" s="71"/>
      <c r="E1519" s="71"/>
      <c r="F1519" s="71"/>
      <c r="G1519" s="72"/>
      <c r="J1519" s="71"/>
      <c r="K1519" s="71"/>
      <c r="L1519" s="71"/>
      <c r="M1519" s="71"/>
    </row>
    <row r="1520" customFormat="false" ht="15" hidden="false" customHeight="false" outlineLevel="0" collapsed="false">
      <c r="B1520" s="70"/>
      <c r="C1520" s="71"/>
      <c r="D1520" s="71"/>
      <c r="E1520" s="71"/>
      <c r="F1520" s="71"/>
      <c r="G1520" s="72"/>
      <c r="J1520" s="71"/>
      <c r="K1520" s="71"/>
      <c r="L1520" s="71"/>
      <c r="M1520" s="71"/>
    </row>
    <row r="1521" customFormat="false" ht="15" hidden="false" customHeight="false" outlineLevel="0" collapsed="false">
      <c r="B1521" s="70"/>
      <c r="C1521" s="71"/>
      <c r="D1521" s="71"/>
      <c r="E1521" s="71"/>
      <c r="F1521" s="71"/>
      <c r="G1521" s="72"/>
      <c r="J1521" s="71"/>
      <c r="K1521" s="71"/>
      <c r="L1521" s="71"/>
      <c r="M1521" s="71"/>
    </row>
    <row r="1522" customFormat="false" ht="15" hidden="false" customHeight="false" outlineLevel="0" collapsed="false">
      <c r="B1522" s="70"/>
      <c r="C1522" s="71"/>
      <c r="D1522" s="71"/>
      <c r="E1522" s="71"/>
      <c r="F1522" s="71"/>
      <c r="G1522" s="72"/>
      <c r="J1522" s="71"/>
      <c r="K1522" s="71"/>
      <c r="L1522" s="71"/>
      <c r="M1522" s="71"/>
    </row>
    <row r="1523" customFormat="false" ht="15" hidden="false" customHeight="false" outlineLevel="0" collapsed="false">
      <c r="B1523" s="70"/>
      <c r="C1523" s="71"/>
      <c r="D1523" s="71"/>
      <c r="E1523" s="71"/>
      <c r="F1523" s="71"/>
      <c r="G1523" s="72"/>
      <c r="J1523" s="71"/>
      <c r="K1523" s="71"/>
      <c r="L1523" s="71"/>
      <c r="M1523" s="71"/>
    </row>
    <row r="1524" customFormat="false" ht="15" hidden="false" customHeight="false" outlineLevel="0" collapsed="false">
      <c r="B1524" s="70"/>
      <c r="C1524" s="71"/>
      <c r="D1524" s="71"/>
      <c r="E1524" s="71"/>
      <c r="F1524" s="71"/>
      <c r="G1524" s="72"/>
      <c r="J1524" s="71"/>
      <c r="K1524" s="71"/>
      <c r="L1524" s="71"/>
      <c r="M1524" s="71"/>
    </row>
    <row r="1525" customFormat="false" ht="15" hidden="false" customHeight="false" outlineLevel="0" collapsed="false">
      <c r="B1525" s="70"/>
      <c r="C1525" s="71"/>
      <c r="D1525" s="71"/>
      <c r="E1525" s="71"/>
      <c r="F1525" s="71"/>
      <c r="G1525" s="72"/>
      <c r="J1525" s="71"/>
      <c r="K1525" s="71"/>
      <c r="L1525" s="71"/>
      <c r="M1525" s="71"/>
    </row>
    <row r="1526" customFormat="false" ht="15" hidden="false" customHeight="false" outlineLevel="0" collapsed="false">
      <c r="B1526" s="70"/>
      <c r="C1526" s="71"/>
      <c r="D1526" s="71"/>
      <c r="E1526" s="71"/>
      <c r="F1526" s="71"/>
      <c r="G1526" s="72"/>
      <c r="J1526" s="71"/>
      <c r="K1526" s="71"/>
      <c r="L1526" s="71"/>
      <c r="M1526" s="71"/>
    </row>
    <row r="1527" customFormat="false" ht="15" hidden="false" customHeight="false" outlineLevel="0" collapsed="false">
      <c r="B1527" s="70"/>
      <c r="C1527" s="71"/>
      <c r="D1527" s="71"/>
      <c r="E1527" s="71"/>
      <c r="F1527" s="71"/>
      <c r="G1527" s="72"/>
      <c r="J1527" s="71"/>
      <c r="K1527" s="71"/>
      <c r="L1527" s="71"/>
      <c r="M1527" s="71"/>
    </row>
    <row r="1528" customFormat="false" ht="15" hidden="false" customHeight="false" outlineLevel="0" collapsed="false">
      <c r="B1528" s="70"/>
      <c r="C1528" s="71"/>
      <c r="D1528" s="71"/>
      <c r="E1528" s="71"/>
      <c r="F1528" s="71"/>
      <c r="G1528" s="72"/>
      <c r="J1528" s="71"/>
      <c r="K1528" s="71"/>
      <c r="L1528" s="71"/>
      <c r="M1528" s="71"/>
    </row>
    <row r="1529" customFormat="false" ht="15" hidden="false" customHeight="false" outlineLevel="0" collapsed="false">
      <c r="B1529" s="70"/>
      <c r="C1529" s="71"/>
      <c r="D1529" s="71"/>
      <c r="E1529" s="71"/>
      <c r="F1529" s="71"/>
      <c r="G1529" s="72"/>
      <c r="J1529" s="71"/>
      <c r="K1529" s="71"/>
      <c r="L1529" s="71"/>
      <c r="M1529" s="71"/>
    </row>
    <row r="1530" customFormat="false" ht="15" hidden="false" customHeight="false" outlineLevel="0" collapsed="false">
      <c r="B1530" s="70"/>
      <c r="C1530" s="71"/>
      <c r="D1530" s="71"/>
      <c r="E1530" s="71"/>
      <c r="F1530" s="71"/>
      <c r="G1530" s="72"/>
      <c r="J1530" s="71"/>
      <c r="K1530" s="71"/>
      <c r="L1530" s="71"/>
      <c r="M1530" s="71"/>
    </row>
    <row r="1531" customFormat="false" ht="15" hidden="false" customHeight="false" outlineLevel="0" collapsed="false">
      <c r="B1531" s="70"/>
      <c r="C1531" s="71"/>
      <c r="D1531" s="71"/>
      <c r="E1531" s="71"/>
      <c r="F1531" s="71"/>
      <c r="G1531" s="72"/>
      <c r="J1531" s="71"/>
      <c r="K1531" s="71"/>
      <c r="L1531" s="71"/>
      <c r="M1531" s="71"/>
    </row>
    <row r="1532" customFormat="false" ht="15" hidden="false" customHeight="false" outlineLevel="0" collapsed="false">
      <c r="B1532" s="70"/>
      <c r="C1532" s="71"/>
      <c r="D1532" s="71"/>
      <c r="E1532" s="71"/>
      <c r="F1532" s="71"/>
      <c r="G1532" s="72"/>
      <c r="J1532" s="71"/>
      <c r="K1532" s="71"/>
      <c r="L1532" s="71"/>
      <c r="M1532" s="71"/>
    </row>
    <row r="1533" customFormat="false" ht="15" hidden="false" customHeight="false" outlineLevel="0" collapsed="false">
      <c r="B1533" s="70"/>
      <c r="C1533" s="71"/>
      <c r="D1533" s="71"/>
      <c r="E1533" s="71"/>
      <c r="F1533" s="71"/>
      <c r="G1533" s="72"/>
      <c r="J1533" s="71"/>
      <c r="K1533" s="71"/>
      <c r="L1533" s="71"/>
      <c r="M1533" s="71"/>
    </row>
    <row r="1534" customFormat="false" ht="15" hidden="false" customHeight="false" outlineLevel="0" collapsed="false">
      <c r="B1534" s="70"/>
      <c r="C1534" s="71"/>
      <c r="D1534" s="71"/>
      <c r="E1534" s="71"/>
      <c r="F1534" s="71"/>
      <c r="G1534" s="72"/>
      <c r="J1534" s="71"/>
      <c r="K1534" s="71"/>
      <c r="L1534" s="71"/>
      <c r="M1534" s="71"/>
    </row>
    <row r="1535" customFormat="false" ht="15" hidden="false" customHeight="false" outlineLevel="0" collapsed="false">
      <c r="B1535" s="70"/>
      <c r="C1535" s="71"/>
      <c r="D1535" s="71"/>
      <c r="E1535" s="71"/>
      <c r="F1535" s="71"/>
      <c r="G1535" s="72"/>
      <c r="J1535" s="71"/>
      <c r="K1535" s="71"/>
      <c r="L1535" s="71"/>
      <c r="M1535" s="71"/>
    </row>
    <row r="1536" customFormat="false" ht="15" hidden="false" customHeight="false" outlineLevel="0" collapsed="false">
      <c r="B1536" s="70"/>
      <c r="C1536" s="71"/>
      <c r="D1536" s="71"/>
      <c r="E1536" s="71"/>
      <c r="F1536" s="71"/>
      <c r="G1536" s="72"/>
      <c r="J1536" s="71"/>
      <c r="K1536" s="71"/>
      <c r="L1536" s="71"/>
      <c r="M1536" s="71"/>
    </row>
    <row r="1537" customFormat="false" ht="15" hidden="false" customHeight="false" outlineLevel="0" collapsed="false">
      <c r="B1537" s="70"/>
      <c r="C1537" s="71"/>
      <c r="D1537" s="71"/>
      <c r="E1537" s="71"/>
      <c r="F1537" s="71"/>
      <c r="G1537" s="72"/>
      <c r="J1537" s="71"/>
      <c r="K1537" s="71"/>
      <c r="L1537" s="71"/>
      <c r="M1537" s="71"/>
    </row>
    <row r="1538" customFormat="false" ht="15" hidden="false" customHeight="false" outlineLevel="0" collapsed="false">
      <c r="B1538" s="70"/>
      <c r="C1538" s="71"/>
      <c r="D1538" s="71"/>
      <c r="E1538" s="71"/>
      <c r="F1538" s="71"/>
      <c r="G1538" s="72"/>
      <c r="J1538" s="71"/>
      <c r="K1538" s="71"/>
      <c r="L1538" s="71"/>
      <c r="M1538" s="71"/>
    </row>
    <row r="1539" customFormat="false" ht="15" hidden="false" customHeight="false" outlineLevel="0" collapsed="false">
      <c r="B1539" s="70"/>
      <c r="C1539" s="71"/>
      <c r="D1539" s="71"/>
      <c r="E1539" s="71"/>
      <c r="F1539" s="71"/>
      <c r="G1539" s="72"/>
      <c r="J1539" s="71"/>
      <c r="K1539" s="71"/>
      <c r="L1539" s="71"/>
      <c r="M1539" s="71"/>
    </row>
    <row r="1540" customFormat="false" ht="15" hidden="false" customHeight="false" outlineLevel="0" collapsed="false">
      <c r="B1540" s="70"/>
      <c r="C1540" s="71"/>
      <c r="D1540" s="71"/>
      <c r="E1540" s="71"/>
      <c r="F1540" s="71"/>
      <c r="G1540" s="72"/>
      <c r="J1540" s="71"/>
      <c r="K1540" s="71"/>
      <c r="L1540" s="71"/>
      <c r="M1540" s="71"/>
    </row>
    <row r="1541" customFormat="false" ht="15" hidden="false" customHeight="false" outlineLevel="0" collapsed="false">
      <c r="B1541" s="70"/>
      <c r="C1541" s="71"/>
      <c r="D1541" s="71"/>
      <c r="E1541" s="71"/>
      <c r="F1541" s="71"/>
      <c r="G1541" s="72"/>
      <c r="J1541" s="71"/>
      <c r="K1541" s="71"/>
      <c r="L1541" s="71"/>
      <c r="M1541" s="71"/>
    </row>
    <row r="1542" customFormat="false" ht="15" hidden="false" customHeight="false" outlineLevel="0" collapsed="false">
      <c r="B1542" s="70"/>
      <c r="C1542" s="71"/>
      <c r="D1542" s="71"/>
      <c r="E1542" s="71"/>
      <c r="F1542" s="71"/>
      <c r="G1542" s="72"/>
      <c r="J1542" s="71"/>
      <c r="K1542" s="71"/>
      <c r="L1542" s="71"/>
      <c r="M1542" s="71"/>
    </row>
    <row r="1543" customFormat="false" ht="15" hidden="false" customHeight="false" outlineLevel="0" collapsed="false">
      <c r="B1543" s="70"/>
      <c r="C1543" s="71"/>
      <c r="D1543" s="71"/>
      <c r="E1543" s="71"/>
      <c r="F1543" s="71"/>
      <c r="G1543" s="72"/>
      <c r="J1543" s="71"/>
      <c r="K1543" s="71"/>
      <c r="L1543" s="71"/>
      <c r="M1543" s="71"/>
    </row>
    <row r="1544" customFormat="false" ht="15" hidden="false" customHeight="false" outlineLevel="0" collapsed="false">
      <c r="B1544" s="70"/>
      <c r="C1544" s="71"/>
      <c r="D1544" s="71"/>
      <c r="E1544" s="71"/>
      <c r="F1544" s="71"/>
      <c r="G1544" s="72"/>
      <c r="J1544" s="71"/>
      <c r="K1544" s="71"/>
      <c r="L1544" s="71"/>
      <c r="M1544" s="71"/>
    </row>
    <row r="1545" customFormat="false" ht="15" hidden="false" customHeight="false" outlineLevel="0" collapsed="false">
      <c r="B1545" s="70"/>
      <c r="C1545" s="71"/>
      <c r="D1545" s="71"/>
      <c r="E1545" s="71"/>
      <c r="F1545" s="71"/>
      <c r="G1545" s="72"/>
      <c r="J1545" s="71"/>
      <c r="K1545" s="71"/>
      <c r="L1545" s="71"/>
      <c r="M1545" s="71"/>
    </row>
    <row r="1546" customFormat="false" ht="15" hidden="false" customHeight="false" outlineLevel="0" collapsed="false">
      <c r="B1546" s="70"/>
      <c r="C1546" s="71"/>
      <c r="D1546" s="71"/>
      <c r="E1546" s="71"/>
      <c r="F1546" s="71"/>
      <c r="G1546" s="72"/>
      <c r="J1546" s="71"/>
      <c r="K1546" s="71"/>
      <c r="L1546" s="71"/>
      <c r="M1546" s="71"/>
    </row>
    <row r="1547" customFormat="false" ht="15" hidden="false" customHeight="false" outlineLevel="0" collapsed="false">
      <c r="B1547" s="70"/>
      <c r="C1547" s="71"/>
      <c r="D1547" s="71"/>
      <c r="E1547" s="71"/>
      <c r="F1547" s="71"/>
      <c r="G1547" s="72"/>
      <c r="J1547" s="71"/>
      <c r="K1547" s="71"/>
      <c r="L1547" s="71"/>
      <c r="M1547" s="71"/>
    </row>
    <row r="1548" customFormat="false" ht="15" hidden="false" customHeight="false" outlineLevel="0" collapsed="false">
      <c r="B1548" s="70"/>
      <c r="C1548" s="71"/>
      <c r="D1548" s="71"/>
      <c r="E1548" s="71"/>
      <c r="F1548" s="71"/>
      <c r="G1548" s="72"/>
      <c r="J1548" s="71"/>
      <c r="K1548" s="71"/>
      <c r="L1548" s="71"/>
      <c r="M1548" s="71"/>
    </row>
    <row r="1549" customFormat="false" ht="15" hidden="false" customHeight="false" outlineLevel="0" collapsed="false">
      <c r="B1549" s="70"/>
      <c r="C1549" s="71"/>
      <c r="D1549" s="71"/>
      <c r="E1549" s="71"/>
      <c r="F1549" s="71"/>
      <c r="G1549" s="72"/>
      <c r="J1549" s="71"/>
      <c r="K1549" s="71"/>
      <c r="L1549" s="71"/>
      <c r="M1549" s="71"/>
    </row>
    <row r="1550" customFormat="false" ht="15" hidden="false" customHeight="false" outlineLevel="0" collapsed="false">
      <c r="B1550" s="70"/>
      <c r="C1550" s="71"/>
      <c r="D1550" s="71"/>
      <c r="E1550" s="71"/>
      <c r="F1550" s="71"/>
      <c r="G1550" s="72"/>
      <c r="J1550" s="71"/>
      <c r="K1550" s="71"/>
      <c r="L1550" s="71"/>
      <c r="M1550" s="71"/>
    </row>
    <row r="1551" customFormat="false" ht="15" hidden="false" customHeight="false" outlineLevel="0" collapsed="false">
      <c r="B1551" s="70"/>
      <c r="C1551" s="71"/>
      <c r="D1551" s="71"/>
      <c r="E1551" s="71"/>
      <c r="F1551" s="71"/>
      <c r="G1551" s="72"/>
      <c r="J1551" s="71"/>
      <c r="K1551" s="71"/>
      <c r="L1551" s="71"/>
      <c r="M1551" s="71"/>
    </row>
    <row r="1552" customFormat="false" ht="15" hidden="false" customHeight="false" outlineLevel="0" collapsed="false">
      <c r="B1552" s="70"/>
      <c r="C1552" s="71"/>
      <c r="D1552" s="71"/>
      <c r="E1552" s="71"/>
      <c r="F1552" s="71"/>
      <c r="G1552" s="72"/>
      <c r="J1552" s="71"/>
      <c r="K1552" s="71"/>
      <c r="L1552" s="71"/>
      <c r="M1552" s="71"/>
    </row>
    <row r="1553" customFormat="false" ht="15" hidden="false" customHeight="false" outlineLevel="0" collapsed="false">
      <c r="B1553" s="70"/>
      <c r="C1553" s="71"/>
      <c r="D1553" s="71"/>
      <c r="E1553" s="71"/>
      <c r="F1553" s="71"/>
      <c r="G1553" s="72"/>
      <c r="J1553" s="71"/>
      <c r="K1553" s="71"/>
      <c r="L1553" s="71"/>
      <c r="M1553" s="71"/>
    </row>
    <row r="1554" customFormat="false" ht="15" hidden="false" customHeight="false" outlineLevel="0" collapsed="false">
      <c r="B1554" s="70"/>
      <c r="C1554" s="71"/>
      <c r="D1554" s="71"/>
      <c r="E1554" s="71"/>
      <c r="F1554" s="71"/>
      <c r="G1554" s="72"/>
      <c r="J1554" s="71"/>
      <c r="K1554" s="71"/>
      <c r="L1554" s="71"/>
      <c r="M1554" s="71"/>
    </row>
    <row r="1555" customFormat="false" ht="15" hidden="false" customHeight="false" outlineLevel="0" collapsed="false">
      <c r="B1555" s="70"/>
      <c r="C1555" s="71"/>
      <c r="D1555" s="71"/>
      <c r="E1555" s="71"/>
      <c r="F1555" s="71"/>
      <c r="G1555" s="72"/>
      <c r="J1555" s="71"/>
      <c r="K1555" s="71"/>
      <c r="L1555" s="71"/>
      <c r="M1555" s="71"/>
    </row>
    <row r="1556" customFormat="false" ht="15" hidden="false" customHeight="false" outlineLevel="0" collapsed="false">
      <c r="B1556" s="70"/>
      <c r="C1556" s="71"/>
      <c r="D1556" s="71"/>
      <c r="E1556" s="71"/>
      <c r="F1556" s="71"/>
      <c r="G1556" s="72"/>
      <c r="J1556" s="71"/>
      <c r="K1556" s="71"/>
      <c r="L1556" s="71"/>
      <c r="M1556" s="71"/>
    </row>
    <row r="1557" customFormat="false" ht="15" hidden="false" customHeight="false" outlineLevel="0" collapsed="false">
      <c r="B1557" s="70"/>
      <c r="C1557" s="71"/>
      <c r="D1557" s="71"/>
      <c r="E1557" s="71"/>
      <c r="F1557" s="71"/>
      <c r="G1557" s="72"/>
      <c r="J1557" s="71"/>
      <c r="K1557" s="71"/>
      <c r="L1557" s="71"/>
      <c r="M1557" s="71"/>
    </row>
    <row r="1558" customFormat="false" ht="15" hidden="false" customHeight="false" outlineLevel="0" collapsed="false">
      <c r="B1558" s="70"/>
      <c r="C1558" s="71"/>
      <c r="D1558" s="71"/>
      <c r="E1558" s="71"/>
      <c r="F1558" s="71"/>
      <c r="G1558" s="72"/>
      <c r="J1558" s="71"/>
      <c r="K1558" s="71"/>
      <c r="L1558" s="71"/>
      <c r="M1558" s="71"/>
    </row>
    <row r="1559" customFormat="false" ht="15" hidden="false" customHeight="false" outlineLevel="0" collapsed="false">
      <c r="B1559" s="70"/>
      <c r="C1559" s="71"/>
      <c r="D1559" s="71"/>
      <c r="E1559" s="71"/>
      <c r="F1559" s="71"/>
      <c r="G1559" s="72"/>
      <c r="J1559" s="71"/>
      <c r="K1559" s="71"/>
      <c r="L1559" s="71"/>
      <c r="M1559" s="71"/>
    </row>
    <row r="1560" customFormat="false" ht="15" hidden="false" customHeight="false" outlineLevel="0" collapsed="false">
      <c r="B1560" s="70"/>
      <c r="C1560" s="71"/>
      <c r="D1560" s="71"/>
      <c r="E1560" s="71"/>
      <c r="F1560" s="71"/>
      <c r="G1560" s="72"/>
      <c r="J1560" s="71"/>
      <c r="K1560" s="71"/>
      <c r="L1560" s="71"/>
      <c r="M1560" s="71"/>
    </row>
    <row r="1561" customFormat="false" ht="15" hidden="false" customHeight="false" outlineLevel="0" collapsed="false">
      <c r="B1561" s="70"/>
      <c r="C1561" s="71"/>
      <c r="D1561" s="71"/>
      <c r="E1561" s="71"/>
      <c r="F1561" s="71"/>
      <c r="G1561" s="72"/>
      <c r="J1561" s="71"/>
      <c r="K1561" s="71"/>
      <c r="L1561" s="71"/>
      <c r="M1561" s="71"/>
    </row>
    <row r="1562" customFormat="false" ht="15" hidden="false" customHeight="false" outlineLevel="0" collapsed="false">
      <c r="B1562" s="70"/>
      <c r="C1562" s="71"/>
      <c r="D1562" s="71"/>
      <c r="E1562" s="71"/>
      <c r="F1562" s="71"/>
      <c r="G1562" s="72"/>
      <c r="J1562" s="71"/>
      <c r="K1562" s="71"/>
      <c r="L1562" s="71"/>
      <c r="M1562" s="71"/>
    </row>
    <row r="1563" customFormat="false" ht="15" hidden="false" customHeight="false" outlineLevel="0" collapsed="false">
      <c r="B1563" s="70"/>
      <c r="C1563" s="71"/>
      <c r="D1563" s="71"/>
      <c r="E1563" s="71"/>
      <c r="F1563" s="71"/>
      <c r="G1563" s="72"/>
      <c r="J1563" s="71"/>
      <c r="K1563" s="71"/>
      <c r="L1563" s="71"/>
      <c r="M1563" s="71"/>
    </row>
    <row r="1564" customFormat="false" ht="15" hidden="false" customHeight="false" outlineLevel="0" collapsed="false">
      <c r="B1564" s="70"/>
      <c r="C1564" s="71"/>
      <c r="D1564" s="71"/>
      <c r="E1564" s="71"/>
      <c r="F1564" s="71"/>
      <c r="G1564" s="72"/>
      <c r="J1564" s="71"/>
      <c r="K1564" s="71"/>
      <c r="L1564" s="71"/>
      <c r="M1564" s="71"/>
    </row>
    <row r="1565" customFormat="false" ht="15" hidden="false" customHeight="false" outlineLevel="0" collapsed="false">
      <c r="B1565" s="70"/>
      <c r="C1565" s="71"/>
      <c r="D1565" s="71"/>
      <c r="E1565" s="71"/>
      <c r="F1565" s="71"/>
      <c r="G1565" s="72"/>
      <c r="J1565" s="71"/>
      <c r="K1565" s="71"/>
      <c r="L1565" s="71"/>
      <c r="M1565" s="71"/>
    </row>
    <row r="1566" customFormat="false" ht="15" hidden="false" customHeight="false" outlineLevel="0" collapsed="false">
      <c r="B1566" s="70"/>
      <c r="C1566" s="71"/>
      <c r="D1566" s="71"/>
      <c r="E1566" s="71"/>
      <c r="F1566" s="71"/>
      <c r="G1566" s="72"/>
      <c r="J1566" s="71"/>
      <c r="K1566" s="71"/>
      <c r="L1566" s="71"/>
      <c r="M1566" s="71"/>
    </row>
    <row r="1567" customFormat="false" ht="15" hidden="false" customHeight="false" outlineLevel="0" collapsed="false">
      <c r="B1567" s="70"/>
      <c r="C1567" s="71"/>
      <c r="D1567" s="71"/>
      <c r="E1567" s="71"/>
      <c r="F1567" s="71"/>
      <c r="G1567" s="72"/>
      <c r="J1567" s="71"/>
      <c r="K1567" s="71"/>
      <c r="L1567" s="71"/>
      <c r="M1567" s="71"/>
    </row>
    <row r="1568" customFormat="false" ht="15" hidden="false" customHeight="false" outlineLevel="0" collapsed="false">
      <c r="B1568" s="70"/>
      <c r="C1568" s="71"/>
      <c r="D1568" s="71"/>
      <c r="E1568" s="71"/>
      <c r="F1568" s="71"/>
      <c r="G1568" s="72"/>
      <c r="J1568" s="71"/>
      <c r="K1568" s="71"/>
      <c r="L1568" s="71"/>
      <c r="M1568" s="71"/>
    </row>
    <row r="1569" customFormat="false" ht="15" hidden="false" customHeight="false" outlineLevel="0" collapsed="false">
      <c r="B1569" s="70"/>
      <c r="C1569" s="71"/>
      <c r="D1569" s="71"/>
      <c r="E1569" s="71"/>
      <c r="F1569" s="71"/>
      <c r="G1569" s="72"/>
      <c r="J1569" s="71"/>
      <c r="K1569" s="71"/>
      <c r="L1569" s="71"/>
      <c r="M1569" s="71"/>
    </row>
    <row r="1570" customFormat="false" ht="15" hidden="false" customHeight="false" outlineLevel="0" collapsed="false">
      <c r="B1570" s="70"/>
      <c r="C1570" s="71"/>
      <c r="D1570" s="71"/>
      <c r="E1570" s="71"/>
      <c r="F1570" s="71"/>
      <c r="G1570" s="72"/>
      <c r="J1570" s="71"/>
      <c r="K1570" s="71"/>
      <c r="L1570" s="71"/>
      <c r="M1570" s="71"/>
    </row>
    <row r="1571" customFormat="false" ht="15" hidden="false" customHeight="false" outlineLevel="0" collapsed="false">
      <c r="B1571" s="70"/>
      <c r="C1571" s="71"/>
      <c r="D1571" s="71"/>
      <c r="E1571" s="71"/>
      <c r="F1571" s="71"/>
      <c r="G1571" s="72"/>
      <c r="J1571" s="71"/>
      <c r="K1571" s="71"/>
      <c r="L1571" s="71"/>
      <c r="M1571" s="71"/>
    </row>
    <row r="1572" customFormat="false" ht="15" hidden="false" customHeight="false" outlineLevel="0" collapsed="false">
      <c r="B1572" s="70"/>
      <c r="C1572" s="71"/>
      <c r="D1572" s="71"/>
      <c r="E1572" s="71"/>
      <c r="F1572" s="71"/>
      <c r="G1572" s="72"/>
      <c r="J1572" s="71"/>
      <c r="K1572" s="71"/>
      <c r="L1572" s="71"/>
      <c r="M1572" s="71"/>
    </row>
    <row r="1573" customFormat="false" ht="15" hidden="false" customHeight="false" outlineLevel="0" collapsed="false">
      <c r="B1573" s="70"/>
      <c r="C1573" s="71"/>
      <c r="D1573" s="71"/>
      <c r="E1573" s="71"/>
      <c r="F1573" s="71"/>
      <c r="G1573" s="72"/>
      <c r="J1573" s="71"/>
      <c r="K1573" s="71"/>
      <c r="L1573" s="71"/>
      <c r="M1573" s="71"/>
    </row>
    <row r="1574" customFormat="false" ht="15" hidden="false" customHeight="false" outlineLevel="0" collapsed="false">
      <c r="B1574" s="70"/>
      <c r="C1574" s="71"/>
      <c r="D1574" s="71"/>
      <c r="E1574" s="71"/>
      <c r="F1574" s="71"/>
      <c r="G1574" s="72"/>
      <c r="J1574" s="71"/>
      <c r="K1574" s="71"/>
      <c r="L1574" s="71"/>
      <c r="M1574" s="71"/>
    </row>
    <row r="1575" customFormat="false" ht="15" hidden="false" customHeight="false" outlineLevel="0" collapsed="false">
      <c r="B1575" s="70"/>
      <c r="C1575" s="71"/>
      <c r="D1575" s="71"/>
      <c r="E1575" s="71"/>
      <c r="F1575" s="71"/>
      <c r="G1575" s="72"/>
      <c r="J1575" s="71"/>
      <c r="K1575" s="71"/>
      <c r="L1575" s="71"/>
      <c r="M1575" s="71"/>
    </row>
    <row r="1576" customFormat="false" ht="15" hidden="false" customHeight="false" outlineLevel="0" collapsed="false">
      <c r="B1576" s="70"/>
      <c r="C1576" s="71"/>
      <c r="D1576" s="71"/>
      <c r="E1576" s="71"/>
      <c r="F1576" s="71"/>
      <c r="G1576" s="72"/>
      <c r="J1576" s="71"/>
      <c r="K1576" s="71"/>
      <c r="L1576" s="71"/>
      <c r="M1576" s="71"/>
    </row>
    <row r="1577" customFormat="false" ht="15" hidden="false" customHeight="false" outlineLevel="0" collapsed="false">
      <c r="B1577" s="70"/>
      <c r="C1577" s="71"/>
      <c r="D1577" s="71"/>
      <c r="E1577" s="71"/>
      <c r="F1577" s="71"/>
      <c r="G1577" s="72"/>
      <c r="J1577" s="71"/>
      <c r="K1577" s="71"/>
      <c r="L1577" s="71"/>
      <c r="M1577" s="71"/>
    </row>
    <row r="1578" customFormat="false" ht="15" hidden="false" customHeight="false" outlineLevel="0" collapsed="false">
      <c r="B1578" s="70"/>
      <c r="C1578" s="71"/>
      <c r="D1578" s="71"/>
      <c r="E1578" s="71"/>
      <c r="F1578" s="71"/>
      <c r="G1578" s="72"/>
      <c r="J1578" s="71"/>
      <c r="K1578" s="71"/>
      <c r="L1578" s="71"/>
      <c r="M1578" s="71"/>
    </row>
    <row r="1579" customFormat="false" ht="15" hidden="false" customHeight="false" outlineLevel="0" collapsed="false">
      <c r="B1579" s="70"/>
      <c r="C1579" s="71"/>
      <c r="D1579" s="71"/>
      <c r="E1579" s="71"/>
      <c r="F1579" s="71"/>
      <c r="G1579" s="72"/>
      <c r="J1579" s="71"/>
      <c r="K1579" s="71"/>
      <c r="L1579" s="71"/>
      <c r="M1579" s="71"/>
    </row>
    <row r="1580" customFormat="false" ht="15" hidden="false" customHeight="false" outlineLevel="0" collapsed="false">
      <c r="B1580" s="70"/>
      <c r="C1580" s="71"/>
      <c r="D1580" s="71"/>
      <c r="E1580" s="71"/>
      <c r="F1580" s="71"/>
      <c r="G1580" s="72"/>
      <c r="J1580" s="71"/>
      <c r="K1580" s="71"/>
      <c r="L1580" s="71"/>
      <c r="M1580" s="71"/>
    </row>
    <row r="1581" customFormat="false" ht="15" hidden="false" customHeight="false" outlineLevel="0" collapsed="false">
      <c r="B1581" s="70"/>
      <c r="C1581" s="71"/>
      <c r="D1581" s="71"/>
      <c r="E1581" s="71"/>
      <c r="F1581" s="71"/>
      <c r="G1581" s="72"/>
      <c r="J1581" s="71"/>
      <c r="K1581" s="71"/>
      <c r="L1581" s="71"/>
      <c r="M1581" s="71"/>
    </row>
    <row r="1582" customFormat="false" ht="15" hidden="false" customHeight="false" outlineLevel="0" collapsed="false">
      <c r="B1582" s="70"/>
      <c r="C1582" s="71"/>
      <c r="D1582" s="71"/>
      <c r="E1582" s="71"/>
      <c r="F1582" s="71"/>
      <c r="G1582" s="72"/>
      <c r="J1582" s="71"/>
      <c r="K1582" s="71"/>
      <c r="L1582" s="71"/>
      <c r="M1582" s="71"/>
    </row>
    <row r="1583" customFormat="false" ht="15" hidden="false" customHeight="false" outlineLevel="0" collapsed="false">
      <c r="B1583" s="70"/>
      <c r="C1583" s="71"/>
      <c r="D1583" s="71"/>
      <c r="E1583" s="71"/>
      <c r="F1583" s="71"/>
      <c r="G1583" s="72"/>
      <c r="J1583" s="71"/>
      <c r="K1583" s="71"/>
      <c r="L1583" s="71"/>
      <c r="M1583" s="71"/>
    </row>
    <row r="1584" customFormat="false" ht="15" hidden="false" customHeight="false" outlineLevel="0" collapsed="false">
      <c r="B1584" s="70"/>
      <c r="C1584" s="71"/>
      <c r="D1584" s="71"/>
      <c r="E1584" s="71"/>
      <c r="F1584" s="71"/>
      <c r="G1584" s="72"/>
      <c r="J1584" s="71"/>
      <c r="K1584" s="71"/>
      <c r="L1584" s="71"/>
      <c r="M1584" s="71"/>
    </row>
    <row r="1585" customFormat="false" ht="15" hidden="false" customHeight="false" outlineLevel="0" collapsed="false">
      <c r="B1585" s="70"/>
      <c r="C1585" s="71"/>
      <c r="D1585" s="71"/>
      <c r="E1585" s="71"/>
      <c r="F1585" s="71"/>
      <c r="G1585" s="72"/>
      <c r="J1585" s="71"/>
      <c r="K1585" s="71"/>
      <c r="L1585" s="71"/>
      <c r="M1585" s="71"/>
    </row>
    <row r="1586" customFormat="false" ht="15" hidden="false" customHeight="false" outlineLevel="0" collapsed="false">
      <c r="B1586" s="70"/>
      <c r="C1586" s="71"/>
      <c r="D1586" s="71"/>
      <c r="E1586" s="71"/>
      <c r="F1586" s="71"/>
      <c r="G1586" s="72"/>
      <c r="J1586" s="71"/>
      <c r="K1586" s="71"/>
      <c r="L1586" s="71"/>
      <c r="M1586" s="71"/>
    </row>
    <row r="1587" customFormat="false" ht="15" hidden="false" customHeight="false" outlineLevel="0" collapsed="false">
      <c r="B1587" s="70"/>
      <c r="C1587" s="71"/>
      <c r="D1587" s="71"/>
      <c r="E1587" s="71"/>
      <c r="F1587" s="71"/>
      <c r="G1587" s="72"/>
      <c r="J1587" s="71"/>
      <c r="K1587" s="71"/>
      <c r="L1587" s="71"/>
      <c r="M1587" s="71"/>
    </row>
    <row r="1588" customFormat="false" ht="15" hidden="false" customHeight="false" outlineLevel="0" collapsed="false">
      <c r="B1588" s="70"/>
      <c r="C1588" s="71"/>
      <c r="D1588" s="71"/>
      <c r="E1588" s="71"/>
      <c r="F1588" s="71"/>
      <c r="G1588" s="72"/>
      <c r="J1588" s="71"/>
      <c r="K1588" s="71"/>
      <c r="L1588" s="71"/>
      <c r="M1588" s="71"/>
    </row>
    <row r="1589" customFormat="false" ht="15" hidden="false" customHeight="false" outlineLevel="0" collapsed="false">
      <c r="B1589" s="70"/>
      <c r="C1589" s="71"/>
      <c r="D1589" s="71"/>
      <c r="E1589" s="71"/>
      <c r="F1589" s="71"/>
      <c r="G1589" s="72"/>
      <c r="J1589" s="71"/>
      <c r="K1589" s="71"/>
      <c r="L1589" s="71"/>
      <c r="M1589" s="71"/>
    </row>
    <row r="1590" customFormat="false" ht="15" hidden="false" customHeight="false" outlineLevel="0" collapsed="false">
      <c r="B1590" s="70"/>
      <c r="C1590" s="71"/>
      <c r="D1590" s="71"/>
      <c r="E1590" s="71"/>
      <c r="F1590" s="71"/>
      <c r="G1590" s="72"/>
      <c r="J1590" s="71"/>
      <c r="K1590" s="71"/>
      <c r="L1590" s="71"/>
      <c r="M1590" s="71"/>
    </row>
    <row r="1591" customFormat="false" ht="15" hidden="false" customHeight="false" outlineLevel="0" collapsed="false">
      <c r="B1591" s="70"/>
      <c r="C1591" s="71"/>
      <c r="D1591" s="71"/>
      <c r="E1591" s="71"/>
      <c r="F1591" s="71"/>
      <c r="G1591" s="72"/>
      <c r="J1591" s="71"/>
      <c r="K1591" s="71"/>
      <c r="L1591" s="71"/>
      <c r="M1591" s="71"/>
    </row>
    <row r="1592" customFormat="false" ht="15" hidden="false" customHeight="false" outlineLevel="0" collapsed="false">
      <c r="B1592" s="70"/>
      <c r="C1592" s="71"/>
      <c r="D1592" s="71"/>
      <c r="E1592" s="71"/>
      <c r="F1592" s="71"/>
      <c r="G1592" s="72"/>
      <c r="J1592" s="71"/>
      <c r="K1592" s="71"/>
      <c r="L1592" s="71"/>
      <c r="M1592" s="71"/>
    </row>
    <row r="1593" customFormat="false" ht="15" hidden="false" customHeight="false" outlineLevel="0" collapsed="false">
      <c r="B1593" s="70"/>
      <c r="C1593" s="71"/>
      <c r="D1593" s="71"/>
      <c r="E1593" s="71"/>
      <c r="F1593" s="71"/>
      <c r="G1593" s="72"/>
      <c r="J1593" s="71"/>
      <c r="K1593" s="71"/>
      <c r="L1593" s="71"/>
      <c r="M1593" s="71"/>
    </row>
    <row r="1594" customFormat="false" ht="15" hidden="false" customHeight="false" outlineLevel="0" collapsed="false">
      <c r="B1594" s="70"/>
      <c r="C1594" s="71"/>
      <c r="D1594" s="71"/>
      <c r="E1594" s="71"/>
      <c r="F1594" s="71"/>
      <c r="G1594" s="72"/>
      <c r="J1594" s="71"/>
      <c r="K1594" s="71"/>
      <c r="L1594" s="71"/>
      <c r="M1594" s="71"/>
    </row>
    <row r="1595" customFormat="false" ht="15" hidden="false" customHeight="false" outlineLevel="0" collapsed="false">
      <c r="B1595" s="70"/>
      <c r="C1595" s="71"/>
      <c r="D1595" s="71"/>
      <c r="E1595" s="71"/>
      <c r="F1595" s="71"/>
      <c r="G1595" s="72"/>
      <c r="J1595" s="71"/>
      <c r="K1595" s="71"/>
      <c r="L1595" s="71"/>
      <c r="M1595" s="71"/>
    </row>
    <row r="1596" customFormat="false" ht="15" hidden="false" customHeight="false" outlineLevel="0" collapsed="false">
      <c r="B1596" s="70"/>
      <c r="C1596" s="71"/>
      <c r="D1596" s="71"/>
      <c r="E1596" s="71"/>
      <c r="F1596" s="71"/>
      <c r="G1596" s="72"/>
      <c r="J1596" s="71"/>
      <c r="K1596" s="71"/>
      <c r="L1596" s="71"/>
      <c r="M1596" s="71"/>
    </row>
    <row r="1597" customFormat="false" ht="15" hidden="false" customHeight="false" outlineLevel="0" collapsed="false">
      <c r="B1597" s="70"/>
      <c r="C1597" s="71"/>
      <c r="D1597" s="71"/>
      <c r="E1597" s="71"/>
      <c r="F1597" s="71"/>
      <c r="G1597" s="72"/>
      <c r="J1597" s="71"/>
      <c r="K1597" s="71"/>
      <c r="L1597" s="71"/>
      <c r="M1597" s="71"/>
    </row>
    <row r="1598" customFormat="false" ht="15" hidden="false" customHeight="false" outlineLevel="0" collapsed="false">
      <c r="B1598" s="70"/>
      <c r="C1598" s="71"/>
      <c r="D1598" s="71"/>
      <c r="E1598" s="71"/>
      <c r="F1598" s="71"/>
      <c r="G1598" s="72"/>
      <c r="J1598" s="71"/>
      <c r="K1598" s="71"/>
      <c r="L1598" s="71"/>
      <c r="M1598" s="71"/>
    </row>
    <row r="1599" customFormat="false" ht="15" hidden="false" customHeight="false" outlineLevel="0" collapsed="false">
      <c r="B1599" s="70"/>
      <c r="C1599" s="71"/>
      <c r="D1599" s="71"/>
      <c r="E1599" s="71"/>
      <c r="F1599" s="71"/>
      <c r="G1599" s="72"/>
      <c r="J1599" s="71"/>
      <c r="K1599" s="71"/>
      <c r="L1599" s="71"/>
      <c r="M1599" s="71"/>
    </row>
    <row r="1600" customFormat="false" ht="15" hidden="false" customHeight="false" outlineLevel="0" collapsed="false">
      <c r="B1600" s="70"/>
      <c r="C1600" s="71"/>
      <c r="D1600" s="71"/>
      <c r="E1600" s="71"/>
      <c r="F1600" s="71"/>
      <c r="G1600" s="72"/>
      <c r="J1600" s="71"/>
      <c r="K1600" s="71"/>
      <c r="L1600" s="71"/>
      <c r="M1600" s="71"/>
    </row>
    <row r="1601" customFormat="false" ht="15" hidden="false" customHeight="false" outlineLevel="0" collapsed="false">
      <c r="B1601" s="70"/>
      <c r="C1601" s="71"/>
      <c r="D1601" s="71"/>
      <c r="E1601" s="71"/>
      <c r="F1601" s="71"/>
      <c r="G1601" s="72"/>
      <c r="J1601" s="71"/>
      <c r="K1601" s="71"/>
      <c r="L1601" s="71"/>
      <c r="M1601" s="71"/>
    </row>
    <row r="1602" customFormat="false" ht="15" hidden="false" customHeight="false" outlineLevel="0" collapsed="false">
      <c r="B1602" s="70"/>
      <c r="C1602" s="71"/>
      <c r="D1602" s="71"/>
      <c r="E1602" s="71"/>
      <c r="F1602" s="71"/>
      <c r="G1602" s="72"/>
      <c r="J1602" s="71"/>
      <c r="K1602" s="71"/>
      <c r="L1602" s="71"/>
      <c r="M1602" s="71"/>
    </row>
    <row r="1603" customFormat="false" ht="15" hidden="false" customHeight="false" outlineLevel="0" collapsed="false">
      <c r="B1603" s="70"/>
      <c r="C1603" s="71"/>
      <c r="D1603" s="71"/>
      <c r="E1603" s="71"/>
      <c r="F1603" s="71"/>
      <c r="G1603" s="72"/>
      <c r="J1603" s="71"/>
      <c r="K1603" s="71"/>
      <c r="L1603" s="71"/>
      <c r="M1603" s="71"/>
    </row>
    <row r="1604" customFormat="false" ht="15" hidden="false" customHeight="false" outlineLevel="0" collapsed="false">
      <c r="B1604" s="70"/>
      <c r="C1604" s="71"/>
      <c r="D1604" s="71"/>
      <c r="E1604" s="71"/>
      <c r="F1604" s="71"/>
      <c r="G1604" s="72"/>
      <c r="J1604" s="71"/>
      <c r="K1604" s="71"/>
      <c r="L1604" s="71"/>
      <c r="M1604" s="71"/>
    </row>
    <row r="1605" customFormat="false" ht="15" hidden="false" customHeight="false" outlineLevel="0" collapsed="false">
      <c r="B1605" s="70"/>
      <c r="C1605" s="71"/>
      <c r="D1605" s="71"/>
      <c r="E1605" s="71"/>
      <c r="F1605" s="71"/>
      <c r="G1605" s="72"/>
      <c r="J1605" s="71"/>
      <c r="K1605" s="71"/>
      <c r="L1605" s="71"/>
      <c r="M1605" s="71"/>
    </row>
    <row r="1606" customFormat="false" ht="15" hidden="false" customHeight="false" outlineLevel="0" collapsed="false">
      <c r="B1606" s="70"/>
      <c r="C1606" s="71"/>
      <c r="D1606" s="71"/>
      <c r="E1606" s="71"/>
      <c r="F1606" s="71"/>
      <c r="G1606" s="72"/>
      <c r="J1606" s="71"/>
      <c r="K1606" s="71"/>
      <c r="L1606" s="71"/>
      <c r="M1606" s="71"/>
    </row>
    <row r="1607" customFormat="false" ht="15" hidden="false" customHeight="false" outlineLevel="0" collapsed="false">
      <c r="B1607" s="70"/>
      <c r="C1607" s="71"/>
      <c r="D1607" s="71"/>
      <c r="E1607" s="71"/>
      <c r="F1607" s="71"/>
      <c r="G1607" s="72"/>
      <c r="J1607" s="71"/>
      <c r="K1607" s="71"/>
      <c r="L1607" s="71"/>
      <c r="M1607" s="71"/>
    </row>
    <row r="1608" customFormat="false" ht="15" hidden="false" customHeight="false" outlineLevel="0" collapsed="false">
      <c r="B1608" s="70"/>
      <c r="C1608" s="71"/>
      <c r="D1608" s="71"/>
      <c r="E1608" s="71"/>
      <c r="F1608" s="71"/>
      <c r="G1608" s="72"/>
      <c r="J1608" s="71"/>
      <c r="K1608" s="71"/>
      <c r="L1608" s="71"/>
      <c r="M1608" s="71"/>
    </row>
    <row r="1609" customFormat="false" ht="15" hidden="false" customHeight="false" outlineLevel="0" collapsed="false">
      <c r="B1609" s="70"/>
      <c r="C1609" s="71"/>
      <c r="D1609" s="71"/>
      <c r="E1609" s="71"/>
      <c r="F1609" s="71"/>
      <c r="G1609" s="72"/>
      <c r="J1609" s="71"/>
      <c r="K1609" s="71"/>
      <c r="L1609" s="71"/>
      <c r="M1609" s="71"/>
    </row>
    <row r="1610" customFormat="false" ht="15" hidden="false" customHeight="false" outlineLevel="0" collapsed="false">
      <c r="B1610" s="70"/>
      <c r="C1610" s="71"/>
      <c r="D1610" s="71"/>
      <c r="E1610" s="71"/>
      <c r="F1610" s="71"/>
      <c r="G1610" s="72"/>
      <c r="J1610" s="71"/>
      <c r="K1610" s="71"/>
      <c r="L1610" s="71"/>
      <c r="M1610" s="71"/>
    </row>
    <row r="1611" customFormat="false" ht="15" hidden="false" customHeight="false" outlineLevel="0" collapsed="false">
      <c r="B1611" s="70"/>
      <c r="C1611" s="71"/>
      <c r="D1611" s="71"/>
      <c r="E1611" s="71"/>
      <c r="F1611" s="71"/>
      <c r="G1611" s="72"/>
      <c r="J1611" s="71"/>
      <c r="K1611" s="71"/>
      <c r="L1611" s="71"/>
      <c r="M1611" s="71"/>
    </row>
    <row r="1612" customFormat="false" ht="15" hidden="false" customHeight="false" outlineLevel="0" collapsed="false">
      <c r="B1612" s="70"/>
      <c r="C1612" s="71"/>
      <c r="D1612" s="71"/>
      <c r="E1612" s="71"/>
      <c r="F1612" s="71"/>
      <c r="G1612" s="72"/>
      <c r="J1612" s="71"/>
      <c r="K1612" s="71"/>
      <c r="L1612" s="71"/>
      <c r="M1612" s="71"/>
    </row>
    <row r="1613" customFormat="false" ht="15" hidden="false" customHeight="false" outlineLevel="0" collapsed="false">
      <c r="B1613" s="70"/>
      <c r="C1613" s="71"/>
      <c r="D1613" s="71"/>
      <c r="E1613" s="71"/>
      <c r="F1613" s="71"/>
      <c r="G1613" s="72"/>
      <c r="J1613" s="71"/>
      <c r="K1613" s="71"/>
      <c r="L1613" s="71"/>
      <c r="M1613" s="71"/>
    </row>
    <row r="1614" customFormat="false" ht="15" hidden="false" customHeight="false" outlineLevel="0" collapsed="false">
      <c r="B1614" s="70"/>
      <c r="C1614" s="71"/>
      <c r="D1614" s="71"/>
      <c r="E1614" s="71"/>
      <c r="F1614" s="71"/>
      <c r="G1614" s="72"/>
      <c r="J1614" s="71"/>
      <c r="K1614" s="71"/>
      <c r="L1614" s="71"/>
      <c r="M1614" s="71"/>
    </row>
    <row r="1615" customFormat="false" ht="15" hidden="false" customHeight="false" outlineLevel="0" collapsed="false">
      <c r="B1615" s="70"/>
      <c r="C1615" s="71"/>
      <c r="D1615" s="71"/>
      <c r="E1615" s="71"/>
      <c r="F1615" s="71"/>
      <c r="G1615" s="72"/>
      <c r="J1615" s="71"/>
      <c r="K1615" s="71"/>
      <c r="L1615" s="71"/>
      <c r="M1615" s="71"/>
    </row>
    <row r="1616" customFormat="false" ht="15" hidden="false" customHeight="false" outlineLevel="0" collapsed="false">
      <c r="B1616" s="70"/>
      <c r="C1616" s="71"/>
      <c r="D1616" s="71"/>
      <c r="E1616" s="71"/>
      <c r="F1616" s="71"/>
      <c r="G1616" s="72"/>
      <c r="J1616" s="71"/>
      <c r="K1616" s="71"/>
      <c r="L1616" s="71"/>
      <c r="M1616" s="71"/>
    </row>
    <row r="1617" customFormat="false" ht="15" hidden="false" customHeight="false" outlineLevel="0" collapsed="false">
      <c r="B1617" s="70"/>
      <c r="C1617" s="71"/>
      <c r="D1617" s="71"/>
      <c r="E1617" s="71"/>
      <c r="F1617" s="71"/>
      <c r="G1617" s="72"/>
      <c r="J1617" s="71"/>
      <c r="K1617" s="71"/>
      <c r="L1617" s="71"/>
      <c r="M1617" s="71"/>
    </row>
    <row r="1618" customFormat="false" ht="15" hidden="false" customHeight="false" outlineLevel="0" collapsed="false">
      <c r="B1618" s="70"/>
      <c r="C1618" s="71"/>
      <c r="D1618" s="71"/>
      <c r="E1618" s="71"/>
      <c r="F1618" s="71"/>
      <c r="G1618" s="72"/>
      <c r="J1618" s="71"/>
      <c r="K1618" s="71"/>
      <c r="L1618" s="71"/>
      <c r="M1618" s="71"/>
    </row>
    <row r="1619" customFormat="false" ht="15" hidden="false" customHeight="false" outlineLevel="0" collapsed="false">
      <c r="B1619" s="70"/>
      <c r="C1619" s="71"/>
      <c r="D1619" s="71"/>
      <c r="E1619" s="71"/>
      <c r="F1619" s="71"/>
      <c r="G1619" s="72"/>
      <c r="J1619" s="71"/>
      <c r="K1619" s="71"/>
      <c r="L1619" s="71"/>
      <c r="M1619" s="71"/>
    </row>
    <row r="1620" customFormat="false" ht="15" hidden="false" customHeight="false" outlineLevel="0" collapsed="false">
      <c r="B1620" s="70"/>
      <c r="C1620" s="71"/>
      <c r="D1620" s="71"/>
      <c r="E1620" s="71"/>
      <c r="F1620" s="71"/>
      <c r="G1620" s="72"/>
      <c r="J1620" s="71"/>
      <c r="K1620" s="71"/>
      <c r="L1620" s="71"/>
      <c r="M1620" s="71"/>
    </row>
    <row r="1621" customFormat="false" ht="15" hidden="false" customHeight="false" outlineLevel="0" collapsed="false">
      <c r="B1621" s="70"/>
      <c r="C1621" s="71"/>
      <c r="D1621" s="71"/>
      <c r="E1621" s="71"/>
      <c r="F1621" s="71"/>
      <c r="G1621" s="72"/>
      <c r="J1621" s="71"/>
      <c r="K1621" s="71"/>
      <c r="L1621" s="71"/>
      <c r="M1621" s="71"/>
    </row>
    <row r="1622" customFormat="false" ht="15" hidden="false" customHeight="false" outlineLevel="0" collapsed="false">
      <c r="B1622" s="70"/>
      <c r="C1622" s="71"/>
      <c r="D1622" s="71"/>
      <c r="E1622" s="71"/>
      <c r="F1622" s="71"/>
      <c r="G1622" s="72"/>
      <c r="J1622" s="71"/>
      <c r="K1622" s="71"/>
      <c r="L1622" s="71"/>
      <c r="M1622" s="71"/>
    </row>
    <row r="1623" customFormat="false" ht="15" hidden="false" customHeight="false" outlineLevel="0" collapsed="false">
      <c r="B1623" s="70"/>
      <c r="C1623" s="71"/>
      <c r="D1623" s="71"/>
      <c r="E1623" s="71"/>
      <c r="F1623" s="71"/>
      <c r="G1623" s="72"/>
      <c r="J1623" s="71"/>
      <c r="K1623" s="71"/>
      <c r="L1623" s="71"/>
      <c r="M1623" s="71"/>
    </row>
    <row r="1624" customFormat="false" ht="15" hidden="false" customHeight="false" outlineLevel="0" collapsed="false">
      <c r="B1624" s="70"/>
      <c r="C1624" s="71"/>
      <c r="D1624" s="71"/>
      <c r="E1624" s="71"/>
      <c r="F1624" s="71"/>
      <c r="G1624" s="72"/>
      <c r="J1624" s="71"/>
      <c r="K1624" s="71"/>
      <c r="L1624" s="71"/>
      <c r="M1624" s="71"/>
    </row>
    <row r="1625" customFormat="false" ht="15" hidden="false" customHeight="false" outlineLevel="0" collapsed="false">
      <c r="B1625" s="70"/>
      <c r="C1625" s="71"/>
      <c r="D1625" s="71"/>
      <c r="E1625" s="71"/>
      <c r="F1625" s="71"/>
      <c r="G1625" s="72"/>
      <c r="J1625" s="71"/>
      <c r="K1625" s="71"/>
      <c r="L1625" s="71"/>
      <c r="M1625" s="71"/>
    </row>
    <row r="1626" customFormat="false" ht="15" hidden="false" customHeight="false" outlineLevel="0" collapsed="false">
      <c r="B1626" s="70"/>
      <c r="C1626" s="71"/>
      <c r="D1626" s="71"/>
      <c r="E1626" s="71"/>
      <c r="F1626" s="71"/>
      <c r="G1626" s="72"/>
      <c r="J1626" s="71"/>
      <c r="K1626" s="71"/>
      <c r="L1626" s="71"/>
      <c r="M1626" s="71"/>
    </row>
    <row r="1627" customFormat="false" ht="15" hidden="false" customHeight="false" outlineLevel="0" collapsed="false">
      <c r="B1627" s="70"/>
      <c r="C1627" s="71"/>
      <c r="D1627" s="71"/>
      <c r="E1627" s="71"/>
      <c r="F1627" s="71"/>
      <c r="G1627" s="72"/>
      <c r="J1627" s="71"/>
      <c r="K1627" s="71"/>
      <c r="L1627" s="71"/>
      <c r="M1627" s="71"/>
    </row>
    <row r="1628" customFormat="false" ht="15" hidden="false" customHeight="false" outlineLevel="0" collapsed="false">
      <c r="B1628" s="70"/>
      <c r="C1628" s="71"/>
      <c r="D1628" s="71"/>
      <c r="E1628" s="71"/>
      <c r="F1628" s="71"/>
      <c r="G1628" s="72"/>
      <c r="J1628" s="71"/>
      <c r="K1628" s="71"/>
      <c r="L1628" s="71"/>
      <c r="M1628" s="71"/>
    </row>
    <row r="1629" customFormat="false" ht="15" hidden="false" customHeight="false" outlineLevel="0" collapsed="false">
      <c r="B1629" s="70"/>
      <c r="C1629" s="71"/>
      <c r="D1629" s="71"/>
      <c r="E1629" s="71"/>
      <c r="F1629" s="71"/>
      <c r="G1629" s="72"/>
      <c r="J1629" s="71"/>
      <c r="K1629" s="71"/>
      <c r="L1629" s="71"/>
      <c r="M1629" s="71"/>
    </row>
    <row r="1630" customFormat="false" ht="15" hidden="false" customHeight="false" outlineLevel="0" collapsed="false">
      <c r="B1630" s="70"/>
      <c r="C1630" s="71"/>
      <c r="D1630" s="71"/>
      <c r="E1630" s="71"/>
      <c r="F1630" s="71"/>
      <c r="G1630" s="72"/>
      <c r="J1630" s="71"/>
      <c r="K1630" s="71"/>
      <c r="L1630" s="71"/>
      <c r="M1630" s="71"/>
    </row>
    <row r="1631" customFormat="false" ht="15" hidden="false" customHeight="false" outlineLevel="0" collapsed="false">
      <c r="B1631" s="70"/>
      <c r="C1631" s="71"/>
      <c r="D1631" s="71"/>
      <c r="E1631" s="71"/>
      <c r="F1631" s="71"/>
      <c r="G1631" s="72"/>
      <c r="J1631" s="71"/>
      <c r="K1631" s="71"/>
      <c r="L1631" s="71"/>
      <c r="M1631" s="71"/>
    </row>
    <row r="1632" customFormat="false" ht="15" hidden="false" customHeight="false" outlineLevel="0" collapsed="false">
      <c r="B1632" s="70"/>
      <c r="C1632" s="71"/>
      <c r="D1632" s="71"/>
      <c r="E1632" s="71"/>
      <c r="F1632" s="71"/>
      <c r="G1632" s="72"/>
      <c r="J1632" s="71"/>
      <c r="K1632" s="71"/>
      <c r="L1632" s="71"/>
      <c r="M1632" s="71"/>
    </row>
    <row r="1633" customFormat="false" ht="15" hidden="false" customHeight="false" outlineLevel="0" collapsed="false">
      <c r="B1633" s="70"/>
      <c r="C1633" s="71"/>
      <c r="D1633" s="71"/>
      <c r="E1633" s="71"/>
      <c r="F1633" s="71"/>
      <c r="G1633" s="72"/>
      <c r="J1633" s="71"/>
      <c r="K1633" s="71"/>
      <c r="L1633" s="71"/>
      <c r="M1633" s="71"/>
    </row>
    <row r="1634" customFormat="false" ht="15" hidden="false" customHeight="false" outlineLevel="0" collapsed="false">
      <c r="B1634" s="70"/>
      <c r="C1634" s="71"/>
      <c r="D1634" s="71"/>
      <c r="E1634" s="71"/>
      <c r="F1634" s="71"/>
      <c r="G1634" s="72"/>
      <c r="J1634" s="71"/>
      <c r="K1634" s="71"/>
      <c r="L1634" s="71"/>
      <c r="M1634" s="71"/>
    </row>
    <row r="1635" customFormat="false" ht="15" hidden="false" customHeight="false" outlineLevel="0" collapsed="false">
      <c r="B1635" s="70"/>
      <c r="C1635" s="71"/>
      <c r="D1635" s="71"/>
      <c r="E1635" s="71"/>
      <c r="F1635" s="71"/>
      <c r="G1635" s="72"/>
      <c r="J1635" s="71"/>
      <c r="K1635" s="71"/>
      <c r="L1635" s="71"/>
      <c r="M1635" s="71"/>
    </row>
    <row r="1636" customFormat="false" ht="15" hidden="false" customHeight="false" outlineLevel="0" collapsed="false">
      <c r="B1636" s="70"/>
      <c r="C1636" s="71"/>
      <c r="D1636" s="71"/>
      <c r="E1636" s="71"/>
      <c r="F1636" s="71"/>
      <c r="G1636" s="72"/>
      <c r="J1636" s="71"/>
      <c r="K1636" s="71"/>
      <c r="L1636" s="71"/>
      <c r="M1636" s="71"/>
    </row>
    <row r="1637" customFormat="false" ht="15" hidden="false" customHeight="false" outlineLevel="0" collapsed="false">
      <c r="B1637" s="70"/>
      <c r="C1637" s="71"/>
      <c r="D1637" s="71"/>
      <c r="E1637" s="71"/>
      <c r="F1637" s="71"/>
      <c r="G1637" s="72"/>
      <c r="J1637" s="71"/>
      <c r="K1637" s="71"/>
      <c r="L1637" s="71"/>
      <c r="M1637" s="71"/>
    </row>
    <row r="1638" customFormat="false" ht="15" hidden="false" customHeight="false" outlineLevel="0" collapsed="false">
      <c r="B1638" s="70"/>
      <c r="C1638" s="71"/>
      <c r="D1638" s="71"/>
      <c r="E1638" s="71"/>
      <c r="F1638" s="71"/>
      <c r="G1638" s="72"/>
      <c r="J1638" s="71"/>
      <c r="K1638" s="71"/>
      <c r="L1638" s="71"/>
      <c r="M1638" s="71"/>
    </row>
    <row r="1639" customFormat="false" ht="15" hidden="false" customHeight="false" outlineLevel="0" collapsed="false">
      <c r="B1639" s="70"/>
      <c r="C1639" s="71"/>
      <c r="D1639" s="71"/>
      <c r="E1639" s="71"/>
      <c r="F1639" s="71"/>
      <c r="G1639" s="72"/>
      <c r="J1639" s="71"/>
      <c r="K1639" s="71"/>
      <c r="L1639" s="71"/>
      <c r="M1639" s="71"/>
    </row>
    <row r="1640" customFormat="false" ht="15" hidden="false" customHeight="false" outlineLevel="0" collapsed="false">
      <c r="B1640" s="70"/>
      <c r="C1640" s="71"/>
      <c r="D1640" s="71"/>
      <c r="E1640" s="71"/>
      <c r="F1640" s="71"/>
      <c r="G1640" s="72"/>
      <c r="J1640" s="71"/>
      <c r="K1640" s="71"/>
      <c r="L1640" s="71"/>
      <c r="M1640" s="71"/>
    </row>
    <row r="1641" customFormat="false" ht="15" hidden="false" customHeight="false" outlineLevel="0" collapsed="false">
      <c r="B1641" s="70"/>
      <c r="C1641" s="71"/>
      <c r="D1641" s="71"/>
      <c r="E1641" s="71"/>
      <c r="F1641" s="71"/>
      <c r="G1641" s="72"/>
      <c r="J1641" s="71"/>
      <c r="K1641" s="71"/>
      <c r="L1641" s="71"/>
      <c r="M1641" s="71"/>
    </row>
    <row r="1642" customFormat="false" ht="15" hidden="false" customHeight="false" outlineLevel="0" collapsed="false">
      <c r="B1642" s="70"/>
      <c r="C1642" s="71"/>
      <c r="D1642" s="71"/>
      <c r="E1642" s="71"/>
      <c r="F1642" s="71"/>
      <c r="G1642" s="72"/>
      <c r="J1642" s="71"/>
      <c r="K1642" s="71"/>
      <c r="L1642" s="71"/>
      <c r="M1642" s="71"/>
    </row>
    <row r="1643" customFormat="false" ht="15" hidden="false" customHeight="false" outlineLevel="0" collapsed="false">
      <c r="B1643" s="70"/>
      <c r="C1643" s="71"/>
      <c r="D1643" s="71"/>
      <c r="E1643" s="71"/>
      <c r="F1643" s="71"/>
      <c r="G1643" s="72"/>
      <c r="J1643" s="71"/>
      <c r="K1643" s="71"/>
      <c r="L1643" s="71"/>
      <c r="M1643" s="71"/>
    </row>
    <row r="1644" customFormat="false" ht="15" hidden="false" customHeight="false" outlineLevel="0" collapsed="false">
      <c r="B1644" s="70"/>
      <c r="C1644" s="71"/>
      <c r="D1644" s="71"/>
      <c r="E1644" s="71"/>
      <c r="F1644" s="71"/>
      <c r="G1644" s="72"/>
      <c r="J1644" s="71"/>
      <c r="K1644" s="71"/>
      <c r="L1644" s="71"/>
      <c r="M1644" s="71"/>
    </row>
    <row r="1645" customFormat="false" ht="15" hidden="false" customHeight="false" outlineLevel="0" collapsed="false">
      <c r="B1645" s="70"/>
      <c r="C1645" s="71"/>
      <c r="D1645" s="71"/>
      <c r="E1645" s="71"/>
      <c r="F1645" s="71"/>
      <c r="G1645" s="72"/>
      <c r="J1645" s="71"/>
      <c r="K1645" s="71"/>
      <c r="L1645" s="71"/>
      <c r="M1645" s="71"/>
    </row>
    <row r="1646" customFormat="false" ht="15" hidden="false" customHeight="false" outlineLevel="0" collapsed="false">
      <c r="B1646" s="70"/>
      <c r="C1646" s="71"/>
      <c r="D1646" s="71"/>
      <c r="E1646" s="71"/>
      <c r="F1646" s="71"/>
      <c r="G1646" s="72"/>
      <c r="J1646" s="71"/>
      <c r="K1646" s="71"/>
      <c r="L1646" s="71"/>
      <c r="M1646" s="71"/>
    </row>
    <row r="1647" customFormat="false" ht="15" hidden="false" customHeight="false" outlineLevel="0" collapsed="false">
      <c r="B1647" s="70"/>
      <c r="C1647" s="71"/>
      <c r="D1647" s="71"/>
      <c r="E1647" s="71"/>
      <c r="F1647" s="71"/>
      <c r="G1647" s="72"/>
      <c r="J1647" s="71"/>
      <c r="K1647" s="71"/>
      <c r="L1647" s="71"/>
      <c r="M1647" s="71"/>
    </row>
    <row r="1648" customFormat="false" ht="15" hidden="false" customHeight="false" outlineLevel="0" collapsed="false">
      <c r="B1648" s="70"/>
      <c r="C1648" s="71"/>
      <c r="D1648" s="71"/>
      <c r="E1648" s="71"/>
      <c r="F1648" s="71"/>
      <c r="G1648" s="72"/>
      <c r="J1648" s="71"/>
      <c r="K1648" s="71"/>
      <c r="L1648" s="71"/>
      <c r="M1648" s="71"/>
    </row>
    <row r="1649" customFormat="false" ht="15" hidden="false" customHeight="false" outlineLevel="0" collapsed="false">
      <c r="B1649" s="70"/>
      <c r="C1649" s="71"/>
      <c r="D1649" s="71"/>
      <c r="E1649" s="71"/>
      <c r="F1649" s="71"/>
      <c r="G1649" s="72"/>
      <c r="J1649" s="71"/>
      <c r="K1649" s="71"/>
      <c r="L1649" s="71"/>
      <c r="M1649" s="71"/>
    </row>
    <row r="1650" customFormat="false" ht="15" hidden="false" customHeight="false" outlineLevel="0" collapsed="false">
      <c r="B1650" s="70"/>
      <c r="C1650" s="71"/>
      <c r="D1650" s="71"/>
      <c r="E1650" s="71"/>
      <c r="F1650" s="71"/>
      <c r="G1650" s="72"/>
      <c r="J1650" s="71"/>
      <c r="K1650" s="71"/>
      <c r="L1650" s="71"/>
      <c r="M1650" s="71"/>
    </row>
    <row r="1651" customFormat="false" ht="15" hidden="false" customHeight="false" outlineLevel="0" collapsed="false">
      <c r="B1651" s="70"/>
      <c r="C1651" s="71"/>
      <c r="D1651" s="71"/>
      <c r="E1651" s="71"/>
      <c r="F1651" s="71"/>
      <c r="G1651" s="72"/>
      <c r="J1651" s="71"/>
      <c r="K1651" s="71"/>
      <c r="L1651" s="71"/>
      <c r="M1651" s="71"/>
    </row>
    <row r="1652" customFormat="false" ht="15" hidden="false" customHeight="false" outlineLevel="0" collapsed="false">
      <c r="B1652" s="70"/>
      <c r="C1652" s="71"/>
      <c r="D1652" s="71"/>
      <c r="E1652" s="71"/>
      <c r="F1652" s="71"/>
      <c r="G1652" s="72"/>
      <c r="J1652" s="71"/>
      <c r="K1652" s="71"/>
      <c r="L1652" s="71"/>
      <c r="M1652" s="71"/>
    </row>
    <row r="1653" customFormat="false" ht="15" hidden="false" customHeight="false" outlineLevel="0" collapsed="false">
      <c r="B1653" s="70"/>
      <c r="C1653" s="71"/>
      <c r="D1653" s="71"/>
      <c r="E1653" s="71"/>
      <c r="F1653" s="71"/>
      <c r="G1653" s="72"/>
      <c r="J1653" s="71"/>
      <c r="K1653" s="71"/>
      <c r="L1653" s="71"/>
      <c r="M1653" s="71"/>
    </row>
    <row r="1654" customFormat="false" ht="15" hidden="false" customHeight="false" outlineLevel="0" collapsed="false">
      <c r="B1654" s="70"/>
      <c r="C1654" s="71"/>
      <c r="D1654" s="71"/>
      <c r="E1654" s="71"/>
      <c r="F1654" s="71"/>
      <c r="G1654" s="72"/>
      <c r="J1654" s="71"/>
      <c r="K1654" s="71"/>
      <c r="L1654" s="71"/>
      <c r="M1654" s="71"/>
    </row>
    <row r="1655" customFormat="false" ht="15" hidden="false" customHeight="false" outlineLevel="0" collapsed="false">
      <c r="B1655" s="70"/>
      <c r="C1655" s="71"/>
      <c r="D1655" s="71"/>
      <c r="E1655" s="71"/>
      <c r="F1655" s="71"/>
      <c r="G1655" s="72"/>
      <c r="J1655" s="71"/>
      <c r="K1655" s="71"/>
      <c r="L1655" s="71"/>
      <c r="M1655" s="71"/>
    </row>
    <row r="1656" customFormat="false" ht="15" hidden="false" customHeight="false" outlineLevel="0" collapsed="false">
      <c r="B1656" s="70"/>
      <c r="C1656" s="71"/>
      <c r="D1656" s="71"/>
      <c r="E1656" s="71"/>
      <c r="F1656" s="71"/>
      <c r="G1656" s="72"/>
      <c r="J1656" s="71"/>
      <c r="K1656" s="71"/>
      <c r="L1656" s="71"/>
      <c r="M1656" s="71"/>
    </row>
    <row r="1657" customFormat="false" ht="15" hidden="false" customHeight="false" outlineLevel="0" collapsed="false">
      <c r="B1657" s="70"/>
      <c r="C1657" s="71"/>
      <c r="D1657" s="71"/>
      <c r="E1657" s="71"/>
      <c r="F1657" s="71"/>
      <c r="G1657" s="72"/>
      <c r="J1657" s="71"/>
      <c r="K1657" s="71"/>
      <c r="L1657" s="71"/>
      <c r="M1657" s="71"/>
    </row>
    <row r="1658" customFormat="false" ht="15" hidden="false" customHeight="false" outlineLevel="0" collapsed="false">
      <c r="B1658" s="70"/>
      <c r="C1658" s="71"/>
      <c r="D1658" s="71"/>
      <c r="E1658" s="71"/>
      <c r="F1658" s="71"/>
      <c r="G1658" s="72"/>
      <c r="J1658" s="71"/>
      <c r="K1658" s="71"/>
      <c r="L1658" s="71"/>
      <c r="M1658" s="71"/>
    </row>
    <row r="1659" customFormat="false" ht="15" hidden="false" customHeight="false" outlineLevel="0" collapsed="false">
      <c r="B1659" s="70"/>
      <c r="C1659" s="71"/>
      <c r="D1659" s="71"/>
      <c r="E1659" s="71"/>
      <c r="F1659" s="71"/>
      <c r="G1659" s="72"/>
      <c r="J1659" s="71"/>
      <c r="K1659" s="71"/>
      <c r="L1659" s="71"/>
      <c r="M1659" s="71"/>
    </row>
    <row r="1660" customFormat="false" ht="15" hidden="false" customHeight="false" outlineLevel="0" collapsed="false">
      <c r="B1660" s="70"/>
      <c r="C1660" s="71"/>
      <c r="D1660" s="71"/>
      <c r="E1660" s="71"/>
      <c r="F1660" s="71"/>
      <c r="G1660" s="72"/>
      <c r="J1660" s="71"/>
      <c r="K1660" s="71"/>
      <c r="L1660" s="71"/>
      <c r="M1660" s="71"/>
    </row>
    <row r="1661" customFormat="false" ht="15" hidden="false" customHeight="false" outlineLevel="0" collapsed="false">
      <c r="B1661" s="70"/>
      <c r="C1661" s="71"/>
      <c r="D1661" s="71"/>
      <c r="E1661" s="71"/>
      <c r="F1661" s="71"/>
      <c r="G1661" s="72"/>
      <c r="J1661" s="71"/>
      <c r="K1661" s="71"/>
      <c r="L1661" s="71"/>
      <c r="M1661" s="71"/>
    </row>
    <row r="1662" customFormat="false" ht="15" hidden="false" customHeight="false" outlineLevel="0" collapsed="false">
      <c r="B1662" s="70"/>
      <c r="C1662" s="71"/>
      <c r="D1662" s="71"/>
      <c r="E1662" s="71"/>
      <c r="F1662" s="71"/>
      <c r="G1662" s="72"/>
      <c r="J1662" s="71"/>
      <c r="K1662" s="71"/>
      <c r="L1662" s="71"/>
      <c r="M1662" s="71"/>
    </row>
    <row r="1663" customFormat="false" ht="15" hidden="false" customHeight="false" outlineLevel="0" collapsed="false">
      <c r="B1663" s="70"/>
      <c r="C1663" s="71"/>
      <c r="D1663" s="71"/>
      <c r="E1663" s="71"/>
      <c r="F1663" s="71"/>
      <c r="G1663" s="72"/>
      <c r="J1663" s="71"/>
      <c r="K1663" s="71"/>
      <c r="L1663" s="71"/>
      <c r="M1663" s="71"/>
    </row>
    <row r="1664" customFormat="false" ht="15" hidden="false" customHeight="false" outlineLevel="0" collapsed="false">
      <c r="B1664" s="70"/>
      <c r="C1664" s="71"/>
      <c r="D1664" s="71"/>
      <c r="E1664" s="71"/>
      <c r="F1664" s="71"/>
      <c r="G1664" s="72"/>
      <c r="J1664" s="71"/>
      <c r="K1664" s="71"/>
      <c r="L1664" s="71"/>
      <c r="M1664" s="71"/>
    </row>
    <row r="1665" customFormat="false" ht="15" hidden="false" customHeight="false" outlineLevel="0" collapsed="false">
      <c r="B1665" s="70"/>
      <c r="C1665" s="71"/>
      <c r="D1665" s="71"/>
      <c r="E1665" s="71"/>
      <c r="F1665" s="71"/>
      <c r="G1665" s="72"/>
      <c r="J1665" s="71"/>
      <c r="K1665" s="71"/>
      <c r="L1665" s="71"/>
      <c r="M1665" s="71"/>
    </row>
    <row r="1666" customFormat="false" ht="15" hidden="false" customHeight="false" outlineLevel="0" collapsed="false">
      <c r="B1666" s="70"/>
      <c r="C1666" s="71"/>
      <c r="D1666" s="71"/>
      <c r="E1666" s="71"/>
      <c r="F1666" s="71"/>
      <c r="G1666" s="72"/>
      <c r="J1666" s="71"/>
      <c r="K1666" s="71"/>
      <c r="L1666" s="71"/>
      <c r="M1666" s="71"/>
    </row>
    <row r="1667" customFormat="false" ht="15" hidden="false" customHeight="false" outlineLevel="0" collapsed="false">
      <c r="B1667" s="70"/>
      <c r="C1667" s="71"/>
      <c r="D1667" s="71"/>
      <c r="E1667" s="71"/>
      <c r="F1667" s="71"/>
      <c r="G1667" s="72"/>
      <c r="J1667" s="71"/>
      <c r="K1667" s="71"/>
      <c r="L1667" s="71"/>
      <c r="M1667" s="71"/>
    </row>
    <row r="1668" customFormat="false" ht="15" hidden="false" customHeight="false" outlineLevel="0" collapsed="false">
      <c r="B1668" s="70"/>
      <c r="C1668" s="71"/>
      <c r="D1668" s="71"/>
      <c r="E1668" s="71"/>
      <c r="F1668" s="71"/>
      <c r="G1668" s="72"/>
      <c r="J1668" s="71"/>
      <c r="K1668" s="71"/>
      <c r="L1668" s="71"/>
      <c r="M1668" s="71"/>
    </row>
    <row r="1669" customFormat="false" ht="15" hidden="false" customHeight="false" outlineLevel="0" collapsed="false">
      <c r="B1669" s="70"/>
      <c r="C1669" s="71"/>
      <c r="D1669" s="71"/>
      <c r="E1669" s="71"/>
      <c r="F1669" s="71"/>
      <c r="G1669" s="72"/>
      <c r="J1669" s="71"/>
      <c r="K1669" s="71"/>
      <c r="L1669" s="71"/>
      <c r="M1669" s="71"/>
    </row>
    <row r="1670" customFormat="false" ht="15" hidden="false" customHeight="false" outlineLevel="0" collapsed="false">
      <c r="B1670" s="70"/>
      <c r="C1670" s="71"/>
      <c r="D1670" s="71"/>
      <c r="E1670" s="71"/>
      <c r="F1670" s="71"/>
      <c r="G1670" s="72"/>
      <c r="J1670" s="71"/>
      <c r="K1670" s="71"/>
      <c r="L1670" s="71"/>
      <c r="M1670" s="71"/>
    </row>
    <row r="1671" customFormat="false" ht="15" hidden="false" customHeight="false" outlineLevel="0" collapsed="false">
      <c r="B1671" s="70"/>
      <c r="C1671" s="71"/>
      <c r="D1671" s="71"/>
      <c r="E1671" s="71"/>
      <c r="F1671" s="71"/>
      <c r="G1671" s="72"/>
      <c r="J1671" s="71"/>
      <c r="K1671" s="71"/>
      <c r="L1671" s="71"/>
      <c r="M1671" s="71"/>
    </row>
    <row r="1672" customFormat="false" ht="15" hidden="false" customHeight="false" outlineLevel="0" collapsed="false">
      <c r="B1672" s="70"/>
      <c r="C1672" s="71"/>
      <c r="D1672" s="71"/>
      <c r="E1672" s="71"/>
      <c r="F1672" s="71"/>
      <c r="G1672" s="72"/>
      <c r="J1672" s="71"/>
      <c r="K1672" s="71"/>
      <c r="L1672" s="71"/>
      <c r="M1672" s="71"/>
    </row>
    <row r="1673" customFormat="false" ht="15" hidden="false" customHeight="false" outlineLevel="0" collapsed="false">
      <c r="B1673" s="70"/>
      <c r="C1673" s="71"/>
      <c r="D1673" s="71"/>
      <c r="E1673" s="71"/>
      <c r="F1673" s="71"/>
      <c r="G1673" s="72"/>
      <c r="J1673" s="71"/>
      <c r="K1673" s="71"/>
      <c r="L1673" s="71"/>
      <c r="M1673" s="71"/>
    </row>
    <row r="1674" customFormat="false" ht="15" hidden="false" customHeight="false" outlineLevel="0" collapsed="false">
      <c r="B1674" s="70"/>
      <c r="C1674" s="71"/>
      <c r="D1674" s="71"/>
      <c r="E1674" s="71"/>
      <c r="F1674" s="71"/>
      <c r="G1674" s="72"/>
      <c r="J1674" s="71"/>
      <c r="K1674" s="71"/>
      <c r="L1674" s="71"/>
      <c r="M1674" s="71"/>
    </row>
    <row r="1675" customFormat="false" ht="15" hidden="false" customHeight="false" outlineLevel="0" collapsed="false">
      <c r="B1675" s="70"/>
      <c r="C1675" s="71"/>
      <c r="D1675" s="71"/>
      <c r="E1675" s="71"/>
      <c r="F1675" s="71"/>
      <c r="G1675" s="72"/>
      <c r="J1675" s="71"/>
      <c r="K1675" s="71"/>
      <c r="L1675" s="71"/>
      <c r="M1675" s="71"/>
    </row>
    <row r="1676" customFormat="false" ht="15" hidden="false" customHeight="false" outlineLevel="0" collapsed="false">
      <c r="B1676" s="70"/>
      <c r="C1676" s="71"/>
      <c r="D1676" s="71"/>
      <c r="E1676" s="71"/>
      <c r="F1676" s="71"/>
      <c r="G1676" s="72"/>
      <c r="J1676" s="71"/>
      <c r="K1676" s="71"/>
      <c r="L1676" s="71"/>
      <c r="M1676" s="71"/>
    </row>
    <row r="1677" customFormat="false" ht="15" hidden="false" customHeight="false" outlineLevel="0" collapsed="false">
      <c r="B1677" s="70"/>
      <c r="C1677" s="71"/>
      <c r="D1677" s="71"/>
      <c r="E1677" s="71"/>
      <c r="F1677" s="71"/>
      <c r="G1677" s="72"/>
      <c r="J1677" s="71"/>
      <c r="K1677" s="71"/>
      <c r="L1677" s="71"/>
      <c r="M1677" s="71"/>
    </row>
    <row r="1678" customFormat="false" ht="15" hidden="false" customHeight="false" outlineLevel="0" collapsed="false">
      <c r="B1678" s="70"/>
      <c r="C1678" s="71"/>
      <c r="D1678" s="71"/>
      <c r="E1678" s="71"/>
      <c r="F1678" s="71"/>
      <c r="G1678" s="72"/>
      <c r="J1678" s="71"/>
      <c r="K1678" s="71"/>
      <c r="L1678" s="71"/>
      <c r="M1678" s="71"/>
    </row>
    <row r="1679" customFormat="false" ht="15" hidden="false" customHeight="false" outlineLevel="0" collapsed="false">
      <c r="B1679" s="70"/>
      <c r="C1679" s="71"/>
      <c r="D1679" s="71"/>
      <c r="E1679" s="71"/>
      <c r="F1679" s="71"/>
      <c r="G1679" s="72"/>
      <c r="J1679" s="71"/>
      <c r="K1679" s="71"/>
      <c r="L1679" s="71"/>
      <c r="M1679" s="71"/>
    </row>
    <row r="1680" customFormat="false" ht="15" hidden="false" customHeight="false" outlineLevel="0" collapsed="false">
      <c r="B1680" s="70"/>
      <c r="C1680" s="71"/>
      <c r="D1680" s="71"/>
      <c r="E1680" s="71"/>
      <c r="F1680" s="71"/>
      <c r="G1680" s="72"/>
      <c r="J1680" s="71"/>
      <c r="K1680" s="71"/>
      <c r="L1680" s="71"/>
      <c r="M1680" s="71"/>
    </row>
    <row r="1681" customFormat="false" ht="15" hidden="false" customHeight="false" outlineLevel="0" collapsed="false">
      <c r="B1681" s="70"/>
      <c r="C1681" s="71"/>
      <c r="D1681" s="71"/>
      <c r="E1681" s="71"/>
      <c r="F1681" s="71"/>
      <c r="G1681" s="72"/>
      <c r="J1681" s="71"/>
      <c r="K1681" s="71"/>
      <c r="L1681" s="71"/>
      <c r="M1681" s="71"/>
    </row>
    <row r="1682" customFormat="false" ht="15" hidden="false" customHeight="false" outlineLevel="0" collapsed="false">
      <c r="B1682" s="70"/>
      <c r="C1682" s="71"/>
      <c r="D1682" s="71"/>
      <c r="E1682" s="71"/>
      <c r="F1682" s="71"/>
      <c r="G1682" s="72"/>
      <c r="J1682" s="71"/>
      <c r="K1682" s="71"/>
      <c r="L1682" s="71"/>
      <c r="M1682" s="71"/>
    </row>
    <row r="1683" customFormat="false" ht="15" hidden="false" customHeight="false" outlineLevel="0" collapsed="false">
      <c r="B1683" s="70"/>
      <c r="C1683" s="71"/>
      <c r="D1683" s="71"/>
      <c r="E1683" s="71"/>
      <c r="F1683" s="71"/>
      <c r="G1683" s="72"/>
      <c r="J1683" s="71"/>
      <c r="K1683" s="71"/>
      <c r="L1683" s="71"/>
      <c r="M1683" s="71"/>
    </row>
  </sheetData>
  <autoFilter ref="A2:AE33"/>
  <mergeCells count="6">
    <mergeCell ref="B1:D1"/>
    <mergeCell ref="G1:I1"/>
    <mergeCell ref="J1:M1"/>
    <mergeCell ref="N1:O1"/>
    <mergeCell ref="P1:R1"/>
    <mergeCell ref="AA1:AC1"/>
  </mergeCells>
  <conditionalFormatting sqref="B3:E64702">
    <cfRule type="expression" priority="2" aboveAverage="0" equalAverage="0" bottom="0" percent="0" rank="0" text="" dxfId="11">
      <formula>$D3="No"</formula>
    </cfRule>
  </conditionalFormatting>
  <conditionalFormatting sqref="F3:F64702">
    <cfRule type="expression" priority="3" aboveAverage="0" equalAverage="0" bottom="0" percent="0" rank="0" text="" dxfId="12">
      <formula>#ref!="No"</formula>
    </cfRule>
  </conditionalFormatting>
  <conditionalFormatting sqref="G3:G64702">
    <cfRule type="expression" priority="4" aboveAverage="0" equalAverage="0" bottom="0" percent="0" rank="0" text="" dxfId="13">
      <formula>$G3="No CUSIP Match"</formula>
    </cfRule>
  </conditionalFormatting>
  <conditionalFormatting sqref="J3:M64702">
    <cfRule type="expression" priority="5" aboveAverage="0" equalAverage="0" bottom="0" percent="0" rank="0" text="" dxfId="14">
      <formula>#ref!="Yes"</formula>
    </cfRule>
  </conditionalFormatting>
  <dataValidations count="1">
    <dataValidation allowBlank="true" errorStyle="stop" operator="between" showDropDown="false" showErrorMessage="true" showInputMessage="true" sqref="N3:N1683" type="list">
      <formula1>"SOLE,OTR"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0000"/>
    <pageSetUpPr fitToPage="false"/>
  </sheetPr>
  <dimension ref="A4:M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83" width="35.71"/>
    <col collapsed="false" customWidth="true" hidden="false" outlineLevel="0" max="2" min="2" style="83" width="17.14"/>
    <col collapsed="false" customWidth="true" hidden="false" outlineLevel="0" max="4" min="3" style="83" width="20"/>
    <col collapsed="false" customWidth="true" hidden="false" outlineLevel="0" max="6" min="5" style="84" width="12.85"/>
    <col collapsed="false" customWidth="true" hidden="false" outlineLevel="0" max="8" min="7" style="83" width="10"/>
    <col collapsed="false" customWidth="true" hidden="false" outlineLevel="0" max="9" min="9" style="85" width="11.43"/>
    <col collapsed="false" customWidth="true" hidden="false" outlineLevel="0" max="10" min="10" style="83" width="11.43"/>
    <col collapsed="false" customWidth="true" hidden="false" outlineLevel="0" max="12" min="11" style="84" width="12.57"/>
    <col collapsed="false" customWidth="true" hidden="false" outlineLevel="0" max="13" min="13" style="85" width="12.57"/>
  </cols>
  <sheetData>
    <row r="4" customFormat="false" ht="15" hidden="false" customHeight="false" outlineLevel="0" collapsed="false">
      <c r="I4" s="85" t="s">
        <v>903</v>
      </c>
      <c r="J4" s="83" t="s">
        <v>904</v>
      </c>
      <c r="K4" s="84" t="s">
        <v>881</v>
      </c>
    </row>
    <row r="5" customFormat="false" ht="15" hidden="false" customHeight="false" outlineLevel="0" collapsed="false">
      <c r="A5" s="86" t="s">
        <v>905</v>
      </c>
      <c r="B5" s="86" t="s">
        <v>37</v>
      </c>
      <c r="C5" s="87" t="s">
        <v>875</v>
      </c>
      <c r="D5" s="87" t="s">
        <v>876</v>
      </c>
      <c r="E5" s="86" t="s">
        <v>906</v>
      </c>
      <c r="F5" s="86" t="s">
        <v>907</v>
      </c>
      <c r="G5" s="86" t="s">
        <v>908</v>
      </c>
      <c r="H5" s="86" t="s">
        <v>44</v>
      </c>
      <c r="I5" s="86" t="s">
        <v>909</v>
      </c>
      <c r="J5" s="86" t="s">
        <v>910</v>
      </c>
      <c r="K5" s="86" t="s">
        <v>898</v>
      </c>
      <c r="L5" s="86" t="s">
        <v>899</v>
      </c>
      <c r="M5" s="86" t="s">
        <v>900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.28"/>
    <col collapsed="false" customWidth="true" hidden="false" outlineLevel="0" max="2" min="2" style="0" width="40.14"/>
    <col collapsed="false" customWidth="true" hidden="false" outlineLevel="0" max="3" min="3" style="0" width="34.43"/>
    <col collapsed="false" customWidth="true" hidden="false" outlineLevel="0" max="4" min="4" style="0" width="25.15"/>
    <col collapsed="false" customWidth="true" hidden="false" outlineLevel="0" max="5" min="5" style="0" width="10"/>
    <col collapsed="false" customWidth="true" hidden="false" outlineLevel="0" max="6" min="6" style="0" width="22"/>
    <col collapsed="false" customWidth="true" hidden="false" outlineLevel="0" max="7" min="7" style="0" width="19.14"/>
    <col collapsed="false" customWidth="true" hidden="false" outlineLevel="0" max="8" min="8" style="0" width="22.57"/>
    <col collapsed="false" customWidth="true" hidden="false" outlineLevel="0" max="9" min="9" style="0" width="20.57"/>
    <col collapsed="false" customWidth="true" hidden="false" outlineLevel="0" max="10" min="10" style="0" width="81.14"/>
    <col collapsed="false" customWidth="true" hidden="false" outlineLevel="0" max="11" min="11" style="0" width="8.28"/>
    <col collapsed="false" customWidth="true" hidden="false" outlineLevel="0" max="12" min="12" style="0" width="20.14"/>
    <col collapsed="false" customWidth="true" hidden="false" outlineLevel="0" max="13" min="13" style="0" width="13.85"/>
    <col collapsed="false" customWidth="true" hidden="false" outlineLevel="0" max="14" min="14" style="0" width="25.15"/>
    <col collapsed="false" customWidth="true" hidden="false" outlineLevel="0" max="15" min="15" style="0" width="10"/>
    <col collapsed="false" customWidth="true" hidden="false" outlineLevel="0" max="16" min="16" style="0" width="22"/>
    <col collapsed="false" customWidth="true" hidden="false" outlineLevel="0" max="17" min="17" style="0" width="19.14"/>
    <col collapsed="false" customWidth="true" hidden="false" outlineLevel="0" max="18" min="18" style="0" width="22.57"/>
    <col collapsed="false" customWidth="true" hidden="false" outlineLevel="0" max="21" min="19" style="0" width="20.57"/>
    <col collapsed="false" customWidth="true" hidden="false" outlineLevel="0" max="22" min="22" style="0" width="20.14"/>
    <col collapsed="false" customWidth="true" hidden="false" outlineLevel="0" max="23" min="23" style="0" width="20.57"/>
    <col collapsed="false" customWidth="true" hidden="false" outlineLevel="0" max="24" min="24" style="0" width="13.85"/>
    <col collapsed="false" customWidth="true" hidden="false" outlineLevel="0" max="25" min="25" style="0" width="11.85"/>
    <col collapsed="false" customWidth="true" hidden="false" outlineLevel="0" max="26" min="26" style="0" width="10"/>
    <col collapsed="false" customWidth="true" hidden="false" outlineLevel="0" max="27" min="27" style="0" width="11.57"/>
    <col collapsed="false" customWidth="true" hidden="false" outlineLevel="0" max="28" min="28" style="0" width="19.14"/>
    <col collapsed="false" customWidth="true" hidden="false" outlineLevel="0" max="29" min="29" style="0" width="22.57"/>
    <col collapsed="false" customWidth="true" hidden="false" outlineLevel="0" max="30" min="30" style="0" width="20.57"/>
    <col collapsed="false" customWidth="true" hidden="false" outlineLevel="0" max="31" min="31" style="0" width="60.86"/>
    <col collapsed="false" customWidth="true" hidden="false" outlineLevel="0" max="32" min="32" style="0" width="58.85"/>
    <col collapsed="false" customWidth="true" hidden="false" outlineLevel="0" max="33" min="33" style="0" width="28.57"/>
    <col collapsed="false" customWidth="true" hidden="false" outlineLevel="0" max="34" min="34" style="0" width="10.85"/>
    <col collapsed="false" customWidth="true" hidden="false" outlineLevel="0" max="35" min="35" style="0" width="12.28"/>
    <col collapsed="false" customWidth="true" hidden="false" outlineLevel="0" max="37" min="36" style="0" width="24.28"/>
    <col collapsed="false" customWidth="true" hidden="false" outlineLevel="0" max="39" min="39" style="0" width="28.57"/>
    <col collapsed="false" customWidth="true" hidden="false" outlineLevel="0" max="40" min="40" style="0" width="10.85"/>
    <col collapsed="false" customWidth="true" hidden="false" outlineLevel="0" max="41" min="41" style="0" width="12.28"/>
    <col collapsed="false" customWidth="true" hidden="false" outlineLevel="0" max="43" min="42" style="0" width="24.28"/>
    <col collapsed="false" customWidth="true" hidden="false" outlineLevel="0" max="44" min="44" style="0" width="9.14"/>
    <col collapsed="false" customWidth="true" hidden="false" outlineLevel="0" max="46" min="45" style="0" width="24.28"/>
    <col collapsed="false" customWidth="true" hidden="false" outlineLevel="0" max="48" min="47" style="0" width="20.57"/>
    <col collapsed="false" customWidth="true" hidden="false" outlineLevel="0" max="50" min="50" style="0" width="20.14"/>
    <col collapsed="false" customWidth="true" hidden="false" outlineLevel="0" max="53" min="53" style="0" width="12.28"/>
    <col collapsed="false" customWidth="true" hidden="false" outlineLevel="0" max="54" min="54" style="0" width="40.14"/>
    <col collapsed="false" customWidth="true" hidden="false" outlineLevel="0" max="55" min="55" style="0" width="34"/>
    <col collapsed="false" customWidth="true" hidden="false" outlineLevel="0" max="56" min="56" style="0" width="25.15"/>
    <col collapsed="false" customWidth="true" hidden="false" outlineLevel="0" max="57" min="57" style="0" width="10"/>
    <col collapsed="false" customWidth="true" hidden="false" outlineLevel="0" max="58" min="58" style="0" width="22"/>
    <col collapsed="false" customWidth="true" hidden="false" outlineLevel="0" max="59" min="59" style="0" width="19.14"/>
    <col collapsed="false" customWidth="true" hidden="false" outlineLevel="0" max="60" min="60" style="0" width="22.57"/>
    <col collapsed="false" customWidth="true" hidden="false" outlineLevel="0" max="62" min="61" style="0" width="20.57"/>
    <col collapsed="false" customWidth="true" hidden="false" outlineLevel="0" max="64" min="64" style="0" width="20.14"/>
    <col collapsed="false" customWidth="true" hidden="false" outlineLevel="0" max="67" min="67" style="0" width="12.28"/>
    <col collapsed="false" customWidth="true" hidden="false" outlineLevel="0" max="68" min="68" style="0" width="40.14"/>
    <col collapsed="false" customWidth="true" hidden="false" outlineLevel="0" max="69" min="69" style="0" width="34"/>
    <col collapsed="false" customWidth="true" hidden="false" outlineLevel="0" max="70" min="70" style="0" width="25.15"/>
    <col collapsed="false" customWidth="true" hidden="false" outlineLevel="0" max="71" min="71" style="0" width="10"/>
    <col collapsed="false" customWidth="true" hidden="false" outlineLevel="0" max="72" min="72" style="0" width="22"/>
    <col collapsed="false" customWidth="true" hidden="false" outlineLevel="0" max="73" min="73" style="0" width="19.14"/>
    <col collapsed="false" customWidth="true" hidden="false" outlineLevel="0" max="74" min="74" style="0" width="22.57"/>
    <col collapsed="false" customWidth="true" hidden="false" outlineLevel="0" max="76" min="75" style="0" width="20.57"/>
    <col collapsed="false" customWidth="true" hidden="false" outlineLevel="0" max="78" min="78" style="0" width="20.14"/>
    <col collapsed="false" customWidth="true" hidden="false" outlineLevel="0" max="81" min="81" style="0" width="12.28"/>
    <col collapsed="false" customWidth="true" hidden="false" outlineLevel="0" max="82" min="82" style="0" width="52.43"/>
    <col collapsed="false" customWidth="true" hidden="false" outlineLevel="0" max="83" min="83" style="0" width="34"/>
    <col collapsed="false" customWidth="true" hidden="false" outlineLevel="0" max="84" min="84" style="0" width="25.15"/>
    <col collapsed="false" customWidth="true" hidden="false" outlineLevel="0" max="85" min="85" style="0" width="10"/>
    <col collapsed="false" customWidth="true" hidden="false" outlineLevel="0" max="86" min="86" style="0" width="22"/>
    <col collapsed="false" customWidth="true" hidden="false" outlineLevel="0" max="87" min="87" style="0" width="19.14"/>
    <col collapsed="false" customWidth="true" hidden="false" outlineLevel="0" max="88" min="88" style="0" width="22.57"/>
    <col collapsed="false" customWidth="true" hidden="false" outlineLevel="0" max="90" min="89" style="0" width="20.57"/>
    <col collapsed="false" customWidth="true" hidden="false" outlineLevel="0" max="92" min="92" style="0" width="20.14"/>
    <col collapsed="false" customWidth="true" hidden="false" outlineLevel="0" max="95" min="95" style="0" width="12.28"/>
    <col collapsed="false" customWidth="true" hidden="false" outlineLevel="0" max="96" min="96" style="0" width="40.14"/>
    <col collapsed="false" customWidth="true" hidden="false" outlineLevel="0" max="97" min="97" style="0" width="34"/>
    <col collapsed="false" customWidth="true" hidden="false" outlineLevel="0" max="98" min="98" style="0" width="25.15"/>
    <col collapsed="false" customWidth="true" hidden="false" outlineLevel="0" max="99" min="99" style="0" width="10"/>
    <col collapsed="false" customWidth="true" hidden="false" outlineLevel="0" max="100" min="100" style="0" width="22"/>
    <col collapsed="false" customWidth="true" hidden="false" outlineLevel="0" max="101" min="101" style="0" width="19.14"/>
    <col collapsed="false" customWidth="true" hidden="false" outlineLevel="0" max="102" min="102" style="0" width="22.57"/>
    <col collapsed="false" customWidth="true" hidden="false" outlineLevel="0" max="104" min="103" style="0" width="20.57"/>
    <col collapsed="false" customWidth="true" hidden="false" outlineLevel="0" max="106" min="106" style="0" width="20.14"/>
    <col collapsed="false" customWidth="true" hidden="false" outlineLevel="0" max="109" min="109" style="0" width="12.28"/>
    <col collapsed="false" customWidth="true" hidden="false" outlineLevel="0" max="110" min="110" style="0" width="81.14"/>
    <col collapsed="false" customWidth="true" hidden="false" outlineLevel="0" max="111" min="111" style="0" width="13.85"/>
    <col collapsed="false" customWidth="true" hidden="false" outlineLevel="0" max="112" min="112" style="0" width="25.15"/>
    <col collapsed="false" customWidth="true" hidden="false" outlineLevel="0" max="113" min="113" style="0" width="10"/>
    <col collapsed="false" customWidth="true" hidden="false" outlineLevel="0" max="114" min="114" style="0" width="22"/>
    <col collapsed="false" customWidth="true" hidden="false" outlineLevel="0" max="115" min="115" style="0" width="19.14"/>
    <col collapsed="false" customWidth="true" hidden="false" outlineLevel="0" max="116" min="116" style="0" width="22.57"/>
    <col collapsed="false" customWidth="true" hidden="false" outlineLevel="0" max="118" min="117" style="0" width="20.57"/>
    <col collapsed="false" customWidth="true" hidden="false" outlineLevel="0" max="120" min="120" style="0" width="20.14"/>
    <col collapsed="false" customWidth="true" hidden="false" outlineLevel="0" max="123" min="123" style="0" width="12.28"/>
    <col collapsed="false" customWidth="true" hidden="false" outlineLevel="0" max="124" min="124" style="0" width="40.14"/>
    <col collapsed="false" customWidth="true" hidden="false" outlineLevel="0" max="125" min="125" style="0" width="34"/>
    <col collapsed="false" customWidth="true" hidden="false" outlineLevel="0" max="126" min="126" style="0" width="25.15"/>
    <col collapsed="false" customWidth="true" hidden="false" outlineLevel="0" max="127" min="127" style="0" width="10"/>
    <col collapsed="false" customWidth="true" hidden="false" outlineLevel="0" max="128" min="128" style="0" width="22"/>
    <col collapsed="false" customWidth="true" hidden="false" outlineLevel="0" max="129" min="129" style="0" width="19.14"/>
    <col collapsed="false" customWidth="true" hidden="false" outlineLevel="0" max="130" min="130" style="0" width="22.57"/>
    <col collapsed="false" customWidth="true" hidden="false" outlineLevel="0" max="132" min="131" style="0" width="20.57"/>
    <col collapsed="false" customWidth="true" hidden="false" outlineLevel="0" max="134" min="134" style="0" width="20.14"/>
    <col collapsed="false" customWidth="true" hidden="false" outlineLevel="0" max="137" min="137" style="0" width="12.28"/>
    <col collapsed="false" customWidth="true" hidden="false" outlineLevel="0" max="138" min="138" style="0" width="40.14"/>
    <col collapsed="false" customWidth="true" hidden="false" outlineLevel="0" max="139" min="139" style="0" width="34"/>
    <col collapsed="false" customWidth="true" hidden="false" outlineLevel="0" max="140" min="140" style="0" width="25.15"/>
    <col collapsed="false" customWidth="true" hidden="false" outlineLevel="0" max="141" min="141" style="0" width="10"/>
    <col collapsed="false" customWidth="true" hidden="false" outlineLevel="0" max="142" min="142" style="0" width="22"/>
    <col collapsed="false" customWidth="true" hidden="false" outlineLevel="0" max="143" min="143" style="0" width="19.14"/>
    <col collapsed="false" customWidth="true" hidden="false" outlineLevel="0" max="144" min="144" style="0" width="22.57"/>
    <col collapsed="false" customWidth="true" hidden="false" outlineLevel="0" max="146" min="145" style="0" width="20.57"/>
    <col collapsed="false" customWidth="true" hidden="false" outlineLevel="0" max="148" min="148" style="0" width="20.14"/>
    <col collapsed="false" customWidth="true" hidden="false" outlineLevel="0" max="151" min="151" style="0" width="12.28"/>
    <col collapsed="false" customWidth="true" hidden="false" outlineLevel="0" max="152" min="152" style="0" width="40.14"/>
    <col collapsed="false" customWidth="true" hidden="false" outlineLevel="0" max="153" min="153" style="0" width="34"/>
    <col collapsed="false" customWidth="true" hidden="false" outlineLevel="0" max="154" min="154" style="0" width="25.15"/>
    <col collapsed="false" customWidth="true" hidden="false" outlineLevel="0" max="155" min="155" style="0" width="10"/>
    <col collapsed="false" customWidth="true" hidden="false" outlineLevel="0" max="156" min="156" style="0" width="22"/>
    <col collapsed="false" customWidth="true" hidden="false" outlineLevel="0" max="157" min="157" style="0" width="19.14"/>
    <col collapsed="false" customWidth="true" hidden="false" outlineLevel="0" max="158" min="158" style="0" width="22.57"/>
    <col collapsed="false" customWidth="true" hidden="false" outlineLevel="0" max="160" min="159" style="0" width="20.57"/>
    <col collapsed="false" customWidth="true" hidden="false" outlineLevel="0" max="162" min="162" style="0" width="20.14"/>
  </cols>
  <sheetData>
    <row r="11" customFormat="false" ht="31.5" hidden="false" customHeight="true" outlineLevel="0" collapsed="false"/>
    <row r="12" customFormat="false" ht="20.25" hidden="false" customHeight="true" outlineLevel="0" collapsed="false"/>
    <row r="13" customFormat="false" ht="329.25" hidden="false" customHeight="true" outlineLevel="0" collapsed="false"/>
    <row r="14" customFormat="false" ht="125.25" hidden="false" customHeight="true" outlineLevel="0" collapsed="false"/>
    <row r="15" customFormat="false" ht="15" hidden="false" customHeight="true" outlineLevel="0" collapsed="false"/>
    <row r="16" customFormat="false" ht="409.5" hidden="false" customHeight="true" outlineLevel="0" collapsed="false"/>
    <row r="17" customFormat="false" ht="335.25" hidden="false" customHeight="true" outlineLevel="0" collapsed="false"/>
    <row r="18" customFormat="false" ht="264" hidden="false" customHeight="true" outlineLevel="0" collapsed="false"/>
    <row r="19" customFormat="false" ht="127.5" hidden="false" customHeight="true" outlineLevel="0" collapsed="false"/>
    <row r="20" customFormat="false" ht="408.75" hidden="false" customHeight="true" outlineLevel="0" collapsed="false"/>
    <row r="21" customFormat="false" ht="409.5" hidden="false" customHeight="true" outlineLevel="0" collapsed="false"/>
    <row r="22" customFormat="false" ht="102" hidden="false" customHeight="true" outlineLevel="0" collapsed="false"/>
    <row r="23" customFormat="false" ht="191.25" hidden="false" customHeight="true" outlineLevel="0" collapsed="false"/>
    <row r="24" customFormat="false" ht="51" hidden="false" customHeight="true" outlineLevel="0" collapsed="false"/>
    <row r="25" customFormat="false" ht="51" hidden="false" customHeight="true" outlineLevel="0" collapsed="false"/>
    <row r="26" customFormat="false" ht="28.5" hidden="false" customHeight="true" outlineLevel="0" collapsed="false"/>
    <row r="27" customFormat="false" ht="15" hidden="false" customHeight="true" outlineLevel="0" collapsed="false"/>
    <row r="28" customFormat="false" ht="138" hidden="false" customHeight="true" outlineLevel="0" collapsed="false"/>
    <row r="29" customFormat="false" ht="15" hidden="false" customHeight="true" outlineLevel="0" collapsed="false"/>
    <row r="30" customFormat="false" ht="30" hidden="false" customHeight="true" outlineLevel="0" collapsed="false"/>
    <row r="31" customFormat="false" ht="15" hidden="false" customHeight="true" outlineLevel="0" collapsed="false"/>
    <row r="32" customFormat="false" ht="15" hidden="false" customHeight="true" outlineLevel="0" collapsed="false"/>
    <row r="33" customFormat="false" ht="30" hidden="false" customHeight="true" outlineLevel="0" collapsed="false"/>
    <row r="34" customFormat="false" ht="15" hidden="false" customHeight="true" outlineLevel="0" collapsed="false"/>
    <row r="35" customFormat="false" ht="15" hidden="false" customHeight="true" outlineLevel="0" collapsed="false"/>
    <row r="36" customFormat="false" ht="15" hidden="false" customHeight="true" outlineLevel="0" collapsed="false"/>
    <row r="37" customFormat="false" ht="30" hidden="false" customHeight="true" outlineLevel="0" collapsed="false"/>
    <row r="38" customFormat="false" ht="28.5" hidden="false" customHeight="true" outlineLevel="0" collapsed="false"/>
    <row r="39" customFormat="false" ht="30" hidden="false" customHeight="true" outlineLevel="0" collapsed="false"/>
    <row r="40" customFormat="false" ht="25.5" hidden="false" customHeight="true" outlineLevel="0" collapsed="false"/>
    <row r="41" customFormat="false" ht="25.5" hidden="false" customHeight="true" outlineLevel="0" collapsed="false"/>
    <row r="42" customFormat="false" ht="15.75" hidden="false" customHeight="true" outlineLevel="0" collapsed="false"/>
    <row r="43" customFormat="false" ht="25.5" hidden="false" customHeight="true" outlineLevel="0" collapsed="false"/>
    <row r="44" customFormat="false" ht="15" hidden="false" customHeight="true" outlineLevel="0" collapsed="false"/>
    <row r="45" customFormat="false" ht="15" hidden="false" customHeight="true" outlineLevel="0" collapsed="false"/>
    <row r="46" customFormat="false" ht="26.25" hidden="false" customHeight="true" outlineLevel="0" collapsed="false"/>
    <row r="47" customFormat="false" ht="15" hidden="false" customHeight="true" outlineLevel="0" collapsed="false"/>
    <row r="48" customFormat="false" ht="112.5" hidden="false" customHeight="true" outlineLevel="0" collapsed="false"/>
    <row r="49" customFormat="false" ht="15" hidden="false" customHeight="true" outlineLevel="0" collapsed="false"/>
    <row r="50" customFormat="false" ht="15" hidden="false" customHeight="true" outlineLevel="0" collapsed="false"/>
    <row r="51" customFormat="false" ht="26.25" hidden="false" customHeight="true" outlineLevel="0" collapsed="false"/>
    <row r="52" customFormat="false" ht="15.75" hidden="false" customHeight="true" outlineLevel="0" collapsed="false"/>
    <row r="53" customFormat="false" ht="26.25" hidden="false" customHeight="true" outlineLevel="0" collapsed="false"/>
    <row r="54" customFormat="false" ht="26.25" hidden="false" customHeight="true" outlineLevel="0" collapsed="false"/>
    <row r="55" customFormat="false" ht="15" hidden="false" customHeight="true" outlineLevel="0" collapsed="false"/>
    <row r="56" customFormat="false" ht="15" hidden="false" customHeight="true" outlineLevel="0" collapsed="false"/>
    <row r="57" customFormat="false" ht="354.75" hidden="false" customHeight="true" outlineLevel="0" collapsed="false"/>
    <row r="58" customFormat="false" ht="48.75" hidden="false" customHeight="true" outlineLevel="0" collapsed="false"/>
    <row r="59" customFormat="false" ht="15" hidden="false" customHeight="true" outlineLevel="0" collapsed="false"/>
    <row r="60" customFormat="false" ht="63.75" hidden="false" customHeight="true" outlineLevel="0" collapsed="false"/>
    <row r="61" customFormat="false" ht="15" hidden="false" customHeight="true" outlineLevel="0" collapsed="false"/>
    <row r="62" customFormat="false" ht="15" hidden="false" customHeight="true" outlineLevel="0" collapsed="false"/>
    <row r="63" customFormat="false" ht="15" hidden="false" customHeight="true" outlineLevel="0" collapsed="false"/>
    <row r="64" customFormat="false" ht="15" hidden="false" customHeight="true" outlineLevel="0" collapsed="false"/>
    <row r="65" customFormat="false" ht="15" hidden="false" customHeight="true" outlineLevel="0" collapsed="false"/>
    <row r="66" customFormat="false" ht="63.75" hidden="false" customHeight="true" outlineLevel="0" collapsed="false"/>
    <row r="68" customFormat="false" ht="15.75" hidden="false" customHeight="true" outlineLevel="0" collapsed="false"/>
    <row r="69" customFormat="false" ht="14.25" hidden="false" customHeight="true" outlineLevel="0" collapsed="false"/>
    <row r="70" customFormat="false" ht="14.25" hidden="false" customHeight="true" outlineLevel="0" collapsed="false"/>
    <row r="71" customFormat="false" ht="14.25" hidden="false" customHeight="true" outlineLevel="0" collapsed="false"/>
    <row r="72" customFormat="false" ht="15" hidden="false" customHeight="true" outlineLevel="0" collapsed="false"/>
    <row r="73" customFormat="false" ht="15" hidden="false" customHeight="true" outlineLevel="0" collapsed="false"/>
    <row r="74" customFormat="false" ht="15" hidden="false" customHeight="true" outlineLevel="0" collapsed="false"/>
    <row r="75" customFormat="false" ht="15" hidden="false" customHeight="true" outlineLevel="0" collapsed="false"/>
    <row r="76" customFormat="false" ht="15" hidden="false" customHeight="true" outlineLevel="0" collapsed="false"/>
    <row r="77" customFormat="false" ht="15" hidden="false" customHeight="true" outlineLevel="0" collapsed="false"/>
    <row r="78" customFormat="false" ht="51.75" hidden="false" customHeight="true" outlineLevel="0" collapsed="false"/>
    <row r="79" customFormat="false" ht="15" hidden="false" customHeight="true" outlineLevel="0" collapsed="false"/>
    <row r="81" customFormat="false" ht="15" hidden="false" customHeight="true" outlineLevel="0" collapsed="false"/>
    <row r="82" customFormat="false" ht="15" hidden="false" customHeight="true" outlineLevel="0" collapsed="false"/>
    <row r="83" customFormat="false" ht="15" hidden="false" customHeight="true" outlineLevel="0" collapsed="false"/>
    <row r="84" customFormat="false" ht="15" hidden="false" customHeight="true" outlineLevel="0" collapsed="false"/>
    <row r="85" customFormat="false" ht="15" hidden="false" customHeight="true" outlineLevel="0" collapsed="false"/>
    <row r="86" customFormat="false" ht="15" hidden="false" customHeight="true" outlineLevel="0" collapsed="false"/>
    <row r="87" customFormat="false" ht="15" hidden="false" customHeight="true" outlineLevel="0" collapsed="false"/>
    <row r="88" customFormat="false" ht="15" hidden="false" customHeight="true" outlineLevel="0" collapsed="false"/>
    <row r="89" customFormat="false" ht="15" hidden="false" customHeight="true" outlineLevel="0" collapsed="false"/>
    <row r="90" customFormat="false" ht="15" hidden="false" customHeight="true" outlineLevel="0" collapsed="false"/>
    <row r="91" customFormat="false" ht="15.75" hidden="false" customHeight="true" outlineLevel="0" collapsed="false"/>
    <row r="93" customFormat="false" ht="15" hidden="false" customHeight="true" outlineLevel="0" collapsed="false"/>
    <row r="94" customFormat="false" ht="15" hidden="false" customHeight="true" outlineLevel="0" collapsed="false"/>
    <row r="95" customFormat="false" ht="15" hidden="false" customHeight="true" outlineLevel="0" collapsed="false"/>
    <row r="96" customFormat="false" ht="15" hidden="false" customHeight="true" outlineLevel="0" collapsed="false"/>
    <row r="98" customFormat="false" ht="113.25" hidden="false" customHeight="true" outlineLevel="0" collapsed="false"/>
    <row r="99" customFormat="false" ht="14.25" hidden="false" customHeight="true" outlineLevel="0" collapsed="false"/>
    <row r="103" customFormat="false" ht="15" hidden="false" customHeight="true" outlineLevel="0" collapsed="false"/>
    <row r="104" customFormat="false" ht="14.25" hidden="false" customHeight="true" outlineLevel="0" collapsed="false"/>
    <row r="106" customFormat="false" ht="15" hidden="false" customHeight="true" outlineLevel="0" collapsed="false"/>
    <row r="108" customFormat="false" ht="15.75" hidden="false" customHeight="true" outlineLevel="0" collapsed="false"/>
    <row r="109" customFormat="false" ht="15" hidden="false" customHeight="true" outlineLevel="0" collapsed="false"/>
    <row r="111" customFormat="false" ht="15.75" hidden="false" customHeight="true" outlineLevel="0" collapsed="false"/>
    <row r="112" customFormat="false" ht="15" hidden="false" customHeight="true" outlineLevel="0" collapsed="false"/>
    <row r="113" customFormat="false" ht="117" hidden="false" customHeight="true" outlineLevel="0" collapsed="false"/>
    <row r="114" customFormat="false" ht="15.75" hidden="false" customHeight="true" outlineLevel="0" collapsed="false"/>
    <row r="116" customFormat="false" ht="22.5" hidden="false" customHeight="true" outlineLevel="0" collapsed="false"/>
    <row r="117" customFormat="false" ht="15" hidden="false" customHeight="true" outlineLevel="0" collapsed="false"/>
    <row r="118" customFormat="false" ht="14.25" hidden="false" customHeight="true" outlineLevel="0" collapsed="false"/>
    <row r="119" customFormat="false" ht="15" hidden="false" customHeight="true" outlineLevel="0" collapsed="false"/>
    <row r="120" customFormat="false" ht="14.25" hidden="false" customHeight="true" outlineLevel="0" collapsed="false"/>
    <row r="121" customFormat="false" ht="87.75" hidden="false" customHeight="true" outlineLevel="0" collapsed="false"/>
    <row r="122" customFormat="false" ht="14.25" hidden="false" customHeight="true" outlineLevel="0" collapsed="false"/>
    <row r="123" customFormat="false" ht="15" hidden="false" customHeight="true" outlineLevel="0" collapsed="false"/>
    <row r="124" customFormat="false" ht="15" hidden="false" customHeight="true" outlineLevel="0" collapsed="false"/>
    <row r="125" customFormat="false" ht="15" hidden="false" customHeight="true" outlineLevel="0" collapsed="false"/>
    <row r="126" customFormat="false" ht="15" hidden="false" customHeight="true" outlineLevel="0" collapsed="false"/>
    <row r="127" customFormat="false" ht="15" hidden="false" customHeight="true" outlineLevel="0" collapsed="false"/>
    <row r="128" customFormat="false" ht="15" hidden="false" customHeight="true" outlineLevel="0" collapsed="false"/>
    <row r="129" customFormat="false" ht="15" hidden="false" customHeight="true" outlineLevel="0" collapsed="false"/>
    <row r="130" customFormat="false" ht="15" hidden="false" customHeight="true" outlineLevel="0" collapsed="false"/>
    <row r="131" customFormat="false" ht="15" hidden="false" customHeight="true" outlineLevel="0" collapsed="false"/>
    <row r="132" customFormat="false" ht="15" hidden="false" customHeight="true" outlineLevel="0" collapsed="false"/>
    <row r="133" customFormat="false" ht="15" hidden="false" customHeight="true" outlineLevel="0" collapsed="false"/>
    <row r="134" customFormat="false" ht="15" hidden="false" customHeight="true" outlineLevel="0" collapsed="false"/>
    <row r="135" customFormat="false" ht="15" hidden="false" customHeight="true" outlineLevel="0" collapsed="false"/>
    <row r="136" customFormat="false" ht="15" hidden="false" customHeight="true" outlineLevel="0" collapsed="false"/>
    <row r="138" customFormat="false" ht="15.75" hidden="false" customHeight="true" outlineLevel="0" collapsed="false"/>
    <row r="140" customFormat="false" ht="15" hidden="false" customHeight="true" outlineLevel="0" collapsed="false"/>
    <row r="141" customFormat="false" ht="15" hidden="false" customHeight="true" outlineLevel="0" collapsed="false"/>
    <row r="142" customFormat="false" ht="15" hidden="false" customHeight="true" outlineLevel="0" collapsed="false"/>
    <row r="144" customFormat="false" ht="15" hidden="false" customHeight="true" outlineLevel="0" collapsed="false"/>
    <row r="145" customFormat="false" ht="103.5" hidden="false" customHeight="true" outlineLevel="0" collapsed="false"/>
    <row r="147" customFormat="false" ht="213.75" hidden="false" customHeight="true" outlineLevel="0" collapsed="false"/>
    <row r="150" customFormat="false" ht="15" hidden="false" customHeight="true" outlineLevel="0" collapsed="false"/>
    <row r="151" customFormat="false" ht="15" hidden="false" customHeight="true" outlineLevel="0" collapsed="false"/>
    <row r="152" customFormat="false" ht="14.25" hidden="false" customHeight="true" outlineLevel="0" collapsed="false"/>
    <row r="153" customFormat="false" ht="14.25" hidden="false" customHeight="true" outlineLevel="0" collapsed="false"/>
    <row r="154" customFormat="false" ht="15" hidden="false" customHeight="true" outlineLevel="0" collapsed="false"/>
    <row r="155" customFormat="false" ht="1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60" customFormat="false" ht="15" hidden="false" customHeight="true" outlineLevel="0" collapsed="false"/>
    <row r="162" customFormat="false" ht="15" hidden="false" customHeight="true" outlineLevel="0" collapsed="false"/>
    <row r="164" customFormat="false" ht="132.75" hidden="false" customHeight="true" outlineLevel="0" collapsed="false"/>
    <row r="167" customFormat="false" ht="51.75" hidden="false" customHeight="true" outlineLevel="0" collapsed="false"/>
    <row r="168" customFormat="false" ht="14.25" hidden="false" customHeight="true" outlineLevel="0" collapsed="false"/>
    <row r="170" customFormat="false" ht="15" hidden="false" customHeight="true" outlineLevel="0" collapsed="false"/>
    <row r="172" customFormat="false" ht="15" hidden="false" customHeight="true" outlineLevel="0" collapsed="false"/>
    <row r="173" customFormat="false" ht="15" hidden="false" customHeight="true" outlineLevel="0" collapsed="false"/>
    <row r="175" customFormat="false" ht="15" hidden="false" customHeight="true" outlineLevel="0" collapsed="false"/>
    <row r="176" customFormat="false" ht="15" hidden="false" customHeight="true" outlineLevel="0" collapsed="false"/>
    <row r="177" customFormat="false" ht="235.5" hidden="false" customHeight="true" outlineLevel="0" collapsed="false"/>
    <row r="178" customFormat="false" ht="15.75" hidden="false" customHeight="true" outlineLevel="0" collapsed="false"/>
    <row r="179" customFormat="false" ht="15" hidden="false" customHeight="true" outlineLevel="0" collapsed="false"/>
    <row r="180" customFormat="false" ht="14.25" hidden="false" customHeight="true" outlineLevel="0" collapsed="false"/>
    <row r="181" customFormat="false" ht="15" hidden="false" customHeight="true" outlineLevel="0" collapsed="false"/>
    <row r="183" customFormat="false" ht="15" hidden="false" customHeight="true" outlineLevel="0" collapsed="false"/>
    <row r="184" customFormat="false" ht="15" hidden="false" customHeight="true" outlineLevel="0" collapsed="false"/>
    <row r="185" customFormat="false" ht="15" hidden="false" customHeight="true" outlineLevel="0" collapsed="false"/>
    <row r="186" customFormat="false" ht="15" hidden="false" customHeight="true" outlineLevel="0" collapsed="false"/>
    <row r="187" customFormat="false" ht="14.25" hidden="false" customHeight="true" outlineLevel="0" collapsed="false"/>
    <row r="188" customFormat="false" ht="14.25" hidden="false" customHeight="true" outlineLevel="0" collapsed="false"/>
    <row r="189" customFormat="false" ht="14.25" hidden="false" customHeight="true" outlineLevel="0" collapsed="false"/>
    <row r="190" customFormat="false" ht="15" hidden="false" customHeight="true" outlineLevel="0" collapsed="false"/>
    <row r="193" customFormat="false" ht="14.25" hidden="false" customHeight="true" outlineLevel="0" collapsed="false"/>
    <row r="194" customFormat="false" ht="15" hidden="false" customHeight="true" outlineLevel="0" collapsed="false"/>
    <row r="195" customFormat="false" ht="15" hidden="false" customHeight="true" outlineLevel="0" collapsed="false"/>
    <row r="196" customFormat="false" ht="15" hidden="false" customHeight="true" outlineLevel="0" collapsed="false"/>
    <row r="198" customFormat="false" ht="15" hidden="false" customHeight="true" outlineLevel="0" collapsed="false"/>
    <row r="199" customFormat="false" ht="15" hidden="false" customHeight="true" outlineLevel="0" collapsed="false"/>
    <row r="201" customFormat="false" ht="15.75" hidden="false" customHeight="true" outlineLevel="0" collapsed="false"/>
    <row r="203" customFormat="false" ht="15" hidden="false" customHeight="true" outlineLevel="0" collapsed="false"/>
    <row r="204" customFormat="false" ht="15" hidden="false" customHeight="true" outlineLevel="0" collapsed="false"/>
    <row r="206" customFormat="false" ht="15" hidden="false" customHeight="true" outlineLevel="0" collapsed="false"/>
    <row r="207" customFormat="false" ht="15" hidden="false" customHeight="true" outlineLevel="0" collapsed="false"/>
    <row r="208" customFormat="false" ht="15.75" hidden="false" customHeight="true" outlineLevel="0" collapsed="false"/>
    <row r="209" customFormat="false" ht="60.75" hidden="false" customHeight="true" outlineLevel="0" collapsed="false"/>
    <row r="212" customFormat="false" ht="15" hidden="false" customHeight="true" outlineLevel="0" collapsed="false"/>
    <row r="213" customFormat="false" ht="15" hidden="false" customHeight="true" outlineLevel="0" collapsed="false"/>
    <row r="214" customFormat="false" ht="15" hidden="false" customHeight="true" outlineLevel="0" collapsed="false"/>
    <row r="215" customFormat="false" ht="15" hidden="false" customHeight="true" outlineLevel="0" collapsed="false"/>
    <row r="217" customFormat="false" ht="213.75" hidden="false" customHeight="true" outlineLevel="0" collapsed="false"/>
    <row r="219" customFormat="false" ht="15" hidden="false" customHeight="true" outlineLevel="0" collapsed="false"/>
    <row r="220" customFormat="false" ht="15" hidden="false" customHeight="true" outlineLevel="0" collapsed="false"/>
    <row r="222" customFormat="false" ht="15" hidden="false" customHeight="true" outlineLevel="0" collapsed="false"/>
    <row r="224" customFormat="false" ht="15" hidden="false" customHeight="true" outlineLevel="0" collapsed="false"/>
    <row r="225" customFormat="false" ht="15" hidden="false" customHeight="true" outlineLevel="0" collapsed="false"/>
    <row r="226" customFormat="false" ht="15" hidden="false" customHeight="true" outlineLevel="0" collapsed="false"/>
    <row r="227" customFormat="false" ht="15" hidden="false" customHeight="true" outlineLevel="0" collapsed="false"/>
    <row r="228" customFormat="false" ht="15" hidden="false" customHeight="true" outlineLevel="0" collapsed="false"/>
    <row r="229" customFormat="false" ht="14.25" hidden="false" customHeight="true" outlineLevel="0" collapsed="false"/>
    <row r="230" customFormat="false" ht="15" hidden="false" customHeight="true" outlineLevel="0" collapsed="false"/>
    <row r="231" customFormat="false" ht="14.25" hidden="false" customHeight="true" outlineLevel="0" collapsed="false"/>
    <row r="232" customFormat="false" ht="15" hidden="false" customHeight="true" outlineLevel="0" collapsed="false"/>
    <row r="233" customFormat="false" ht="15" hidden="false" customHeight="true" outlineLevel="0" collapsed="false"/>
    <row r="234" customFormat="false" ht="15" hidden="false" customHeight="true" outlineLevel="0" collapsed="false"/>
    <row r="235" customFormat="false" ht="15" hidden="false" customHeight="true" outlineLevel="0" collapsed="false"/>
    <row r="236" customFormat="false" ht="15" hidden="false" customHeight="true" outlineLevel="0" collapsed="false"/>
    <row r="237" customFormat="false" ht="15.75" hidden="false" customHeight="true" outlineLevel="0" collapsed="false"/>
    <row r="240" customFormat="false" ht="15" hidden="false" customHeight="true" outlineLevel="0" collapsed="false"/>
    <row r="241" customFormat="false" ht="15" hidden="false" customHeight="true" outlineLevel="0" collapsed="false"/>
    <row r="245" customFormat="false" ht="15" hidden="false" customHeight="true" outlineLevel="0" collapsed="false"/>
    <row r="247" customFormat="false" ht="15" hidden="false" customHeight="true" outlineLevel="0" collapsed="false"/>
    <row r="248" customFormat="false" ht="15.75" hidden="false" customHeight="true" outlineLevel="0" collapsed="false"/>
    <row r="249" customFormat="false" ht="15" hidden="false" customHeight="true" outlineLevel="0" collapsed="false"/>
    <row r="251" customFormat="false" ht="15" hidden="false" customHeight="true" outlineLevel="0" collapsed="false"/>
    <row r="252" customFormat="false" ht="14.25" hidden="false" customHeight="true" outlineLevel="0" collapsed="false"/>
    <row r="255" customFormat="false" ht="63.75" hidden="false" customHeight="true" outlineLevel="0" collapsed="false"/>
    <row r="257" customFormat="false" ht="15" hidden="false" customHeight="true" outlineLevel="0" collapsed="false"/>
    <row r="258" customFormat="false" ht="15" hidden="false" customHeight="true" outlineLevel="0" collapsed="false"/>
    <row r="260" customFormat="false" ht="15.75" hidden="false" customHeight="true" outlineLevel="0" collapsed="false"/>
    <row r="261" customFormat="false" ht="15" hidden="false" customHeight="true" outlineLevel="0" collapsed="false"/>
    <row r="262" customFormat="false" ht="15" hidden="false" customHeight="true" outlineLevel="0" collapsed="false"/>
    <row r="263" customFormat="false" ht="15" hidden="false" customHeight="true" outlineLevel="0" collapsed="false"/>
    <row r="264" customFormat="false" ht="15" hidden="false" customHeight="true" outlineLevel="0" collapsed="false"/>
    <row r="265" customFormat="false" ht="15.75" hidden="false" customHeight="true" outlineLevel="0" collapsed="false"/>
    <row r="266" customFormat="false" ht="15" hidden="false" customHeight="true" outlineLevel="0" collapsed="false"/>
    <row r="267" customFormat="false" ht="15" hidden="false" customHeight="true" outlineLevel="0" collapsed="false"/>
    <row r="268" customFormat="false" ht="14.25" hidden="false" customHeight="true" outlineLevel="0" collapsed="false"/>
    <row r="269" customFormat="false" ht="14.25" hidden="false" customHeight="true" outlineLevel="0" collapsed="false"/>
    <row r="270" customFormat="false" ht="214.5" hidden="false" customHeight="true" outlineLevel="0" collapsed="false"/>
    <row r="271" customFormat="false" ht="15" hidden="false" customHeight="true" outlineLevel="0" collapsed="false"/>
    <row r="272" customFormat="false" ht="15" hidden="false" customHeight="true" outlineLevel="0" collapsed="false"/>
    <row r="273" customFormat="false" ht="15" hidden="false" customHeight="true" outlineLevel="0" collapsed="false"/>
    <row r="274" customFormat="false" ht="132.75" hidden="false" customHeight="true" outlineLevel="0" collapsed="false"/>
    <row r="277" customFormat="false" ht="15" hidden="false" customHeight="true" outlineLevel="0" collapsed="false"/>
    <row r="278" customFormat="false" ht="15" hidden="false" customHeight="true" outlineLevel="0" collapsed="false"/>
    <row r="279" customFormat="false" ht="15" hidden="false" customHeight="true" outlineLevel="0" collapsed="false"/>
    <row r="280" customFormat="false" ht="15" hidden="false" customHeight="true" outlineLevel="0" collapsed="false"/>
    <row r="281" customFormat="false" ht="15" hidden="false" customHeight="true" outlineLevel="0" collapsed="false"/>
    <row r="282" customFormat="false" ht="15" hidden="false" customHeight="true" outlineLevel="0" collapsed="false"/>
    <row r="283" customFormat="false" ht="15" hidden="false" customHeight="true" outlineLevel="0" collapsed="false"/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4.2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  <row r="291" customFormat="false" ht="15" hidden="false" customHeight="true" outlineLevel="0" collapsed="false"/>
    <row r="292" customFormat="false" ht="15" hidden="false" customHeight="true" outlineLevel="0" collapsed="false"/>
    <row r="293" customFormat="false" ht="15" hidden="false" customHeight="true" outlineLevel="0" collapsed="false"/>
    <row r="295" customFormat="false" ht="15.75" hidden="false" customHeight="true" outlineLevel="0" collapsed="false"/>
    <row r="296" customFormat="false" ht="15" hidden="false" customHeight="true" outlineLevel="0" collapsed="false"/>
    <row r="298" customFormat="false" ht="14.25" hidden="false" customHeight="true" outlineLevel="0" collapsed="false"/>
    <row r="299" customFormat="false" ht="15" hidden="false" customHeight="true" outlineLevel="0" collapsed="false"/>
    <row r="300" customFormat="false" ht="14.25" hidden="false" customHeight="true" outlineLevel="0" collapsed="false"/>
    <row r="301" customFormat="false" ht="14.25" hidden="false" customHeight="true" outlineLevel="0" collapsed="false"/>
    <row r="302" customFormat="false" ht="14.25" hidden="false" customHeight="true" outlineLevel="0" collapsed="false"/>
    <row r="303" customFormat="false" ht="14.25" hidden="false" customHeight="true" outlineLevel="0" collapsed="false"/>
    <row r="304" customFormat="false" ht="14.25" hidden="false" customHeight="true" outlineLevel="0" collapsed="false"/>
    <row r="305" customFormat="false" ht="14.25" hidden="false" customHeight="true" outlineLevel="0" collapsed="false"/>
    <row r="306" customFormat="false" ht="15" hidden="false" customHeight="true" outlineLevel="0" collapsed="false"/>
    <row r="307" customFormat="false" ht="15" hidden="false" customHeight="true" outlineLevel="0" collapsed="false"/>
    <row r="309" customFormat="false" ht="15.75" hidden="false" customHeight="true" outlineLevel="0" collapsed="false"/>
    <row r="311" customFormat="false" ht="15" hidden="false" customHeight="true" outlineLevel="0" collapsed="false"/>
    <row r="312" customFormat="false" ht="15" hidden="false" customHeight="true" outlineLevel="0" collapsed="false"/>
    <row r="313" customFormat="false" ht="15" hidden="false" customHeight="true" outlineLevel="0" collapsed="false"/>
    <row r="314" customFormat="false" ht="15" hidden="false" customHeight="true" outlineLevel="0" collapsed="false"/>
    <row r="315" customFormat="false" ht="15" hidden="false" customHeight="true" outlineLevel="0" collapsed="false"/>
    <row r="317" customFormat="false" ht="253.5" hidden="false" customHeight="true" outlineLevel="0" collapsed="false"/>
    <row r="318" customFormat="false" ht="14.25" hidden="false" customHeight="true" outlineLevel="0" collapsed="false"/>
    <row r="319" customFormat="false" ht="15" hidden="false" customHeight="true" outlineLevel="0" collapsed="false"/>
    <row r="320" customFormat="false" ht="15" hidden="false" customHeight="true" outlineLevel="0" collapsed="false"/>
    <row r="321" customFormat="false" ht="15" hidden="false" customHeight="true" outlineLevel="0" collapsed="false"/>
    <row r="322" customFormat="false" ht="15.75" hidden="false" customHeight="true" outlineLevel="0" collapsed="false"/>
    <row r="324" customFormat="false" ht="15" hidden="false" customHeight="true" outlineLevel="0" collapsed="false"/>
    <row r="325" customFormat="false" ht="14.25" hidden="false" customHeight="true" outlineLevel="0" collapsed="false"/>
    <row r="326" customFormat="false" ht="15" hidden="false" customHeight="true" outlineLevel="0" collapsed="false"/>
    <row r="327" customFormat="false" ht="15" hidden="false" customHeight="true" outlineLevel="0" collapsed="false"/>
    <row r="330" customFormat="false" ht="235.5" hidden="false" customHeight="true" outlineLevel="0" collapsed="false"/>
    <row r="331" customFormat="false" ht="15" hidden="false" customHeight="true" outlineLevel="0" collapsed="false"/>
    <row r="332" customFormat="false" ht="15" hidden="false" customHeight="true" outlineLevel="0" collapsed="false"/>
    <row r="333" customFormat="false" ht="15" hidden="false" customHeight="true" outlineLevel="0" collapsed="false"/>
    <row r="334" customFormat="false" ht="15" hidden="false" customHeight="true" outlineLevel="0" collapsed="false"/>
    <row r="336" customFormat="false" ht="15" hidden="false" customHeight="true" outlineLevel="0" collapsed="false"/>
    <row r="337" customFormat="false" ht="15" hidden="false" customHeight="true" outlineLevel="0" collapsed="false"/>
    <row r="338" customFormat="false" ht="15" hidden="false" customHeight="true" outlineLevel="0" collapsed="false"/>
    <row r="339" customFormat="false" ht="15" hidden="false" customHeight="true" outlineLevel="0" collapsed="false"/>
    <row r="340" customFormat="false" ht="15" hidden="false" customHeight="true" outlineLevel="0" collapsed="false"/>
    <row r="343" customFormat="false" ht="15" hidden="false" customHeight="true" outlineLevel="0" collapsed="false"/>
    <row r="344" customFormat="false" ht="15" hidden="false" customHeight="true" outlineLevel="0" collapsed="false"/>
    <row r="345" customFormat="false" ht="15.75" hidden="false" customHeight="true" outlineLevel="0" collapsed="false"/>
    <row r="346" customFormat="false" ht="14.25" hidden="false" customHeight="true" outlineLevel="0" collapsed="false"/>
    <row r="347" customFormat="false" ht="15.75" hidden="false" customHeight="true" outlineLevel="0" collapsed="false"/>
    <row r="349" customFormat="false" ht="15" hidden="false" customHeight="true" outlineLevel="0" collapsed="false"/>
    <row r="350" customFormat="false" ht="15" hidden="false" customHeight="true" outlineLevel="0" collapsed="false"/>
    <row r="351" customFormat="false" ht="14.25" hidden="false" customHeight="true" outlineLevel="0" collapsed="false"/>
    <row r="352" customFormat="false" ht="15" hidden="false" customHeight="true" outlineLevel="0" collapsed="false"/>
    <row r="353" customFormat="false" ht="48" hidden="false" customHeight="true" outlineLevel="0" collapsed="false"/>
    <row r="355" customFormat="false" ht="61.5" hidden="false" customHeight="true" outlineLevel="0" collapsed="false"/>
    <row r="356" customFormat="false" ht="15" hidden="false" customHeight="true" outlineLevel="0" collapsed="false"/>
    <row r="358" customFormat="false" ht="60.75" hidden="false" customHeight="true" outlineLevel="0" collapsed="false"/>
    <row r="360" customFormat="false" ht="15" hidden="false" customHeight="true" outlineLevel="0" collapsed="false"/>
    <row r="362" customFormat="false" ht="15" hidden="false" customHeight="true" outlineLevel="0" collapsed="false"/>
    <row r="363" customFormat="false" ht="15" hidden="false" customHeight="true" outlineLevel="0" collapsed="false"/>
    <row r="364" customFormat="false" ht="15" hidden="false" customHeight="true" outlineLevel="0" collapsed="false"/>
    <row r="365" customFormat="false" ht="15" hidden="false" customHeight="true" outlineLevel="0" collapsed="false"/>
    <row r="366" customFormat="false" ht="15" hidden="false" customHeight="true" outlineLevel="0" collapsed="false"/>
    <row r="370" customFormat="false" ht="15" hidden="false" customHeight="true" outlineLevel="0" collapsed="false"/>
    <row r="371" customFormat="false" ht="15" hidden="false" customHeight="true" outlineLevel="0" collapsed="false"/>
    <row r="373" customFormat="false" ht="15" hidden="false" customHeight="true" outlineLevel="0" collapsed="false"/>
    <row r="374" customFormat="false" ht="25.5" hidden="false" customHeight="true" outlineLevel="0" collapsed="false"/>
    <row r="375" customFormat="false" ht="15" hidden="false" customHeight="true" outlineLevel="0" collapsed="false"/>
    <row r="376" customFormat="false" ht="15.75" hidden="false" customHeight="true" outlineLevel="0" collapsed="false"/>
    <row r="377" customFormat="false" ht="15" hidden="false" customHeight="true" outlineLevel="0" collapsed="false"/>
    <row r="380" customFormat="false" ht="15.75" hidden="false" customHeight="true" outlineLevel="0" collapsed="false"/>
    <row r="381" customFormat="false" ht="15" hidden="false" customHeight="true" outlineLevel="0" collapsed="false"/>
    <row r="382" customFormat="false" ht="15" hidden="false" customHeight="true" outlineLevel="0" collapsed="false"/>
    <row r="383" customFormat="false" ht="275.25" hidden="false" customHeight="true" outlineLevel="0" collapsed="false"/>
    <row r="384" customFormat="false" ht="15" hidden="false" customHeight="true" outlineLevel="0" collapsed="false"/>
    <row r="385" customFormat="false" ht="93" hidden="false" customHeight="true" outlineLevel="0" collapsed="false"/>
    <row r="386" customFormat="false" ht="14.25" hidden="false" customHeight="true" outlineLevel="0" collapsed="false"/>
    <row r="388" customFormat="false" ht="240.75" hidden="false" customHeight="true" outlineLevel="0" collapsed="false"/>
    <row r="390" customFormat="false" ht="14.25" hidden="false" customHeight="true" outlineLevel="0" collapsed="false"/>
    <row r="391" customFormat="false" ht="15" hidden="false" customHeight="true" outlineLevel="0" collapsed="false"/>
    <row r="392" customFormat="false" ht="14.25" hidden="false" customHeight="true" outlineLevel="0" collapsed="false"/>
    <row r="393" customFormat="false" ht="15.75" hidden="false" customHeight="true" outlineLevel="0" collapsed="false"/>
    <row r="394" customFormat="false" ht="14.25" hidden="false" customHeight="true" outlineLevel="0" collapsed="false"/>
    <row r="395" customFormat="false" ht="15" hidden="false" customHeight="true" outlineLevel="0" collapsed="false"/>
    <row r="397" customFormat="false" ht="15" hidden="false" customHeight="true" outlineLevel="0" collapsed="false"/>
    <row r="398" customFormat="false" ht="14.25" hidden="false" customHeight="true" outlineLevel="0" collapsed="false"/>
    <row r="400" customFormat="false" ht="15" hidden="false" customHeight="true" outlineLevel="0" collapsed="false"/>
    <row r="401" customFormat="false" ht="15" hidden="false" customHeight="true" outlineLevel="0" collapsed="false"/>
    <row r="402" customFormat="false" ht="15" hidden="false" customHeight="true" outlineLevel="0" collapsed="false"/>
    <row r="403" customFormat="false" ht="15.75" hidden="false" customHeight="true" outlineLevel="0" collapsed="false"/>
    <row r="404" customFormat="false" ht="15" hidden="false" customHeight="true" outlineLevel="0" collapsed="false"/>
    <row r="405" customFormat="false" ht="15" hidden="false" customHeight="true" outlineLevel="0" collapsed="false"/>
    <row r="406" customFormat="false" ht="15" hidden="false" customHeight="true" outlineLevel="0" collapsed="false"/>
    <row r="408" customFormat="false" ht="15" hidden="false" customHeight="true" outlineLevel="0" collapsed="false"/>
    <row r="409" customFormat="false" ht="15" hidden="false" customHeight="true" outlineLevel="0" collapsed="false"/>
    <row r="410" customFormat="false" ht="15" hidden="false" customHeight="true" outlineLevel="0" collapsed="false"/>
    <row r="412" customFormat="false" ht="15" hidden="false" customHeight="true" outlineLevel="0" collapsed="false"/>
    <row r="413" customFormat="false" ht="15" hidden="false" customHeight="true" outlineLevel="0" collapsed="false"/>
    <row r="414" customFormat="false" ht="15" hidden="false" customHeight="true" outlineLevel="0" collapsed="false"/>
    <row r="415" customFormat="false" ht="15" hidden="false" customHeight="true" outlineLevel="0" collapsed="false"/>
    <row r="416" customFormat="false" ht="15" hidden="false" customHeight="true" outlineLevel="0" collapsed="false"/>
    <row r="417" customFormat="false" ht="15" hidden="false" customHeight="true" outlineLevel="0" collapsed="false"/>
    <row r="419" customFormat="false" ht="14.25" hidden="false" customHeight="true" outlineLevel="0" collapsed="false"/>
    <row r="420" customFormat="false" ht="15" hidden="false" customHeight="true" outlineLevel="0" collapsed="false"/>
    <row r="421" customFormat="false" ht="15" hidden="false" customHeight="true" outlineLevel="0" collapsed="false"/>
    <row r="422" customFormat="false" ht="15" hidden="false" customHeight="true" outlineLevel="0" collapsed="false"/>
    <row r="423" customFormat="false" ht="15" hidden="false" customHeight="true" outlineLevel="0" collapsed="false"/>
    <row r="426" customFormat="false" ht="14.25" hidden="false" customHeight="true" outlineLevel="0" collapsed="false"/>
    <row r="427" customFormat="false" ht="15" hidden="false" customHeight="true" outlineLevel="0" collapsed="false"/>
    <row r="429" customFormat="false" ht="63.75" hidden="false" customHeight="true" outlineLevel="0" collapsed="false"/>
    <row r="431" customFormat="false" ht="15" hidden="false" customHeight="true" outlineLevel="0" collapsed="false"/>
    <row r="432" customFormat="false" ht="77.25" hidden="false" customHeight="true" outlineLevel="0" collapsed="false"/>
    <row r="433" customFormat="false" ht="15" hidden="false" customHeight="true" outlineLevel="0" collapsed="false"/>
    <row r="434" customFormat="false" ht="15.75" hidden="false" customHeight="true" outlineLevel="0" collapsed="false"/>
    <row r="439" customFormat="false" ht="15" hidden="false" customHeight="true" outlineLevel="0" collapsed="false"/>
    <row r="440" customFormat="false" ht="15" hidden="false" customHeight="true" outlineLevel="0" collapsed="false"/>
    <row r="441" customFormat="false" ht="15" hidden="false" customHeight="true" outlineLevel="0" collapsed="false"/>
    <row r="442" customFormat="false" ht="14.25" hidden="false" customHeight="true" outlineLevel="0" collapsed="false"/>
    <row r="443" customFormat="false" ht="15.75" hidden="false" customHeight="true" outlineLevel="0" collapsed="false"/>
    <row r="444" customFormat="false" ht="14.25" hidden="false" customHeight="true" outlineLevel="0" collapsed="false"/>
    <row r="445" customFormat="false" ht="15.75" hidden="false" customHeight="true" outlineLevel="0" collapsed="false"/>
    <row r="446" customFormat="false" ht="15" hidden="false" customHeight="true" outlineLevel="0" collapsed="false"/>
    <row r="447" customFormat="false" ht="15" hidden="false" customHeight="true" outlineLevel="0" collapsed="false"/>
    <row r="449" customFormat="false" ht="15" hidden="false" customHeight="true" outlineLevel="0" collapsed="false"/>
    <row r="450" customFormat="false" ht="15" hidden="false" customHeight="true" outlineLevel="0" collapsed="false"/>
    <row r="452" customFormat="false" ht="15" hidden="false" customHeight="true" outlineLevel="0" collapsed="false"/>
    <row r="456" customFormat="false" ht="15" hidden="false" customHeight="true" outlineLevel="0" collapsed="false"/>
    <row r="457" customFormat="false" ht="26.25" hidden="false" customHeight="true" outlineLevel="0" collapsed="false"/>
    <row r="459" customFormat="false" ht="15" hidden="false" customHeight="true" outlineLevel="0" collapsed="false"/>
    <row r="460" customFormat="false" ht="15" hidden="false" customHeight="true" outlineLevel="0" collapsed="false"/>
    <row r="461" customFormat="false" ht="15" hidden="false" customHeight="true" outlineLevel="0" collapsed="false"/>
    <row r="462" customFormat="false" ht="15" hidden="false" customHeight="true" outlineLevel="0" collapsed="false"/>
    <row r="463" customFormat="false" ht="15" hidden="false" customHeight="true" outlineLevel="0" collapsed="false"/>
    <row r="464" customFormat="false" ht="15" hidden="false" customHeight="true" outlineLevel="0" collapsed="false"/>
    <row r="465" customFormat="false" ht="15" hidden="false" customHeight="true" outlineLevel="0" collapsed="false"/>
    <row r="467" customFormat="false" ht="15.75" hidden="false" customHeight="true" outlineLevel="0" collapsed="false"/>
    <row r="469" customFormat="false" ht="15" hidden="false" customHeight="true" outlineLevel="0" collapsed="false"/>
    <row r="470" customFormat="false" ht="15" hidden="false" customHeight="true" outlineLevel="0" collapsed="false"/>
    <row r="471" customFormat="false" ht="15" hidden="false" customHeight="true" outlineLevel="0" collapsed="false"/>
    <row r="472" customFormat="false" ht="15" hidden="false" customHeight="true" outlineLevel="0" collapsed="false"/>
    <row r="473" customFormat="false" ht="14.25" hidden="false" customHeight="true" outlineLevel="0" collapsed="false"/>
    <row r="474" customFormat="false" ht="14.25" hidden="false" customHeight="true" outlineLevel="0" collapsed="false"/>
    <row r="475" customFormat="false" ht="36" hidden="false" customHeight="true" outlineLevel="0" collapsed="false"/>
    <row r="476" customFormat="false" ht="15" hidden="false" customHeight="true" outlineLevel="0" collapsed="false"/>
    <row r="477" customFormat="false" ht="15" hidden="false" customHeight="true" outlineLevel="0" collapsed="false"/>
    <row r="478" customFormat="false" ht="15" hidden="false" customHeight="true" outlineLevel="0" collapsed="false"/>
    <row r="479" customFormat="false" ht="15.75" hidden="false" customHeight="true" outlineLevel="0" collapsed="false"/>
    <row r="480" customFormat="false" ht="15" hidden="false" customHeight="true" outlineLevel="0" collapsed="false"/>
    <row r="482" customFormat="false" ht="15" hidden="false" customHeight="true" outlineLevel="0" collapsed="false"/>
    <row r="484" customFormat="false" ht="15" hidden="false" customHeight="true" outlineLevel="0" collapsed="false"/>
    <row r="486" customFormat="false" ht="15" hidden="false" customHeight="true" outlineLevel="0" collapsed="false"/>
    <row r="488" customFormat="false" ht="255" hidden="false" customHeight="true" outlineLevel="0" collapsed="false"/>
    <row r="490" customFormat="false" ht="15" hidden="false" customHeight="true" outlineLevel="0" collapsed="false"/>
    <row r="491" customFormat="false" ht="15" hidden="false" customHeight="true" outlineLevel="0" collapsed="false"/>
    <row r="492" customFormat="false" ht="15" hidden="false" customHeight="true" outlineLevel="0" collapsed="false"/>
    <row r="495" customFormat="false" ht="15" hidden="false" customHeight="true" outlineLevel="0" collapsed="false"/>
    <row r="496" customFormat="false" ht="15" hidden="false" customHeight="true" outlineLevel="0" collapsed="false"/>
    <row r="497" customFormat="false" ht="15" hidden="false" customHeight="true" outlineLevel="0" collapsed="false"/>
    <row r="499" customFormat="false" ht="15.75" hidden="false" customHeight="true" outlineLevel="0" collapsed="false"/>
    <row r="500" customFormat="false" ht="22.5" hidden="false" customHeight="true" outlineLevel="0" collapsed="false"/>
    <row r="502" customFormat="false" ht="15" hidden="false" customHeight="true" outlineLevel="0" collapsed="false"/>
    <row r="503" customFormat="false" ht="15" hidden="false" customHeight="true" outlineLevel="0" collapsed="false"/>
    <row r="505" customFormat="false" ht="15" hidden="false" customHeight="true" outlineLevel="0" collapsed="false"/>
    <row r="506" customFormat="false" ht="15" hidden="false" customHeight="true" outlineLevel="0" collapsed="false"/>
    <row r="507" customFormat="false" ht="15" hidden="false" customHeight="true" outlineLevel="0" collapsed="false"/>
    <row r="508" customFormat="false" ht="15" hidden="false" customHeight="true" outlineLevel="0" collapsed="false"/>
    <row r="509" customFormat="false" ht="15" hidden="false" customHeight="true" outlineLevel="0" collapsed="false"/>
    <row r="510" customFormat="false" ht="15" hidden="false" customHeight="true" outlineLevel="0" collapsed="false"/>
    <row r="511" customFormat="false" ht="15" hidden="false" customHeight="true" outlineLevel="0" collapsed="false"/>
    <row r="512" customFormat="false" ht="15" hidden="false" customHeight="true" outlineLevel="0" collapsed="false"/>
    <row r="513" customFormat="false" ht="15" hidden="false" customHeight="true" outlineLevel="0" collapsed="false"/>
    <row r="514" customFormat="false" ht="14.25" hidden="false" customHeight="true" outlineLevel="0" collapsed="false"/>
    <row r="516" customFormat="false" ht="15" hidden="false" customHeight="true" outlineLevel="0" collapsed="false"/>
    <row r="517" customFormat="false" ht="15" hidden="false" customHeight="true" outlineLevel="0" collapsed="false"/>
    <row r="518" customFormat="false" ht="15" hidden="false" customHeight="true" outlineLevel="0" collapsed="false"/>
    <row r="519" customFormat="false" ht="15" hidden="false" customHeight="true" outlineLevel="0" collapsed="false"/>
    <row r="520" customFormat="false" ht="15" hidden="false" customHeight="true" outlineLevel="0" collapsed="false"/>
    <row r="523" customFormat="false" ht="15.75" hidden="false" customHeight="true" outlineLevel="0" collapsed="false"/>
    <row r="526" customFormat="false" ht="15" hidden="false" customHeight="true" outlineLevel="0" collapsed="false"/>
    <row r="527" customFormat="false" ht="15" hidden="false" customHeight="true" outlineLevel="0" collapsed="false"/>
    <row r="528" customFormat="false" ht="15" hidden="false" customHeight="true" outlineLevel="0" collapsed="false"/>
    <row r="531" customFormat="false" ht="15" hidden="false" customHeight="true" outlineLevel="0" collapsed="false"/>
    <row r="535" customFormat="false" ht="15" hidden="false" customHeight="true" outlineLevel="0" collapsed="false"/>
    <row r="537" customFormat="false" ht="15.75" hidden="false" customHeight="true" outlineLevel="0" collapsed="false"/>
    <row r="538" customFormat="false" ht="15" hidden="false" customHeight="true" outlineLevel="0" collapsed="false"/>
    <row r="539" customFormat="false" ht="15" hidden="false" customHeight="true" outlineLevel="0" collapsed="false"/>
    <row r="540" customFormat="false" ht="15.75" hidden="false" customHeight="true" outlineLevel="0" collapsed="false"/>
    <row r="543" customFormat="false" ht="15" hidden="false" customHeight="true" outlineLevel="0" collapsed="false"/>
    <row r="544" customFormat="false" ht="15" hidden="false" customHeight="true" outlineLevel="0" collapsed="false"/>
    <row r="546" customFormat="false" ht="15.75" hidden="false" customHeight="true" outlineLevel="0" collapsed="false"/>
    <row r="548" customFormat="false" ht="14.25" hidden="false" customHeight="true" outlineLevel="0" collapsed="false"/>
    <row r="549" customFormat="false" ht="15" hidden="false" customHeight="true" outlineLevel="0" collapsed="false"/>
    <row r="550" customFormat="false" ht="15" hidden="false" customHeight="true" outlineLevel="0" collapsed="false"/>
    <row r="551" customFormat="false" ht="15" hidden="false" customHeight="true" outlineLevel="0" collapsed="false"/>
    <row r="552" customFormat="false" ht="15" hidden="false" customHeight="true" outlineLevel="0" collapsed="false"/>
    <row r="553" customFormat="false" ht="15" hidden="false" customHeight="true" outlineLevel="0" collapsed="false"/>
    <row r="554" customFormat="false" ht="15" hidden="false" customHeight="true" outlineLevel="0" collapsed="false"/>
    <row r="555" customFormat="false" ht="15" hidden="false" customHeight="true" outlineLevel="0" collapsed="false"/>
    <row r="557" customFormat="false" ht="15" hidden="false" customHeight="true" outlineLevel="0" collapsed="false"/>
    <row r="558" customFormat="false" ht="15" hidden="false" customHeight="true" outlineLevel="0" collapsed="false"/>
    <row r="559" customFormat="false" ht="15" hidden="false" customHeight="true" outlineLevel="0" collapsed="false"/>
    <row r="560" customFormat="false" ht="15" hidden="false" customHeight="true" outlineLevel="0" collapsed="false"/>
    <row r="561" customFormat="false" ht="15" hidden="false" customHeight="true" outlineLevel="0" collapsed="false"/>
    <row r="563" customFormat="false" ht="15" hidden="false" customHeight="true" outlineLevel="0" collapsed="false"/>
    <row r="564" customFormat="false" ht="15" hidden="false" customHeight="true" outlineLevel="0" collapsed="false"/>
    <row r="565" customFormat="false" ht="15" hidden="false" customHeight="true" outlineLevel="0" collapsed="false"/>
    <row r="566" customFormat="false" ht="15.75" hidden="false" customHeight="true" outlineLevel="0" collapsed="false"/>
    <row r="567" customFormat="false" ht="15" hidden="false" customHeight="true" outlineLevel="0" collapsed="false"/>
    <row r="568" customFormat="false" ht="15" hidden="false" customHeight="true" outlineLevel="0" collapsed="false"/>
    <row r="569" customFormat="false" ht="15.75" hidden="false" customHeight="true" outlineLevel="0" collapsed="false"/>
    <row r="570" customFormat="false" ht="15" hidden="false" customHeight="true" outlineLevel="0" collapsed="false"/>
    <row r="571" customFormat="false" ht="15" hidden="false" customHeight="true" outlineLevel="0" collapsed="false"/>
    <row r="572" customFormat="false" ht="15" hidden="false" customHeight="true" outlineLevel="0" collapsed="false"/>
    <row r="574" customFormat="false" ht="15" hidden="false" customHeight="true" outlineLevel="0" collapsed="false"/>
    <row r="575" customFormat="false" ht="316.5" hidden="false" customHeight="true" outlineLevel="0" collapsed="false"/>
    <row r="576" customFormat="false" ht="15" hidden="false" customHeight="true" outlineLevel="0" collapsed="false"/>
    <row r="578" customFormat="false" ht="61.5" hidden="false" customHeight="true" outlineLevel="0" collapsed="false"/>
    <row r="579" customFormat="false" ht="66" hidden="false" customHeight="true" outlineLevel="0" collapsed="false"/>
    <row r="580" customFormat="false" ht="15" hidden="false" customHeight="true" outlineLevel="0" collapsed="false"/>
    <row r="581" customFormat="false" ht="14.25" hidden="false" customHeight="true" outlineLevel="0" collapsed="false"/>
    <row r="583" customFormat="false" ht="15" hidden="false" customHeight="true" outlineLevel="0" collapsed="false"/>
    <row r="584" customFormat="false" ht="15" hidden="false" customHeight="true" outlineLevel="0" collapsed="false"/>
    <row r="585" customFormat="false" ht="15" hidden="false" customHeight="true" outlineLevel="0" collapsed="false"/>
    <row r="586" customFormat="false" ht="15" hidden="false" customHeight="true" outlineLevel="0" collapsed="false"/>
    <row r="587" customFormat="false" ht="15" hidden="false" customHeight="true" outlineLevel="0" collapsed="false"/>
    <row r="588" customFormat="false" ht="15" hidden="false" customHeight="true" outlineLevel="0" collapsed="false"/>
    <row r="589" customFormat="false" ht="15.75" hidden="false" customHeight="true" outlineLevel="0" collapsed="false"/>
    <row r="592" customFormat="false" ht="15" hidden="false" customHeight="true" outlineLevel="0" collapsed="false"/>
    <row r="594" customFormat="false" ht="15" hidden="false" customHeight="true" outlineLevel="0" collapsed="false"/>
    <row r="596" customFormat="false" ht="48" hidden="false" customHeight="true" outlineLevel="0" collapsed="false"/>
    <row r="599" customFormat="false" ht="15" hidden="false" customHeight="true" outlineLevel="0" collapsed="false"/>
    <row r="600" customFormat="false" ht="15" hidden="false" customHeight="true" outlineLevel="0" collapsed="false"/>
    <row r="601" customFormat="false" ht="15" hidden="false" customHeight="true" outlineLevel="0" collapsed="false"/>
    <row r="603" customFormat="false" ht="15" hidden="false" customHeight="true" outlineLevel="0" collapsed="false"/>
    <row r="604" customFormat="false" ht="15" hidden="false" customHeight="true" outlineLevel="0" collapsed="false"/>
    <row r="605" customFormat="false" ht="15" hidden="false" customHeight="true" outlineLevel="0" collapsed="false"/>
    <row r="607" customFormat="false" ht="15.75" hidden="false" customHeight="true" outlineLevel="0" collapsed="false"/>
    <row r="608" customFormat="false" ht="15" hidden="false" customHeight="true" outlineLevel="0" collapsed="false"/>
    <row r="609" customFormat="false" ht="15" hidden="false" customHeight="true" outlineLevel="0" collapsed="false"/>
    <row r="610" customFormat="false" ht="15.75" hidden="false" customHeight="true" outlineLevel="0" collapsed="false"/>
    <row r="611" customFormat="false" ht="15" hidden="false" customHeight="true" outlineLevel="0" collapsed="false"/>
    <row r="612" customFormat="false" ht="15" hidden="false" customHeight="true" outlineLevel="0" collapsed="false"/>
    <row r="613" customFormat="false" ht="15" hidden="false" customHeight="true" outlineLevel="0" collapsed="false"/>
    <row r="614" customFormat="false" ht="15" hidden="false" customHeight="true" outlineLevel="0" collapsed="false"/>
    <row r="615" customFormat="false" ht="15" hidden="false" customHeight="true" outlineLevel="0" collapsed="false"/>
    <row r="616" customFormat="false" ht="15" hidden="false" customHeight="true" outlineLevel="0" collapsed="false"/>
    <row r="617" customFormat="false" ht="120" hidden="false" customHeight="true" outlineLevel="0" collapsed="false"/>
    <row r="618" customFormat="false" ht="14.25" hidden="false" customHeight="true" outlineLevel="0" collapsed="false"/>
    <row r="619" customFormat="false" ht="15" hidden="false" customHeight="true" outlineLevel="0" collapsed="false"/>
    <row r="620" customFormat="false" ht="24.75" hidden="false" customHeight="true" outlineLevel="0" collapsed="false"/>
    <row r="621" customFormat="false" ht="15" hidden="false" customHeight="true" outlineLevel="0" collapsed="false"/>
    <row r="622" customFormat="false" ht="15" hidden="false" customHeight="true" outlineLevel="0" collapsed="false"/>
    <row r="623" customFormat="false" ht="14.25" hidden="false" customHeight="true" outlineLevel="0" collapsed="false"/>
    <row r="624" customFormat="false" ht="14.25" hidden="false" customHeight="true" outlineLevel="0" collapsed="false"/>
    <row r="625" customFormat="false" ht="15" hidden="false" customHeight="true" outlineLevel="0" collapsed="false"/>
    <row r="626" customFormat="false" ht="15" hidden="false" customHeight="true" outlineLevel="0" collapsed="false"/>
    <row r="627" customFormat="false" ht="15.75" hidden="false" customHeight="true" outlineLevel="0" collapsed="false"/>
    <row r="628" customFormat="false" ht="15" hidden="false" customHeight="true" outlineLevel="0" collapsed="false"/>
    <row r="629" customFormat="false" ht="15" hidden="false" customHeight="true" outlineLevel="0" collapsed="false"/>
    <row r="630" customFormat="false" ht="15" hidden="false" customHeight="true" outlineLevel="0" collapsed="false"/>
    <row r="631" customFormat="false" ht="15" hidden="false" customHeight="true" outlineLevel="0" collapsed="false"/>
    <row r="632" customFormat="false" ht="15" hidden="false" customHeight="true" outlineLevel="0" collapsed="false"/>
    <row r="636" customFormat="false" ht="15" hidden="false" customHeight="true" outlineLevel="0" collapsed="false"/>
    <row r="638" customFormat="false" ht="14.25" hidden="false" customHeight="true" outlineLevel="0" collapsed="false"/>
    <row r="640" customFormat="false" ht="15" hidden="false" customHeight="true" outlineLevel="0" collapsed="false"/>
    <row r="642" customFormat="false" ht="15" hidden="false" customHeight="true" outlineLevel="0" collapsed="false"/>
    <row r="644" customFormat="false" ht="15.75" hidden="false" customHeight="true" outlineLevel="0" collapsed="false"/>
    <row r="645" customFormat="false" ht="15" hidden="false" customHeight="true" outlineLevel="0" collapsed="false"/>
    <row r="647" customFormat="false" ht="15.75" hidden="false" customHeight="true" outlineLevel="0" collapsed="false"/>
    <row r="649" customFormat="false" ht="15" hidden="false" customHeight="true" outlineLevel="0" collapsed="false"/>
    <row r="650" customFormat="false" ht="15" hidden="false" customHeight="true" outlineLevel="0" collapsed="false"/>
    <row r="651" customFormat="false" ht="48" hidden="false" customHeight="true" outlineLevel="0" collapsed="false"/>
    <row r="652" customFormat="false" ht="14.25" hidden="false" customHeight="true" outlineLevel="0" collapsed="false"/>
    <row r="653" customFormat="false" ht="14.25" hidden="false" customHeight="true" outlineLevel="0" collapsed="false"/>
    <row r="654" customFormat="false" ht="201.75" hidden="false" customHeight="true" outlineLevel="0" collapsed="false"/>
    <row r="655" customFormat="false" ht="15" hidden="false" customHeight="true" outlineLevel="0" collapsed="false"/>
    <row r="656" customFormat="false" ht="15" hidden="false" customHeight="true" outlineLevel="0" collapsed="false"/>
    <row r="657" customFormat="false" ht="15" hidden="false" customHeight="true" outlineLevel="0" collapsed="false"/>
    <row r="658" customFormat="false" ht="15" hidden="false" customHeight="true" outlineLevel="0" collapsed="false"/>
    <row r="659" customFormat="false" ht="15.75" hidden="false" customHeight="true" outlineLevel="0" collapsed="false"/>
    <row r="660" customFormat="false" ht="15" hidden="false" customHeight="true" outlineLevel="0" collapsed="false"/>
    <row r="664" customFormat="false" ht="15" hidden="false" customHeight="true" outlineLevel="0" collapsed="false"/>
    <row r="666" customFormat="false" ht="15" hidden="false" customHeight="true" outlineLevel="0" collapsed="false"/>
    <row r="667" customFormat="false" ht="15" hidden="false" customHeight="true" outlineLevel="0" collapsed="false"/>
    <row r="668" customFormat="false" ht="15" hidden="false" customHeight="true" outlineLevel="0" collapsed="false"/>
    <row r="669" customFormat="false" ht="15" hidden="false" customHeight="true" outlineLevel="0" collapsed="false"/>
    <row r="670" customFormat="false" ht="15.75" hidden="false" customHeight="true" outlineLevel="0" collapsed="false"/>
    <row r="671" customFormat="false" ht="15" hidden="false" customHeight="true" outlineLevel="0" collapsed="false"/>
    <row r="672" customFormat="false" ht="15" hidden="false" customHeight="true" outlineLevel="0" collapsed="false"/>
    <row r="673" customFormat="false" ht="15" hidden="false" customHeight="true" outlineLevel="0" collapsed="false"/>
    <row r="674" customFormat="false" ht="15" hidden="false" customHeight="true" outlineLevel="0" collapsed="false"/>
    <row r="675" customFormat="false" ht="15" hidden="false" customHeight="true" outlineLevel="0" collapsed="false"/>
    <row r="676" customFormat="false" ht="15" hidden="false" customHeight="true" outlineLevel="0" collapsed="false"/>
    <row r="677" customFormat="false" ht="201.75" hidden="false" customHeight="true" outlineLevel="0" collapsed="false"/>
    <row r="678" customFormat="false" ht="15" hidden="false" customHeight="true" outlineLevel="0" collapsed="false"/>
    <row r="679" customFormat="false" ht="15" hidden="false" customHeight="true" outlineLevel="0" collapsed="false"/>
    <row r="681" customFormat="false" ht="15" hidden="false" customHeight="true" outlineLevel="0" collapsed="false"/>
    <row r="682" customFormat="false" ht="14.25" hidden="false" customHeight="true" outlineLevel="0" collapsed="false"/>
    <row r="683" customFormat="false" ht="15" hidden="false" customHeight="true" outlineLevel="0" collapsed="false"/>
    <row r="684" customFormat="false" ht="14.25" hidden="false" customHeight="true" outlineLevel="0" collapsed="false"/>
    <row r="685" customFormat="false" ht="15" hidden="false" customHeight="true" outlineLevel="0" collapsed="false"/>
    <row r="686" customFormat="false" ht="15" hidden="false" customHeight="true" outlineLevel="0" collapsed="false"/>
    <row r="690" customFormat="false" ht="15" hidden="false" customHeight="true" outlineLevel="0" collapsed="false"/>
    <row r="691" customFormat="false" ht="15" hidden="false" customHeight="true" outlineLevel="0" collapsed="false"/>
    <row r="694" customFormat="false" ht="15.75" hidden="false" customHeight="true" outlineLevel="0" collapsed="false"/>
    <row r="697" customFormat="false" ht="15" hidden="false" customHeight="true" outlineLevel="0" collapsed="false"/>
    <row r="698" customFormat="false" ht="14.25" hidden="false" customHeight="true" outlineLevel="0" collapsed="false"/>
    <row r="699" customFormat="false" ht="15.75" hidden="false" customHeight="true" outlineLevel="0" collapsed="false"/>
    <row r="700" customFormat="false" ht="15" hidden="false" customHeight="true" outlineLevel="0" collapsed="false"/>
    <row r="701" customFormat="false" ht="15" hidden="false" customHeight="true" outlineLevel="0" collapsed="false"/>
    <row r="702" customFormat="false" ht="15" hidden="false" customHeight="true" outlineLevel="0" collapsed="false"/>
    <row r="703" customFormat="false" ht="15.75" hidden="false" customHeight="true" outlineLevel="0" collapsed="false"/>
    <row r="704" customFormat="false" ht="15" hidden="false" customHeight="true" outlineLevel="0" collapsed="false"/>
    <row r="706" customFormat="false" ht="48" hidden="false" customHeight="true" outlineLevel="0" collapsed="false"/>
    <row r="709" customFormat="false" ht="341.25" hidden="false" customHeight="true" outlineLevel="0" collapsed="false"/>
    <row r="710" customFormat="false" ht="15" hidden="false" customHeight="true" outlineLevel="0" collapsed="false"/>
    <row r="711" customFormat="false" ht="15" hidden="false" customHeight="true" outlineLevel="0" collapsed="false"/>
    <row r="712" customFormat="false" ht="117" hidden="false" customHeight="true" outlineLevel="0" collapsed="false"/>
    <row r="713" customFormat="false" ht="15" hidden="false" customHeight="true" outlineLevel="0" collapsed="false"/>
    <row r="714" customFormat="false" ht="14.25" hidden="false" customHeight="true" outlineLevel="0" collapsed="false"/>
    <row r="715" customFormat="false" ht="15" hidden="false" customHeight="true" outlineLevel="0" collapsed="false"/>
    <row r="716" customFormat="false" ht="15" hidden="false" customHeight="true" outlineLevel="0" collapsed="false"/>
    <row r="717" customFormat="false" ht="15" hidden="false" customHeight="true" outlineLevel="0" collapsed="false"/>
    <row r="718" customFormat="false" ht="15" hidden="false" customHeight="true" outlineLevel="0" collapsed="false"/>
    <row r="719" customFormat="false" ht="15" hidden="false" customHeight="true" outlineLevel="0" collapsed="false"/>
    <row r="720" customFormat="false" ht="15" hidden="false" customHeight="true" outlineLevel="0" collapsed="false"/>
    <row r="721" customFormat="false" ht="15" hidden="false" customHeight="true" outlineLevel="0" collapsed="false"/>
    <row r="722" customFormat="false" ht="15" hidden="false" customHeight="true" outlineLevel="0" collapsed="false"/>
    <row r="723" customFormat="false" ht="15" hidden="false" customHeight="true" outlineLevel="0" collapsed="false"/>
    <row r="724" customFormat="false" ht="15" hidden="false" customHeight="true" outlineLevel="0" collapsed="false"/>
    <row r="725" customFormat="false" ht="15" hidden="false" customHeight="true" outlineLevel="0" collapsed="false"/>
    <row r="726" customFormat="false" ht="14.25" hidden="false" customHeight="true" outlineLevel="0" collapsed="false"/>
    <row r="728" customFormat="false" ht="15" hidden="false" customHeight="true" outlineLevel="0" collapsed="false"/>
    <row r="729" customFormat="false" ht="15" hidden="false" customHeight="true" outlineLevel="0" collapsed="false"/>
    <row r="730" customFormat="false" ht="15" hidden="false" customHeight="true" outlineLevel="0" collapsed="false"/>
    <row r="731" customFormat="false" ht="15.75" hidden="false" customHeight="true" outlineLevel="0" collapsed="false"/>
    <row r="732" customFormat="false" ht="15" hidden="false" customHeight="true" outlineLevel="0" collapsed="false"/>
    <row r="733" customFormat="false" ht="15" hidden="false" customHeight="true" outlineLevel="0" collapsed="false"/>
    <row r="734" customFormat="false" ht="15" hidden="false" customHeight="true" outlineLevel="0" collapsed="false"/>
    <row r="736" customFormat="false" ht="15.75" hidden="false" customHeight="true" outlineLevel="0" collapsed="false"/>
    <row r="737" customFormat="false" ht="15" hidden="false" customHeight="true" outlineLevel="0" collapsed="false"/>
    <row r="739" customFormat="false" ht="36" hidden="false" customHeight="true" outlineLevel="0" collapsed="false"/>
    <row r="740" customFormat="false" ht="15" hidden="false" customHeight="true" outlineLevel="0" collapsed="false"/>
    <row r="741" customFormat="false" ht="15" hidden="false" customHeight="true" outlineLevel="0" collapsed="false"/>
    <row r="742" customFormat="false" ht="114.75" hidden="false" customHeight="true" outlineLevel="0" collapsed="false"/>
    <row r="744" customFormat="false" ht="25.5" hidden="false" customHeight="true" outlineLevel="0" collapsed="false"/>
    <row r="746" customFormat="false" ht="39" hidden="false" customHeight="true" outlineLevel="0" collapsed="false"/>
    <row r="747" customFormat="false" ht="14.25" hidden="false" customHeight="true" outlineLevel="0" collapsed="false"/>
    <row r="749" customFormat="false" ht="15" hidden="false" customHeight="true" outlineLevel="0" collapsed="false"/>
    <row r="751" customFormat="false" ht="15" hidden="false" customHeight="true" outlineLevel="0" collapsed="false"/>
    <row r="752" customFormat="false" ht="15" hidden="false" customHeight="true" outlineLevel="0" collapsed="false"/>
    <row r="754" customFormat="false" ht="15.75" hidden="false" customHeight="true" outlineLevel="0" collapsed="false"/>
    <row r="755" customFormat="false" ht="15" hidden="false" customHeight="true" outlineLevel="0" collapsed="false"/>
    <row r="756" customFormat="false" ht="15" hidden="false" customHeight="true" outlineLevel="0" collapsed="false"/>
    <row r="757" customFormat="false" ht="15" hidden="false" customHeight="true" outlineLevel="0" collapsed="false"/>
    <row r="758" customFormat="false" ht="15" hidden="false" customHeight="true" outlineLevel="0" collapsed="false"/>
    <row r="759" customFormat="false" ht="15" hidden="false" customHeight="true" outlineLevel="0" collapsed="false"/>
    <row r="760" customFormat="false" ht="14.25" hidden="false" customHeight="true" outlineLevel="0" collapsed="false"/>
    <row r="761" customFormat="false" ht="14.25" hidden="false" customHeight="true" outlineLevel="0" collapsed="false"/>
    <row r="762" customFormat="false" ht="14.25" hidden="false" customHeight="true" outlineLevel="0" collapsed="false"/>
    <row r="763" customFormat="false" ht="14.25" hidden="false" customHeight="true" outlineLevel="0" collapsed="false"/>
    <row r="764" customFormat="false" ht="60.75" hidden="false" customHeight="true" outlineLevel="0" collapsed="false"/>
    <row r="765" customFormat="false" ht="15" hidden="false" customHeight="true" outlineLevel="0" collapsed="false"/>
    <row r="766" customFormat="false" ht="15" hidden="false" customHeight="true" outlineLevel="0" collapsed="false"/>
    <row r="768" customFormat="false" ht="15" hidden="false" customHeight="true" outlineLevel="0" collapsed="false"/>
    <row r="769" customFormat="false" ht="15.75" hidden="false" customHeight="true" outlineLevel="0" collapsed="false"/>
    <row r="771" customFormat="false" ht="15" hidden="false" customHeight="true" outlineLevel="0" collapsed="false"/>
    <row r="772" customFormat="false" ht="15" hidden="false" customHeight="true" outlineLevel="0" collapsed="false"/>
    <row r="773" customFormat="false" ht="15" hidden="false" customHeight="true" outlineLevel="0" collapsed="false"/>
    <row r="776" customFormat="false" ht="15" hidden="false" customHeight="true" outlineLevel="0" collapsed="false"/>
    <row r="777" customFormat="false" ht="15" hidden="false" customHeight="true" outlineLevel="0" collapsed="false"/>
    <row r="778" customFormat="false" ht="15.75" hidden="false" customHeight="true" outlineLevel="0" collapsed="false"/>
    <row r="779" customFormat="false" ht="380.25" hidden="false" customHeight="true" outlineLevel="0" collapsed="false"/>
    <row r="780" customFormat="false" ht="15" hidden="false" customHeight="true" outlineLevel="0" collapsed="false"/>
    <row r="781" customFormat="false" ht="15" hidden="false" customHeight="true" outlineLevel="0" collapsed="false"/>
    <row r="782" customFormat="false" ht="15" hidden="false" customHeight="true" outlineLevel="0" collapsed="false"/>
    <row r="783" customFormat="false" ht="15" hidden="false" customHeight="true" outlineLevel="0" collapsed="false"/>
    <row r="786" customFormat="false" ht="15" hidden="false" customHeight="true" outlineLevel="0" collapsed="false"/>
    <row r="787" customFormat="false" ht="24.75" hidden="false" customHeight="true" outlineLevel="0" collapsed="false"/>
    <row r="788" customFormat="false" ht="409.5" hidden="false" customHeight="true" outlineLevel="0" collapsed="false"/>
    <row r="789" customFormat="false" ht="15" hidden="false" customHeight="true" outlineLevel="0" collapsed="false"/>
    <row r="790" customFormat="false" ht="15" hidden="false" customHeight="true" outlineLevel="0" collapsed="false"/>
    <row r="791" customFormat="false" ht="14.25" hidden="false" customHeight="true" outlineLevel="0" collapsed="false"/>
    <row r="792" customFormat="false" ht="14.25" hidden="false" customHeight="true" outlineLevel="0" collapsed="false"/>
    <row r="793" customFormat="false" ht="15" hidden="false" customHeight="true" outlineLevel="0" collapsed="false"/>
    <row r="794" customFormat="false" ht="15" hidden="false" customHeight="true" outlineLevel="0" collapsed="false"/>
    <row r="795" customFormat="false" ht="15" hidden="false" customHeight="true" outlineLevel="0" collapsed="false"/>
    <row r="796" customFormat="false" ht="15" hidden="false" customHeight="true" outlineLevel="0" collapsed="false"/>
    <row r="797" customFormat="false" ht="15" hidden="false" customHeight="true" outlineLevel="0" collapsed="false"/>
    <row r="798" customFormat="false" ht="15" hidden="false" customHeight="true" outlineLevel="0" collapsed="false"/>
    <row r="799" customFormat="false" ht="15" hidden="false" customHeight="true" outlineLevel="0" collapsed="false"/>
    <row r="800" customFormat="false" ht="15" hidden="false" customHeight="true" outlineLevel="0" collapsed="false"/>
    <row r="804" customFormat="false" ht="15" hidden="false" customHeight="true" outlineLevel="0" collapsed="false"/>
    <row r="807" customFormat="false" ht="14.25" hidden="false" customHeight="true" outlineLevel="0" collapsed="false"/>
    <row r="809" customFormat="false" ht="15" hidden="false" customHeight="true" outlineLevel="0" collapsed="false"/>
    <row r="810" customFormat="false" ht="15" hidden="false" customHeight="true" outlineLevel="0" collapsed="false"/>
    <row r="811" customFormat="false" ht="15" hidden="false" customHeight="true" outlineLevel="0" collapsed="false"/>
    <row r="812" customFormat="false" ht="15.75" hidden="false" customHeight="true" outlineLevel="0" collapsed="false"/>
    <row r="816" customFormat="false" ht="209.25" hidden="false" customHeight="true" outlineLevel="0" collapsed="false"/>
    <row r="817" customFormat="false" ht="15" hidden="false" customHeight="true" outlineLevel="0" collapsed="false"/>
    <row r="818" customFormat="false" ht="15" hidden="false" customHeight="true" outlineLevel="0" collapsed="false"/>
    <row r="820" customFormat="false" ht="15.75" hidden="false" customHeight="true" outlineLevel="0" collapsed="false"/>
    <row r="821" customFormat="false" ht="14.25" hidden="false" customHeight="true" outlineLevel="0" collapsed="false"/>
    <row r="822" customFormat="false" ht="14.25" hidden="false" customHeight="true" outlineLevel="0" collapsed="false"/>
    <row r="823" customFormat="false" ht="15" hidden="false" customHeight="true" outlineLevel="0" collapsed="false"/>
    <row r="824" customFormat="false" ht="14.25" hidden="false" customHeight="true" outlineLevel="0" collapsed="false"/>
    <row r="825" customFormat="false" ht="15" hidden="false" customHeight="true" outlineLevel="0" collapsed="false"/>
    <row r="826" customFormat="false" ht="15" hidden="false" customHeight="true" outlineLevel="0" collapsed="false"/>
    <row r="827" customFormat="false" ht="112.5" hidden="false" customHeight="true" outlineLevel="0" collapsed="false"/>
    <row r="828" customFormat="false" ht="15" hidden="false" customHeight="true" outlineLevel="0" collapsed="false"/>
    <row r="829" customFormat="false" ht="15" hidden="false" customHeight="true" outlineLevel="0" collapsed="false"/>
    <row r="830" customFormat="false" ht="15" hidden="false" customHeight="true" outlineLevel="0" collapsed="false"/>
    <row r="831" customFormat="false" ht="15" hidden="false" customHeight="true" outlineLevel="0" collapsed="false"/>
    <row r="832" customFormat="false" ht="15" hidden="false" customHeight="true" outlineLevel="0" collapsed="false"/>
    <row r="836" customFormat="false" ht="15" hidden="false" customHeight="true" outlineLevel="0" collapsed="false"/>
    <row r="837" customFormat="false" ht="48.75" hidden="false" customHeight="true" outlineLevel="0" collapsed="false"/>
    <row r="838" customFormat="false" ht="15" hidden="false" customHeight="true" outlineLevel="0" collapsed="false"/>
    <row r="839" customFormat="false" ht="15" hidden="false" customHeight="true" outlineLevel="0" collapsed="false"/>
    <row r="840" customFormat="false" ht="15" hidden="false" customHeight="true" outlineLevel="0" collapsed="false"/>
    <row r="841" customFormat="false" ht="15" hidden="false" customHeight="true" outlineLevel="0" collapsed="false"/>
    <row r="843" customFormat="false" ht="15.75" hidden="false" customHeight="true" outlineLevel="0" collapsed="false"/>
    <row r="844" customFormat="false" ht="15" hidden="false" customHeight="true" outlineLevel="0" collapsed="false"/>
    <row r="845" customFormat="false" ht="15" hidden="false" customHeight="true" outlineLevel="0" collapsed="false"/>
    <row r="846" customFormat="false" ht="15" hidden="false" customHeight="true" outlineLevel="0" collapsed="false"/>
    <row r="847" customFormat="false" ht="15" hidden="false" customHeight="true" outlineLevel="0" collapsed="false"/>
    <row r="848" customFormat="false" ht="209.25" hidden="false" customHeight="true" outlineLevel="0" collapsed="false"/>
    <row r="849" customFormat="false" ht="15" hidden="false" customHeight="true" outlineLevel="0" collapsed="false"/>
    <row r="852" customFormat="false" ht="15" hidden="false" customHeight="true" outlineLevel="0" collapsed="false"/>
    <row r="853" customFormat="false" ht="14.25" hidden="false" customHeight="true" outlineLevel="0" collapsed="false"/>
    <row r="854" customFormat="false" ht="14.25" hidden="false" customHeight="true" outlineLevel="0" collapsed="false"/>
    <row r="855" customFormat="false" ht="14.25" hidden="false" customHeight="true" outlineLevel="0" collapsed="false"/>
    <row r="856" customFormat="false" ht="14.25" hidden="false" customHeight="true" outlineLevel="0" collapsed="false"/>
    <row r="857" customFormat="false" ht="15" hidden="false" customHeight="true" outlineLevel="0" collapsed="false"/>
    <row r="858" customFormat="false" ht="14.25" hidden="false" customHeight="true" outlineLevel="0" collapsed="false"/>
    <row r="859" customFormat="false" ht="15.75" hidden="false" customHeight="true" outlineLevel="0" collapsed="false"/>
    <row r="860" customFormat="false" ht="15" hidden="false" customHeight="true" outlineLevel="0" collapsed="false"/>
    <row r="861" customFormat="false" ht="15" hidden="false" customHeight="true" outlineLevel="0" collapsed="false"/>
    <row r="863" customFormat="false" ht="15" hidden="false" customHeight="true" outlineLevel="0" collapsed="false"/>
    <row r="864" customFormat="false" ht="15.75" hidden="false" customHeight="true" outlineLevel="0" collapsed="false"/>
    <row r="866" customFormat="false" ht="15" hidden="false" customHeight="true" outlineLevel="0" collapsed="false"/>
    <row r="867" customFormat="false" ht="15" hidden="false" customHeight="true" outlineLevel="0" collapsed="false"/>
    <row r="868" customFormat="false" ht="15.75" hidden="false" customHeight="true" outlineLevel="0" collapsed="false"/>
    <row r="871" customFormat="false" ht="14.25" hidden="false" customHeight="true" outlineLevel="0" collapsed="false"/>
    <row r="872" customFormat="false" ht="15" hidden="false" customHeight="true" outlineLevel="0" collapsed="false"/>
    <row r="873" customFormat="false" ht="15" hidden="false" customHeight="true" outlineLevel="0" collapsed="false"/>
    <row r="875" customFormat="false" ht="15" hidden="false" customHeight="true" outlineLevel="0" collapsed="false"/>
    <row r="876" customFormat="false" ht="15" hidden="false" customHeight="true" outlineLevel="0" collapsed="false"/>
    <row r="877" customFormat="false" ht="367.5" hidden="false" customHeight="true" outlineLevel="0" collapsed="false"/>
    <row r="878" customFormat="false" ht="15" hidden="false" customHeight="true" outlineLevel="0" collapsed="false"/>
    <row r="879" customFormat="false" ht="15" hidden="false" customHeight="true" outlineLevel="0" collapsed="false"/>
    <row r="880" customFormat="false" ht="15" hidden="false" customHeight="true" outlineLevel="0" collapsed="false"/>
    <row r="883" customFormat="false" ht="15" hidden="false" customHeight="true" outlineLevel="0" collapsed="false"/>
    <row r="884" customFormat="false" ht="15" hidden="false" customHeight="true" outlineLevel="0" collapsed="false"/>
    <row r="885" customFormat="false" ht="15" hidden="false" customHeight="true" outlineLevel="0" collapsed="false"/>
    <row r="886" customFormat="false" ht="15" hidden="false" customHeight="true" outlineLevel="0" collapsed="false"/>
    <row r="887" customFormat="false" ht="15" hidden="false" customHeight="true" outlineLevel="0" collapsed="false"/>
    <row r="888" customFormat="false" ht="15.75" hidden="false" customHeight="true" outlineLevel="0" collapsed="false"/>
    <row r="889" customFormat="false" ht="15" hidden="false" customHeight="true" outlineLevel="0" collapsed="false"/>
    <row r="890" customFormat="false" ht="15" hidden="false" customHeight="true" outlineLevel="0" collapsed="false"/>
    <row r="891" customFormat="false" ht="15" hidden="false" customHeight="true" outlineLevel="0" collapsed="false"/>
    <row r="892" customFormat="false" ht="15" hidden="false" customHeight="true" outlineLevel="0" collapsed="false"/>
    <row r="893" customFormat="false" ht="30" hidden="false" customHeight="true" outlineLevel="0" collapsed="false"/>
    <row r="895" customFormat="false" ht="15" hidden="false" customHeight="true" outlineLevel="0" collapsed="false"/>
    <row r="896" customFormat="false" ht="15" hidden="false" customHeight="true" outlineLevel="0" collapsed="false"/>
    <row r="900" customFormat="false" ht="15" hidden="false" customHeight="true" outlineLevel="0" collapsed="false"/>
    <row r="906" customFormat="false" ht="15" hidden="false" customHeight="true" outlineLevel="0" collapsed="false"/>
    <row r="908" customFormat="false" ht="15.75" hidden="false" customHeight="true" outlineLevel="0" collapsed="false"/>
    <row r="909" customFormat="false" ht="15" hidden="false" customHeight="true" outlineLevel="0" collapsed="false"/>
    <row r="911" customFormat="false" ht="15.75" hidden="false" customHeight="true" outlineLevel="0" collapsed="false"/>
    <row r="912" customFormat="false" ht="15" hidden="false" customHeight="true" outlineLevel="0" collapsed="false"/>
    <row r="913" customFormat="false" ht="14.25" hidden="false" customHeight="true" outlineLevel="0" collapsed="false"/>
    <row r="914" customFormat="false" ht="15" hidden="false" customHeight="true" outlineLevel="0" collapsed="false"/>
    <row r="915" customFormat="false" ht="15" hidden="false" customHeight="true" outlineLevel="0" collapsed="false"/>
    <row r="916" customFormat="false" ht="15" hidden="false" customHeight="true" outlineLevel="0" collapsed="false"/>
    <row r="917" customFormat="false" ht="15.75" hidden="false" customHeight="true" outlineLevel="0" collapsed="false"/>
    <row r="919" customFormat="false" ht="36" hidden="false" customHeight="true" outlineLevel="0" collapsed="false"/>
    <row r="920" customFormat="false" ht="15" hidden="false" customHeight="true" outlineLevel="0" collapsed="false"/>
    <row r="921" customFormat="false" ht="15" hidden="false" customHeight="true" outlineLevel="0" collapsed="false"/>
    <row r="922" customFormat="false" ht="15" hidden="false" customHeight="true" outlineLevel="0" collapsed="false"/>
    <row r="923" customFormat="false" ht="390" hidden="false" customHeight="true" outlineLevel="0" collapsed="false"/>
    <row r="924" customFormat="false" ht="15" hidden="false" customHeight="true" outlineLevel="0" collapsed="false"/>
    <row r="925" customFormat="false" ht="15" hidden="false" customHeight="true" outlineLevel="0" collapsed="false"/>
    <row r="926" customFormat="false" ht="118.5" hidden="false" customHeight="true" outlineLevel="0" collapsed="false"/>
    <row r="927" customFormat="false" ht="15" hidden="false" customHeight="true" outlineLevel="0" collapsed="false"/>
    <row r="928" customFormat="false" ht="26.25" hidden="false" customHeight="true" outlineLevel="0" collapsed="false"/>
    <row r="929" customFormat="false" ht="60.75" hidden="false" customHeight="true" outlineLevel="0" collapsed="false"/>
    <row r="930" customFormat="false" ht="14.25" hidden="false" customHeight="true" outlineLevel="0" collapsed="false"/>
    <row r="931" customFormat="false" ht="15" hidden="false" customHeight="true" outlineLevel="0" collapsed="false"/>
    <row r="932" customFormat="false" ht="15" hidden="false" customHeight="true" outlineLevel="0" collapsed="false"/>
    <row r="933" customFormat="false" ht="15" hidden="false" customHeight="true" outlineLevel="0" collapsed="false"/>
    <row r="934" customFormat="false" ht="15" hidden="false" customHeight="true" outlineLevel="0" collapsed="false"/>
    <row r="935" customFormat="false" ht="15" hidden="false" customHeight="true" outlineLevel="0" collapsed="false"/>
    <row r="936" customFormat="false" ht="15" hidden="false" customHeight="true" outlineLevel="0" collapsed="false"/>
    <row r="937" customFormat="false" ht="15" hidden="false" customHeight="true" outlineLevel="0" collapsed="false"/>
    <row r="938" customFormat="false" ht="15" hidden="false" customHeight="true" outlineLevel="0" collapsed="false"/>
    <row r="939" customFormat="false" ht="30" hidden="false" customHeight="true" outlineLevel="0" collapsed="false"/>
    <row r="940" customFormat="false" ht="15" hidden="false" customHeight="true" outlineLevel="0" collapsed="false"/>
    <row r="941" customFormat="false" ht="15" hidden="false" customHeight="true" outlineLevel="0" collapsed="false"/>
    <row r="943" customFormat="false" ht="15.75" hidden="false" customHeight="true" outlineLevel="0" collapsed="false"/>
    <row r="944" customFormat="false" ht="15" hidden="false" customHeight="true" outlineLevel="0" collapsed="false"/>
    <row r="945" customFormat="false" ht="15" hidden="false" customHeight="true" outlineLevel="0" collapsed="false"/>
    <row r="946" customFormat="false" ht="15" hidden="false" customHeight="true" outlineLevel="0" collapsed="false"/>
    <row r="947" customFormat="false" ht="15.75" hidden="false" customHeight="true" outlineLevel="0" collapsed="false"/>
    <row r="948" customFormat="false" ht="15" hidden="false" customHeight="true" outlineLevel="0" collapsed="false"/>
    <row r="950" customFormat="false" ht="35.25" hidden="false" customHeight="true" outlineLevel="0" collapsed="false"/>
    <row r="952" customFormat="false" ht="15" hidden="false" customHeight="true" outlineLevel="0" collapsed="false"/>
    <row r="953" customFormat="false" ht="114.75" hidden="false" customHeight="true" outlineLevel="0" collapsed="false"/>
    <row r="955" customFormat="false" ht="25.5" hidden="false" customHeight="true" outlineLevel="0" collapsed="false"/>
    <row r="957" customFormat="false" ht="15" hidden="false" customHeight="true" outlineLevel="0" collapsed="false"/>
    <row r="958" customFormat="false" ht="15" hidden="false" customHeight="true" outlineLevel="0" collapsed="false"/>
    <row r="960" customFormat="false" ht="15" hidden="false" customHeight="true" outlineLevel="0" collapsed="false"/>
    <row r="961" customFormat="false" ht="15" hidden="false" customHeight="true" outlineLevel="0" collapsed="false"/>
    <row r="962" customFormat="false" ht="15" hidden="false" customHeight="true" outlineLevel="0" collapsed="false"/>
    <row r="963" customFormat="false" ht="15" hidden="false" customHeight="true" outlineLevel="0" collapsed="false"/>
    <row r="964" customFormat="false" ht="15" hidden="false" customHeight="true" outlineLevel="0" collapsed="false"/>
    <row r="965" customFormat="false" ht="14.25" hidden="false" customHeight="true" outlineLevel="0" collapsed="false"/>
    <row r="966" customFormat="false" ht="15" hidden="false" customHeight="true" outlineLevel="0" collapsed="false"/>
    <row r="967" customFormat="false" ht="15" hidden="false" customHeight="true" outlineLevel="0" collapsed="false"/>
    <row r="968" customFormat="false" ht="406.5" hidden="false" customHeight="true" outlineLevel="0" collapsed="false"/>
    <row r="969" customFormat="false" ht="15.75" hidden="false" customHeight="true" outlineLevel="0" collapsed="false"/>
    <row r="970" customFormat="false" ht="15" hidden="false" customHeight="true" outlineLevel="0" collapsed="false"/>
    <row r="971" customFormat="false" ht="15" hidden="false" customHeight="true" outlineLevel="0" collapsed="false"/>
    <row r="972" customFormat="false" ht="105.75" hidden="false" customHeight="true" outlineLevel="0" collapsed="false"/>
    <row r="974" customFormat="false" ht="15" hidden="false" customHeight="true" outlineLevel="0" collapsed="false"/>
    <row r="975" customFormat="false" ht="66" hidden="false" customHeight="true" outlineLevel="0" collapsed="false"/>
    <row r="976" customFormat="false" ht="15" hidden="false" customHeight="true" outlineLevel="0" collapsed="false"/>
    <row r="977" customFormat="false" ht="198" hidden="false" customHeight="true" outlineLevel="0" collapsed="false"/>
    <row r="978" customFormat="false" ht="277.5" hidden="false" customHeight="true" outlineLevel="0" collapsed="false"/>
    <row r="979" customFormat="false" ht="15.75" hidden="false" customHeight="true" outlineLevel="0" collapsed="false"/>
    <row r="981" customFormat="false" ht="15" hidden="false" customHeight="true" outlineLevel="0" collapsed="false"/>
    <row r="982" customFormat="false" ht="15" hidden="false" customHeight="true" outlineLevel="0" collapsed="false"/>
    <row r="983" customFormat="false" ht="15" hidden="false" customHeight="true" outlineLevel="0" collapsed="false"/>
    <row r="984" customFormat="false" ht="15" hidden="false" customHeight="true" outlineLevel="0" collapsed="false"/>
    <row r="985" customFormat="false" ht="15" hidden="false" customHeight="true" outlineLevel="0" collapsed="false"/>
    <row r="986" customFormat="false" ht="15" hidden="false" customHeight="true" outlineLevel="0" collapsed="false"/>
    <row r="987" customFormat="false" ht="15" hidden="false" customHeight="true" outlineLevel="0" collapsed="false"/>
    <row r="988" customFormat="false" ht="23.25" hidden="false" customHeight="true" outlineLevel="0" collapsed="false"/>
    <row r="989" customFormat="false" ht="15" hidden="false" customHeight="true" outlineLevel="0" collapsed="false"/>
    <row r="990" customFormat="false" ht="15" hidden="false" customHeight="true" outlineLevel="0" collapsed="false"/>
    <row r="992" customFormat="false" ht="14.25" hidden="false" customHeight="true" outlineLevel="0" collapsed="false"/>
    <row r="993" customFormat="false" ht="15" hidden="false" customHeight="true" outlineLevel="0" collapsed="false"/>
    <row r="994" customFormat="false" ht="15" hidden="false" customHeight="true" outlineLevel="0" collapsed="false"/>
    <row r="996" customFormat="false" ht="15" hidden="false" customHeight="true" outlineLevel="0" collapsed="false"/>
    <row r="998" customFormat="false" ht="15.75" hidden="false" customHeight="true" outlineLevel="0" collapsed="false"/>
    <row r="1001" customFormat="false" ht="15" hidden="false" customHeight="true" outlineLevel="0" collapsed="false"/>
    <row r="1008" customFormat="false" ht="60.75" hidden="false" customHeight="true" outlineLevel="0" collapsed="false"/>
    <row r="1014" customFormat="false" ht="14.25" hidden="false" customHeight="true" outlineLevel="0" collapsed="false"/>
    <row r="1015" customFormat="false" ht="15" hidden="false" customHeight="true" outlineLevel="0" collapsed="false"/>
    <row r="1017" customFormat="false" ht="15.75" hidden="false" customHeight="true" outlineLevel="0" collapsed="false"/>
    <row r="1022" customFormat="false" ht="15.75" hidden="false" customHeight="true" outlineLevel="0" collapsed="false"/>
    <row r="1023" customFormat="false" ht="15" hidden="false" customHeight="true" outlineLevel="0" collapsed="false"/>
    <row r="1024" customFormat="false" ht="294.75" hidden="false" customHeight="true" outlineLevel="0" collapsed="false"/>
    <row r="1025" customFormat="false" ht="15" hidden="false" customHeight="true" outlineLevel="0" collapsed="false"/>
    <row r="1029" customFormat="false" ht="138" hidden="false" customHeight="true" outlineLevel="0" collapsed="false"/>
    <row r="1030" customFormat="false" ht="15" hidden="false" customHeight="true" outlineLevel="0" collapsed="false"/>
    <row r="1047" customFormat="false" ht="14.25" hidden="false" customHeight="true" outlineLevel="0" collapsed="false"/>
    <row r="1049" customFormat="false" ht="15.75" hidden="false" customHeight="true" outlineLevel="0" collapsed="false"/>
    <row r="1056" customFormat="false" ht="15.75" hidden="false" customHeight="true" outlineLevel="0" collapsed="false"/>
    <row r="1058" customFormat="false" ht="164.25" hidden="false" customHeight="true" outlineLevel="0" collapsed="false"/>
    <row r="1059" customFormat="false" ht="14.25" hidden="false" customHeight="true" outlineLevel="0" collapsed="false"/>
    <row r="1060" customFormat="false" ht="15" hidden="false" customHeight="true" outlineLevel="0" collapsed="false"/>
    <row r="1062" customFormat="false" ht="14.25" hidden="false" customHeight="true" outlineLevel="0" collapsed="false"/>
    <row r="1063" customFormat="false" ht="15" hidden="false" customHeight="true" outlineLevel="0" collapsed="false"/>
    <row r="1064" customFormat="false" ht="22.5" hidden="false" customHeight="true" outlineLevel="0" collapsed="false"/>
    <row r="1065" customFormat="false" ht="15" hidden="false" customHeight="true" outlineLevel="0" collapsed="false"/>
    <row r="1068" customFormat="false" ht="22.5" hidden="false" customHeight="true" outlineLevel="0" collapsed="false"/>
    <row r="1070" customFormat="false" ht="39" hidden="false" customHeight="true" outlineLevel="0" collapsed="false"/>
    <row r="1071" customFormat="false" ht="15" hidden="false" customHeight="true" outlineLevel="0" collapsed="false"/>
    <row r="1087" customFormat="false" ht="14.25" hidden="false" customHeight="true" outlineLevel="0" collapsed="false"/>
    <row r="1090" customFormat="false" ht="14.25" hidden="false" customHeight="true" outlineLevel="0" collapsed="false"/>
    <row r="1091" customFormat="false" ht="14.25" hidden="false" customHeight="true" outlineLevel="0" collapsed="false"/>
    <row r="1092" customFormat="false" ht="14.25" hidden="false" customHeight="true" outlineLevel="0" collapsed="false"/>
    <row r="1093" customFormat="false" ht="15" hidden="false" customHeight="true" outlineLevel="0" collapsed="false"/>
    <row r="1094" customFormat="false" ht="14.25" hidden="false" customHeight="true" outlineLevel="0" collapsed="false"/>
    <row r="1103" customFormat="false" ht="15.75" hidden="false" customHeight="true" outlineLevel="0" collapsed="false"/>
    <row r="1104" customFormat="false" ht="15" hidden="false" customHeight="true" outlineLevel="0" collapsed="false"/>
    <row r="1107" customFormat="false" ht="14.25" hidden="false" customHeight="true" outlineLevel="0" collapsed="false"/>
    <row r="1108" customFormat="false" ht="15.75" hidden="false" customHeight="true" outlineLevel="0" collapsed="false"/>
    <row r="1109" customFormat="false" ht="15" hidden="false" customHeight="true" outlineLevel="0" collapsed="false"/>
    <row r="1112" customFormat="false" ht="367.5" hidden="false" customHeight="true" outlineLevel="0" collapsed="false"/>
    <row r="1113" customFormat="false" ht="15" hidden="false" customHeight="true" outlineLevel="0" collapsed="false"/>
    <row r="1114" customFormat="false" ht="24.75" hidden="false" customHeight="true" outlineLevel="0" collapsed="false"/>
    <row r="1115" customFormat="false" ht="15" hidden="false" customHeight="true" outlineLevel="0" collapsed="false"/>
    <row r="1117" customFormat="false" ht="137.25" hidden="false" customHeight="true" outlineLevel="0" collapsed="false"/>
    <row r="1118" customFormat="false" ht="112.5" hidden="false" customHeight="true" outlineLevel="0" collapsed="false"/>
    <row r="1119" customFormat="false" ht="15" hidden="false" customHeight="true" outlineLevel="0" collapsed="false"/>
    <row r="1120" customFormat="false" ht="193.5" hidden="false" customHeight="true" outlineLevel="0" collapsed="false"/>
    <row r="1121" customFormat="false" ht="48.75" hidden="false" customHeight="true" outlineLevel="0" collapsed="false"/>
    <row r="1122" customFormat="false" ht="15" hidden="false" customHeight="true" outlineLevel="0" collapsed="false"/>
    <row r="1144" customFormat="false" ht="14.25" hidden="false" customHeight="true" outlineLevel="0" collapsed="false"/>
    <row r="1145" customFormat="false" ht="15.75" hidden="false" customHeight="true" outlineLevel="0" collapsed="false"/>
    <row r="1146" customFormat="false" ht="15" hidden="false" customHeight="true" outlineLevel="0" collapsed="false"/>
    <row r="1147" customFormat="false" ht="37.5" hidden="false" customHeight="true" outlineLevel="0" collapsed="false"/>
    <row r="1148" customFormat="false" ht="15" hidden="false" customHeight="true" outlineLevel="0" collapsed="false"/>
    <row r="1150" customFormat="false" ht="129" hidden="false" customHeight="true" outlineLevel="0" collapsed="false"/>
    <row r="1151" customFormat="false" ht="15.75" hidden="false" customHeight="true" outlineLevel="0" collapsed="false"/>
    <row r="1152" customFormat="false" ht="15" hidden="false" customHeight="true" outlineLevel="0" collapsed="false"/>
    <row r="1153" customFormat="false" ht="61.5" hidden="false" customHeight="true" outlineLevel="0" collapsed="false"/>
    <row r="1154" customFormat="false" ht="15" hidden="false" customHeight="true" outlineLevel="0" collapsed="false"/>
    <row r="1155" customFormat="false" ht="14.25" hidden="false" customHeight="true" outlineLevel="0" collapsed="false"/>
    <row r="1156" customFormat="false" ht="100.5" hidden="false" customHeight="true" outlineLevel="0" collapsed="false"/>
    <row r="1157" customFormat="false" ht="14.25" hidden="false" customHeight="true" outlineLevel="0" collapsed="false"/>
    <row r="1158" customFormat="false" ht="15" hidden="false" customHeight="true" outlineLevel="0" collapsed="false"/>
    <row r="1160" customFormat="false" ht="138" hidden="false" customHeight="true" outlineLevel="0" collapsed="false"/>
    <row r="1161" customFormat="false" ht="15" hidden="false" customHeight="true" outlineLevel="0" collapsed="false"/>
    <row r="1163" customFormat="false" ht="227.25" hidden="false" customHeight="true" outlineLevel="0" collapsed="false"/>
    <row r="1164" customFormat="false" ht="15" hidden="false" customHeight="true" outlineLevel="0" collapsed="false"/>
    <row r="1166" customFormat="false" ht="240.75" hidden="false" customHeight="true" outlineLevel="0" collapsed="false"/>
    <row r="1168" customFormat="false" ht="15.75" hidden="false" customHeight="true" outlineLevel="0" collapsed="false"/>
    <row r="1178" customFormat="false" ht="99.75" hidden="false" customHeight="true" outlineLevel="0" collapsed="false"/>
    <row r="1179" customFormat="false" ht="15" hidden="false" customHeight="true" outlineLevel="0" collapsed="false"/>
    <row r="1186" customFormat="false" ht="37.5" hidden="false" customHeight="true" outlineLevel="0" collapsed="false"/>
    <row r="1187" customFormat="false" ht="15" hidden="false" customHeight="true" outlineLevel="0" collapsed="false"/>
    <row r="1188" customFormat="false" ht="15.75" hidden="false" customHeight="true" outlineLevel="0" collapsed="false"/>
    <row r="1189" customFormat="false" ht="118.5" hidden="false" customHeight="true" outlineLevel="0" collapsed="false"/>
    <row r="1190" customFormat="false" ht="15" hidden="false" customHeight="true" outlineLevel="0" collapsed="false"/>
    <row r="1191" customFormat="false" ht="26.25" hidden="false" customHeight="true" outlineLevel="0" collapsed="false"/>
    <row r="1198" customFormat="false" ht="14.25" hidden="false" customHeight="true" outlineLevel="0" collapsed="false"/>
    <row r="1199" customFormat="false" ht="14.25" hidden="false" customHeight="true" outlineLevel="0" collapsed="false"/>
    <row r="1200" customFormat="false" ht="15" hidden="false" customHeight="true" outlineLevel="0" collapsed="false"/>
    <row r="1201" customFormat="false" ht="14.25" hidden="false" customHeight="true" outlineLevel="0" collapsed="false"/>
    <row r="1202" customFormat="false" ht="14.25" hidden="false" customHeight="true" outlineLevel="0" collapsed="false"/>
    <row r="1209" customFormat="false" ht="15.75" hidden="false" customHeight="true" outlineLevel="0" collapsed="false"/>
    <row r="1210" customFormat="false" ht="15.75" hidden="false" customHeight="true" outlineLevel="0" collapsed="false"/>
    <row r="1216" customFormat="false" ht="15.75" hidden="false" customHeight="true" outlineLevel="0" collapsed="false"/>
    <row r="1217" customFormat="false" ht="15.75" hidden="false" customHeight="true" outlineLevel="0" collapsed="false"/>
    <row r="1218" customFormat="false" ht="15" hidden="false" customHeight="true" outlineLevel="0" collapsed="false"/>
    <row r="1220" customFormat="false" ht="14.25" hidden="false" customHeight="true" outlineLevel="0" collapsed="false"/>
    <row r="1221" customFormat="false" ht="99.75" hidden="false" customHeight="true" outlineLevel="0" collapsed="false"/>
    <row r="1222" customFormat="false" ht="15" hidden="false" customHeight="true" outlineLevel="0" collapsed="false"/>
    <row r="1224" customFormat="false" ht="105.75" hidden="false" customHeight="true" outlineLevel="0" collapsed="false"/>
    <row r="1225" customFormat="false" ht="124.5" hidden="false" customHeight="true" outlineLevel="0" collapsed="false"/>
    <row r="1229" customFormat="false" ht="24" hidden="false" customHeight="true" outlineLevel="0" collapsed="false"/>
    <row r="1230" customFormat="false" ht="15" hidden="false" customHeight="true" outlineLevel="0" collapsed="false"/>
    <row r="1244" customFormat="false" ht="15.75" hidden="false" customHeight="true" outlineLevel="0" collapsed="false"/>
    <row r="1245" customFormat="false" ht="15" hidden="false" customHeight="true" outlineLevel="0" collapsed="false"/>
    <row r="1259" customFormat="false" ht="15.75" hidden="false" customHeight="true" outlineLevel="0" collapsed="false"/>
    <row r="1260" customFormat="false" ht="15" hidden="false" customHeight="true" outlineLevel="0" collapsed="false"/>
    <row r="1268" customFormat="false" ht="125.25" hidden="false" customHeight="true" outlineLevel="0" collapsed="false"/>
    <row r="1269" customFormat="false" ht="15" hidden="false" customHeight="true" outlineLevel="0" collapsed="false"/>
    <row r="1271" customFormat="false" ht="132.75" hidden="false" customHeight="true" outlineLevel="0" collapsed="false"/>
    <row r="1275" customFormat="false" ht="15.75" hidden="false" customHeight="true" outlineLevel="0" collapsed="false"/>
    <row r="1276" customFormat="false" ht="143.25" hidden="false" customHeight="true" outlineLevel="0" collapsed="false"/>
    <row r="1277" customFormat="false" ht="23.25" hidden="false" customHeight="true" outlineLevel="0" collapsed="false"/>
    <row r="1278" customFormat="false" ht="15" hidden="false" customHeight="true" outlineLevel="0" collapsed="false"/>
    <row r="1280" customFormat="false" ht="227.25" hidden="false" customHeight="true" outlineLevel="0" collapsed="false"/>
    <row r="1281" customFormat="false" ht="15" hidden="false" customHeight="true" outlineLevel="0" collapsed="false"/>
    <row r="1282" customFormat="false" ht="73.5" hidden="false" customHeight="true" outlineLevel="0" collapsed="false"/>
    <row r="1283" customFormat="false" ht="14.25" hidden="false" customHeight="true" outlineLevel="0" collapsed="false"/>
    <row r="1284" customFormat="false" ht="15" hidden="false" customHeight="true" outlineLevel="0" collapsed="false"/>
    <row r="1310" customFormat="false" ht="183" hidden="false" customHeight="true" outlineLevel="0" collapsed="false"/>
    <row r="1314" customFormat="false" ht="15.75" hidden="false" customHeight="true" outlineLevel="0" collapsed="false"/>
    <row r="1315" customFormat="false" ht="15" hidden="false" customHeight="true" outlineLevel="0" collapsed="false"/>
    <row r="1319" customFormat="false" ht="48" hidden="false" customHeight="true" outlineLevel="0" collapsed="false"/>
    <row r="1322" customFormat="false" ht="40.5" hidden="false" customHeight="true" outlineLevel="0" collapsed="false"/>
    <row r="1323" customFormat="false" ht="227.25" hidden="false" customHeight="true" outlineLevel="0" collapsed="false"/>
    <row r="1324" customFormat="false" ht="15" hidden="false" customHeight="true" outlineLevel="0" collapsed="false"/>
    <row r="1325" customFormat="false" ht="14.25" hidden="false" customHeight="true" outlineLevel="0" collapsed="false"/>
    <row r="1326" customFormat="false" ht="240.75" hidden="false" customHeight="true" outlineLevel="0" collapsed="false"/>
    <row r="1328" customFormat="false" ht="14.25" hidden="false" customHeight="true" outlineLevel="0" collapsed="false"/>
    <row r="1329" customFormat="false" ht="14.25" hidden="false" customHeight="true" outlineLevel="0" collapsed="false"/>
    <row r="1330" customFormat="false" ht="15" hidden="false" customHeight="true" outlineLevel="0" collapsed="false"/>
    <row r="1331" customFormat="false" ht="14.25" hidden="false" customHeight="true" outlineLevel="0" collapsed="false"/>
    <row r="1332" customFormat="false" ht="15" hidden="false" customHeight="true" outlineLevel="0" collapsed="false"/>
    <row r="1336" customFormat="false" ht="15.75" hidden="false" customHeight="true" outlineLevel="0" collapsed="false"/>
    <row r="1337" customFormat="false" ht="15" hidden="false" customHeight="true" outlineLevel="0" collapsed="false"/>
    <row r="1343" customFormat="false" ht="74.25" hidden="false" customHeight="true" outlineLevel="0" collapsed="false"/>
    <row r="1344" customFormat="false" ht="15" hidden="false" customHeight="true" outlineLevel="0" collapsed="false"/>
    <row r="1355" customFormat="false" ht="15.75" hidden="false" customHeight="true" outlineLevel="0" collapsed="false"/>
    <row r="1364" customFormat="false" ht="51" hidden="false" customHeight="true" outlineLevel="0" collapsed="false"/>
    <row r="1365" customFormat="false" ht="15" hidden="false" customHeight="true" outlineLevel="0" collapsed="false"/>
    <row r="1366" customFormat="false" ht="89.25" hidden="false" customHeight="true" outlineLevel="0" collapsed="false"/>
    <row r="1367" customFormat="false" ht="15" hidden="false" customHeight="true" outlineLevel="0" collapsed="false"/>
    <row r="1368" customFormat="false" ht="222" hidden="false" customHeight="true" outlineLevel="0" collapsed="false"/>
    <row r="1370" customFormat="false" ht="51" hidden="false" customHeight="true" outlineLevel="0" collapsed="false"/>
    <row r="1375" customFormat="false" ht="14.25" hidden="false" customHeight="true" outlineLevel="0" collapsed="false"/>
    <row r="1376" customFormat="false" ht="15" hidden="false" customHeight="true" outlineLevel="0" collapsed="false"/>
    <row r="1378" customFormat="false" ht="127.5" hidden="false" customHeight="true" outlineLevel="0" collapsed="false"/>
    <row r="1383" customFormat="false" ht="14.25" hidden="false" customHeight="true" outlineLevel="0" collapsed="false"/>
    <row r="1384" customFormat="false" ht="15" hidden="false" customHeight="true" outlineLevel="0" collapsed="false"/>
    <row r="1386" customFormat="false" ht="14.25" hidden="false" customHeight="true" outlineLevel="0" collapsed="false"/>
    <row r="1387" customFormat="false" ht="14.25" hidden="false" customHeight="true" outlineLevel="0" collapsed="false"/>
    <row r="1388" customFormat="false" ht="14.25" hidden="false" customHeight="true" outlineLevel="0" collapsed="false"/>
    <row r="1389" customFormat="false" ht="15" hidden="false" customHeight="true" outlineLevel="0" collapsed="false"/>
    <row r="1390" customFormat="false" ht="14.25" hidden="false" customHeight="true" outlineLevel="0" collapsed="false"/>
    <row r="1394" customFormat="false" ht="14.25" hidden="false" customHeight="true" outlineLevel="0" collapsed="false"/>
    <row r="1395" customFormat="false" ht="15.75" hidden="false" customHeight="true" outlineLevel="0" collapsed="false"/>
    <row r="1402" customFormat="false" ht="213.75" hidden="false" customHeight="true" outlineLevel="0" collapsed="false"/>
    <row r="1405" customFormat="false" ht="35.25" hidden="false" customHeight="true" outlineLevel="0" collapsed="false"/>
    <row r="1415" customFormat="false" ht="15.75" hidden="false" customHeight="true" outlineLevel="0" collapsed="false"/>
    <row r="1417" customFormat="false" ht="14.25" hidden="false" customHeight="true" outlineLevel="0" collapsed="false"/>
    <row r="1418" customFormat="false" ht="15" hidden="false" customHeight="true" outlineLevel="0" collapsed="false"/>
    <row r="1426" customFormat="false" ht="393.75" hidden="false" customHeight="true" outlineLevel="0" collapsed="false"/>
    <row r="1432" customFormat="false" ht="14.25" hidden="false" customHeight="true" outlineLevel="0" collapsed="false"/>
    <row r="1434" customFormat="false" ht="14.25" hidden="false" customHeight="true" outlineLevel="0" collapsed="false"/>
    <row r="1435" customFormat="false" ht="15" hidden="false" customHeight="true" outlineLevel="0" collapsed="false"/>
    <row r="1436" customFormat="false" ht="14.25" hidden="false" customHeight="true" outlineLevel="0" collapsed="false"/>
    <row r="1437" customFormat="false" ht="14.25" hidden="false" customHeight="true" outlineLevel="0" collapsed="false"/>
    <row r="1438" customFormat="false" ht="14.25" hidden="false" customHeight="true" outlineLevel="0" collapsed="false"/>
    <row r="1439" customFormat="false" ht="15" hidden="false" customHeight="true" outlineLevel="0" collapsed="false"/>
    <row r="1442" customFormat="false" ht="28.5" hidden="false" customHeight="true" outlineLevel="0" collapsed="false"/>
    <row r="1443" customFormat="false" ht="15" hidden="false" customHeight="true" outlineLevel="0" collapsed="false"/>
    <row r="1451" customFormat="false" ht="15.75" hidden="false" customHeight="true" outlineLevel="0" collapsed="false"/>
    <row r="1452" customFormat="false" ht="15" hidden="false" customHeight="true" outlineLevel="0" collapsed="false"/>
    <row r="1454" customFormat="false" ht="15.75" hidden="false" customHeight="true" outlineLevel="0" collapsed="false"/>
    <row r="1459" customFormat="false" ht="86.25" hidden="false" customHeight="true" outlineLevel="0" collapsed="false"/>
    <row r="1461" customFormat="false" ht="35.25" hidden="false" customHeight="true" outlineLevel="0" collapsed="false"/>
    <row r="1464" customFormat="false" ht="14.25" hidden="false" customHeight="true" outlineLevel="0" collapsed="false"/>
    <row r="1474" customFormat="false" ht="63.75" hidden="false" customHeight="true" outlineLevel="0" collapsed="false"/>
    <row r="1475" customFormat="false" ht="15" hidden="false" customHeight="true" outlineLevel="0" collapsed="false"/>
    <row r="1477" customFormat="false" ht="117" hidden="false" customHeight="true" outlineLevel="0" collapsed="false"/>
    <row r="1478" customFormat="false" ht="15" hidden="false" customHeight="true" outlineLevel="0" collapsed="false"/>
    <row r="1485" customFormat="false" ht="14.25" hidden="false" customHeight="true" outlineLevel="0" collapsed="false"/>
    <row r="1486" customFormat="false" ht="14.25" hidden="false" customHeight="true" outlineLevel="0" collapsed="false"/>
    <row r="1487" customFormat="false" ht="14.25" hidden="false" customHeight="true" outlineLevel="0" collapsed="false"/>
    <row r="1488" customFormat="false" ht="15" hidden="false" customHeight="true" outlineLevel="0" collapsed="false"/>
    <row r="1491" customFormat="false" ht="14.25" hidden="false" customHeight="true" outlineLevel="0" collapsed="false"/>
    <row r="1492" customFormat="false" ht="15" hidden="false" customHeight="true" outlineLevel="0" collapsed="false"/>
    <row r="1505" customFormat="false" ht="15.75" hidden="false" customHeight="true" outlineLevel="0" collapsed="false"/>
    <row r="1506" customFormat="false" ht="15.75" hidden="false" customHeight="true" outlineLevel="0" collapsed="false"/>
    <row r="1507" customFormat="false" ht="15" hidden="false" customHeight="true" outlineLevel="0" collapsed="false"/>
    <row r="1513" customFormat="false" ht="100.5" hidden="false" customHeight="true" outlineLevel="0" collapsed="false"/>
    <row r="1514" customFormat="false" ht="14.25" hidden="false" customHeight="true" outlineLevel="0" collapsed="false"/>
    <row r="1517" customFormat="false" ht="35.25" hidden="false" customHeight="true" outlineLevel="0" collapsed="false"/>
    <row r="1527" customFormat="false" ht="14.25" hidden="false" customHeight="true" outlineLevel="0" collapsed="false"/>
    <row r="1528" customFormat="false" ht="14.25" hidden="false" customHeight="true" outlineLevel="0" collapsed="false"/>
    <row r="1529" customFormat="false" ht="14.25" hidden="false" customHeight="true" outlineLevel="0" collapsed="false"/>
    <row r="1530" customFormat="false" ht="14.25" hidden="false" customHeight="true" outlineLevel="0" collapsed="false"/>
    <row r="1531" customFormat="false" ht="15" hidden="false" customHeight="true" outlineLevel="0" collapsed="false"/>
    <row r="1544" customFormat="false" ht="14.25" hidden="false" customHeight="true" outlineLevel="0" collapsed="false"/>
    <row r="1545" customFormat="false" ht="15.75" hidden="false" customHeight="true" outlineLevel="0" collapsed="false"/>
    <row r="1546" customFormat="false" ht="15" hidden="false" customHeight="true" outlineLevel="0" collapsed="false"/>
    <row r="1552" customFormat="false" ht="201" hidden="false" customHeight="true" outlineLevel="0" collapsed="false"/>
    <row r="1563" customFormat="false" ht="14.25" hidden="false" customHeight="true" outlineLevel="0" collapsed="false"/>
    <row r="1564" customFormat="false" ht="15.75" hidden="false" customHeight="true" outlineLevel="0" collapsed="false"/>
    <row r="1565" customFormat="false" ht="14.25" hidden="false" customHeight="true" outlineLevel="0" collapsed="false"/>
    <row r="1566" customFormat="false" ht="15" hidden="false" customHeight="true" outlineLevel="0" collapsed="false"/>
    <row r="1567" customFormat="false" ht="14.25" hidden="false" customHeight="true" outlineLevel="0" collapsed="false"/>
    <row r="1569" customFormat="false" ht="15.75" hidden="false" customHeight="true" outlineLevel="0" collapsed="false"/>
    <row r="1570" customFormat="false" ht="15" hidden="false" customHeight="true" outlineLevel="0" collapsed="false"/>
    <row r="1575" customFormat="false" ht="35.25" hidden="false" customHeight="true" outlineLevel="0" collapsed="false"/>
    <row r="1594" customFormat="false" ht="15.75" hidden="false" customHeight="true" outlineLevel="0" collapsed="false"/>
    <row r="1596" customFormat="false" ht="14.25" hidden="false" customHeight="true" outlineLevel="0" collapsed="false"/>
    <row r="1597" customFormat="false" ht="15" hidden="false" customHeight="true" outlineLevel="0" collapsed="false"/>
    <row r="1598" customFormat="false" ht="14.25" hidden="false" customHeight="true" outlineLevel="0" collapsed="false"/>
    <row r="1599" customFormat="false" ht="14.25" hidden="false" customHeight="true" outlineLevel="0" collapsed="false"/>
    <row r="1600" customFormat="false" ht="14.25" hidden="false" customHeight="true" outlineLevel="0" collapsed="false"/>
    <row r="1601" customFormat="false" ht="75" hidden="false" customHeight="true" outlineLevel="0" collapsed="false"/>
    <row r="1602" customFormat="false" ht="14.25" hidden="false" customHeight="true" outlineLevel="0" collapsed="false"/>
    <row r="1603" customFormat="false" ht="14.25" hidden="false" customHeight="true" outlineLevel="0" collapsed="false"/>
    <row r="1613" customFormat="false" ht="15.75" hidden="false" customHeight="true" outlineLevel="0" collapsed="false"/>
    <row r="1614" customFormat="false" ht="15" hidden="false" customHeight="true" outlineLevel="0" collapsed="false"/>
    <row r="1616" customFormat="false" ht="14.25" hidden="false" customHeight="true" outlineLevel="0" collapsed="false"/>
    <row r="1617" customFormat="false" ht="15.75" hidden="false" customHeight="true" outlineLevel="0" collapsed="false"/>
    <row r="1618" customFormat="false" ht="15" hidden="false" customHeight="true" outlineLevel="0" collapsed="false"/>
    <row r="1623" customFormat="false" ht="14.25" hidden="false" customHeight="true" outlineLevel="0" collapsed="false"/>
    <row r="1624" customFormat="false" ht="73.5" hidden="false" customHeight="true" outlineLevel="0" collapsed="false"/>
    <row r="1627" customFormat="false" ht="24" hidden="false" customHeight="true" outlineLevel="0" collapsed="false"/>
    <row r="1628" customFormat="false" ht="15" hidden="false" customHeight="true" outlineLevel="0" collapsed="false"/>
    <row r="1636" customFormat="false" ht="14.25" hidden="false" customHeight="true" outlineLevel="0" collapsed="false"/>
    <row r="1637" customFormat="false" ht="14.25" hidden="false" customHeight="true" outlineLevel="0" collapsed="false"/>
    <row r="1638" customFormat="false" ht="15" hidden="false" customHeight="true" outlineLevel="0" collapsed="false"/>
    <row r="1640" customFormat="false" ht="15.75" hidden="false" customHeight="true" outlineLevel="0" collapsed="false"/>
    <row r="1641" customFormat="false" ht="15" hidden="false" customHeight="true" outlineLevel="0" collapsed="false"/>
    <row r="1644" customFormat="false" ht="14.25" hidden="false" customHeight="true" outlineLevel="0" collapsed="false"/>
    <row r="1645" customFormat="false" ht="15" hidden="false" customHeight="true" outlineLevel="0" collapsed="false"/>
    <row r="1647" customFormat="false" ht="73.5" hidden="false" customHeight="true" outlineLevel="0" collapsed="false"/>
    <row r="1662" customFormat="false" ht="15.75" hidden="false" customHeight="true" outlineLevel="0" collapsed="false"/>
    <row r="1663" customFormat="false" ht="15.75" hidden="false" customHeight="true" outlineLevel="0" collapsed="false"/>
    <row r="1670" customFormat="false" ht="73.5" hidden="false" customHeight="true" outlineLevel="0" collapsed="false"/>
    <row r="1677" customFormat="false" ht="51" hidden="false" customHeight="true" outlineLevel="0" collapsed="false"/>
    <row r="1680" customFormat="false" ht="261.75" hidden="false" customHeight="true" outlineLevel="0" collapsed="false"/>
    <row r="1681" customFormat="false" ht="15" hidden="false" customHeight="true" outlineLevel="0" collapsed="false"/>
    <row r="1686" customFormat="false" ht="14.25" hidden="false" customHeight="true" outlineLevel="0" collapsed="false"/>
    <row r="1687" customFormat="false" ht="15" hidden="false" customHeight="true" outlineLevel="0" collapsed="false"/>
    <row r="1713" customFormat="false" ht="15.75" hidden="false" customHeight="true" outlineLevel="0" collapsed="false"/>
    <row r="1716" customFormat="false" ht="14.25" hidden="false" customHeight="true" outlineLevel="0" collapsed="false"/>
    <row r="1717" customFormat="false" ht="15" hidden="false" customHeight="true" outlineLevel="0" collapsed="false"/>
    <row r="1723" customFormat="false" ht="14.25" hidden="false" customHeight="true" outlineLevel="0" collapsed="false"/>
    <row r="1724" customFormat="false" ht="15" hidden="false" customHeight="true" outlineLevel="0" collapsed="false"/>
    <row r="1725" customFormat="false" ht="209.25" hidden="false" customHeight="true" outlineLevel="0" collapsed="false"/>
    <row r="1734" customFormat="false" ht="144.75" hidden="false" customHeight="true" outlineLevel="0" collapsed="false"/>
    <row r="1742" customFormat="false" ht="14.25" hidden="false" customHeight="true" outlineLevel="0" collapsed="false"/>
    <row r="1743" customFormat="false" ht="14.25" hidden="false" customHeight="true" outlineLevel="0" collapsed="false"/>
    <row r="1746" customFormat="false" ht="14.25" hidden="false" customHeight="true" outlineLevel="0" collapsed="false"/>
    <row r="1747" customFormat="false" ht="14.25" hidden="false" customHeight="true" outlineLevel="0" collapsed="false"/>
    <row r="1748" customFormat="false" ht="14.25" hidden="false" customHeight="true" outlineLevel="0" collapsed="false"/>
    <row r="1749" customFormat="false" ht="15" hidden="false" customHeight="true" outlineLevel="0" collapsed="false"/>
    <row r="1753" customFormat="false" ht="14.25" hidden="false" customHeight="true" outlineLevel="0" collapsed="false"/>
    <row r="1761" customFormat="false" ht="15.75" hidden="false" customHeight="true" outlineLevel="0" collapsed="false"/>
    <row r="1785" customFormat="false" ht="14.25" hidden="false" customHeight="true" outlineLevel="0" collapsed="false"/>
    <row r="1786" customFormat="false" ht="15" hidden="false" customHeight="true" outlineLevel="0" collapsed="false"/>
    <row r="1791" customFormat="false" ht="14.25" hidden="false" customHeight="true" outlineLevel="0" collapsed="false"/>
    <row r="1792" customFormat="false" ht="14.25" hidden="false" customHeight="true" outlineLevel="0" collapsed="false"/>
    <row r="1793" customFormat="false" ht="15" hidden="false" customHeight="true" outlineLevel="0" collapsed="false"/>
    <row r="1794" customFormat="false" ht="14.25" hidden="false" customHeight="true" outlineLevel="0" collapsed="false"/>
    <row r="1795" customFormat="false" ht="14.25" hidden="false" customHeight="true" outlineLevel="0" collapsed="false"/>
    <row r="1799" customFormat="false" ht="14.25" hidden="false" customHeight="true" outlineLevel="0" collapsed="false"/>
    <row r="1810" customFormat="false" ht="15.75" hidden="false" customHeight="true" outlineLevel="0" collapsed="false"/>
    <row r="1820" customFormat="false" ht="14.25" hidden="false" customHeight="true" outlineLevel="0" collapsed="false"/>
    <row r="1830" customFormat="false" ht="90" hidden="false" customHeight="true" outlineLevel="0" collapsed="false"/>
    <row r="1844" customFormat="false" ht="14.25" hidden="false" customHeight="true" outlineLevel="0" collapsed="false"/>
    <row r="1845" customFormat="false" ht="15" hidden="false" customHeight="true" outlineLevel="0" collapsed="false"/>
    <row r="1847" customFormat="false" ht="14.25" hidden="false" customHeight="true" outlineLevel="0" collapsed="false"/>
    <row r="1848" customFormat="false" ht="14.25" hidden="false" customHeight="true" outlineLevel="0" collapsed="false"/>
    <row r="1852" customFormat="false" ht="14.25" hidden="false" customHeight="true" outlineLevel="0" collapsed="false"/>
    <row r="1858" customFormat="false" ht="15.75" hidden="false" customHeight="true" outlineLevel="0" collapsed="false"/>
    <row r="1882" customFormat="false" ht="14.25" hidden="false" customHeight="true" outlineLevel="0" collapsed="false"/>
    <row r="1883" customFormat="false" ht="15" hidden="false" customHeight="true" outlineLevel="0" collapsed="false"/>
    <row r="1892" customFormat="false" ht="117" hidden="false" customHeight="true" outlineLevel="0" collapsed="false"/>
    <row r="1902" customFormat="false" ht="14.25" hidden="false" customHeight="true" outlineLevel="0" collapsed="false"/>
    <row r="1903" customFormat="false" ht="14.25" hidden="false" customHeight="true" outlineLevel="0" collapsed="false"/>
    <row r="1904" customFormat="false" ht="14.25" hidden="false" customHeight="true" outlineLevel="0" collapsed="false"/>
    <row r="1905" customFormat="false" ht="14.25" hidden="false" customHeight="true" outlineLevel="0" collapsed="false"/>
    <row r="1906" customFormat="false" ht="14.25" hidden="false" customHeight="true" outlineLevel="0" collapsed="false"/>
    <row r="1907" customFormat="false" ht="15" hidden="false" customHeight="true" outlineLevel="0" collapsed="false"/>
    <row r="1909" customFormat="false" ht="15.75" hidden="false" customHeight="true" outlineLevel="0" collapsed="false"/>
    <row r="1910" customFormat="false" ht="14.25" hidden="false" customHeight="true" outlineLevel="0" collapsed="false"/>
    <row r="1916" customFormat="false" ht="48" hidden="false" customHeight="true" outlineLevel="0" collapsed="false"/>
    <row r="1930" customFormat="false" ht="14.25" hidden="false" customHeight="true" outlineLevel="0" collapsed="false"/>
    <row r="1931" customFormat="false" ht="15" hidden="false" customHeight="true" outlineLevel="0" collapsed="false"/>
    <row r="1939" customFormat="false" ht="209.25" hidden="false" customHeight="true" outlineLevel="0" collapsed="false"/>
    <row r="1940" customFormat="false" ht="15" hidden="false" customHeight="true" outlineLevel="0" collapsed="false"/>
    <row r="1944" customFormat="false" ht="14.25" hidden="false" customHeight="true" outlineLevel="0" collapsed="false"/>
    <row r="1945" customFormat="false" ht="14.25" hidden="false" customHeight="true" outlineLevel="0" collapsed="false"/>
    <row r="1946" customFormat="false" ht="15" hidden="false" customHeight="true" outlineLevel="0" collapsed="false"/>
    <row r="1947" customFormat="false" ht="14.25" hidden="false" customHeight="true" outlineLevel="0" collapsed="false"/>
    <row r="1948" customFormat="false" ht="14.25" hidden="false" customHeight="true" outlineLevel="0" collapsed="false"/>
    <row r="1949" customFormat="false" ht="14.25" hidden="false" customHeight="true" outlineLevel="0" collapsed="false"/>
    <row r="1950" customFormat="false" ht="15" hidden="false" customHeight="true" outlineLevel="0" collapsed="false"/>
    <row r="1962" customFormat="false" ht="14.25" hidden="false" customHeight="true" outlineLevel="0" collapsed="false"/>
    <row r="1963" customFormat="false" ht="15" hidden="false" customHeight="true" outlineLevel="0" collapsed="false"/>
    <row r="1965" customFormat="false" ht="15.75" hidden="false" customHeight="true" outlineLevel="0" collapsed="false"/>
    <row r="1974" customFormat="false" ht="14.25" hidden="false" customHeight="true" outlineLevel="0" collapsed="false"/>
    <row r="1976" customFormat="false" ht="14.25" hidden="false" customHeight="true" outlineLevel="0" collapsed="false"/>
    <row r="1977" customFormat="false" ht="14.25" hidden="false" customHeight="true" outlineLevel="0" collapsed="false"/>
    <row r="1978" customFormat="false" ht="14.25" hidden="false" customHeight="true" outlineLevel="0" collapsed="false"/>
    <row r="1979" customFormat="false" ht="15" hidden="false" customHeight="true" outlineLevel="0" collapsed="false"/>
    <row r="1980" customFormat="false" ht="14.25" hidden="false" customHeight="true" outlineLevel="0" collapsed="false"/>
    <row r="1981" customFormat="false" ht="15" hidden="false" customHeight="true" outlineLevel="0" collapsed="false"/>
    <row r="1994" customFormat="false" ht="14.25" hidden="false" customHeight="true" outlineLevel="0" collapsed="false"/>
    <row r="2003" customFormat="false" ht="77.25" hidden="false" customHeight="true" outlineLevel="0" collapsed="false"/>
    <row r="2008" customFormat="false" ht="14.25" hidden="false" customHeight="true" outlineLevel="0" collapsed="false"/>
    <row r="2009" customFormat="false" ht="14.25" hidden="false" customHeight="true" outlineLevel="0" collapsed="false"/>
    <row r="2010" customFormat="false" ht="14.25" hidden="false" customHeight="true" outlineLevel="0" collapsed="false"/>
    <row r="2011" customFormat="false" ht="14.25" hidden="false" customHeight="true" outlineLevel="0" collapsed="false"/>
    <row r="2012" customFormat="false" ht="15" hidden="false" customHeight="true" outlineLevel="0" collapsed="false"/>
    <row r="2013" customFormat="false" ht="14.25" hidden="false" customHeight="true" outlineLevel="0" collapsed="false"/>
    <row r="2014" customFormat="false" ht="15.75" hidden="false" customHeight="true" outlineLevel="0" collapsed="false"/>
    <row r="2035" customFormat="false" ht="77.25" hidden="false" customHeight="true" outlineLevel="0" collapsed="false"/>
    <row r="2036" customFormat="false" ht="15" hidden="false" customHeight="true" outlineLevel="0" collapsed="false"/>
    <row r="2043" customFormat="false" ht="14.25" hidden="false" customHeight="true" outlineLevel="0" collapsed="false"/>
    <row r="2044" customFormat="false" ht="14.25" hidden="false" customHeight="true" outlineLevel="0" collapsed="false"/>
    <row r="2045" customFormat="false" ht="14.25" hidden="false" customHeight="true" outlineLevel="0" collapsed="false"/>
    <row r="2046" customFormat="false" ht="15" hidden="false" customHeight="true" outlineLevel="0" collapsed="false"/>
    <row r="2058" customFormat="false" ht="14.25" hidden="false" customHeight="true" outlineLevel="0" collapsed="false"/>
    <row r="2067" customFormat="false" ht="77.25" hidden="false" customHeight="true" outlineLevel="0" collapsed="false"/>
    <row r="2068" customFormat="false" ht="15" hidden="false" customHeight="true" outlineLevel="0" collapsed="false"/>
    <row r="2070" customFormat="false" ht="15.75" hidden="false" customHeight="true" outlineLevel="0" collapsed="false"/>
    <row r="2072" customFormat="false" ht="14.25" hidden="false" customHeight="true" outlineLevel="0" collapsed="false"/>
    <row r="2073" customFormat="false" ht="15" hidden="false" customHeight="true" outlineLevel="0" collapsed="false"/>
    <row r="2074" customFormat="false" ht="14.25" hidden="false" customHeight="true" outlineLevel="0" collapsed="false"/>
    <row r="2075" customFormat="false" ht="15" hidden="false" customHeight="true" outlineLevel="0" collapsed="false"/>
    <row r="2076" customFormat="false" ht="14.25" hidden="false" customHeight="true" outlineLevel="0" collapsed="false"/>
    <row r="2077" customFormat="false" ht="14.25" hidden="false" customHeight="true" outlineLevel="0" collapsed="false"/>
    <row r="2079" customFormat="false" ht="22.5" hidden="false" customHeight="true" outlineLevel="0" collapsed="false"/>
    <row r="2099" customFormat="false" ht="77.25" hidden="false" customHeight="true" outlineLevel="0" collapsed="false"/>
    <row r="2104" customFormat="false" ht="14.25" hidden="false" customHeight="true" outlineLevel="0" collapsed="false"/>
    <row r="2105" customFormat="false" ht="14.25" hidden="false" customHeight="true" outlineLevel="0" collapsed="false"/>
    <row r="2106" customFormat="false" ht="15" hidden="false" customHeight="true" outlineLevel="0" collapsed="false"/>
    <row r="2108" customFormat="false" ht="14.25" hidden="false" customHeight="true" outlineLevel="0" collapsed="false"/>
    <row r="2109" customFormat="false" ht="14.25" hidden="false" customHeight="true" outlineLevel="0" collapsed="false"/>
    <row r="2119" customFormat="false" ht="15.75" hidden="false" customHeight="true" outlineLevel="0" collapsed="false"/>
    <row r="2122" customFormat="false" ht="14.25" hidden="false" customHeight="true" outlineLevel="0" collapsed="false"/>
    <row r="2171" customFormat="false" ht="15.75" hidden="false" customHeight="true" outlineLevel="0" collapsed="false"/>
    <row r="2226" customFormat="false" ht="15.75" hidden="false" customHeight="true" outlineLevel="0" collapsed="false"/>
    <row r="2277" customFormat="false" ht="15.75" hidden="false" customHeight="true" outlineLevel="0" collapsed="false"/>
    <row r="2325" customFormat="false" ht="15.75" hidden="false" customHeight="true" outlineLevel="0" collapsed="false"/>
    <row r="2374" customFormat="false" ht="15.75" hidden="false" customHeight="true" outlineLevel="0" collapsed="false"/>
    <row r="2422" customFormat="false" ht="15.75" hidden="false" customHeight="true" outlineLevel="0" collapsed="false"/>
    <row r="2472" customFormat="false" ht="15.75" hidden="false" customHeight="true" outlineLevel="0" collapsed="false"/>
    <row r="2479" customFormat="false" ht="22.5" hidden="false" customHeight="true" outlineLevel="0" collapsed="false"/>
    <row r="2482" customFormat="false" ht="22.5" hidden="false" customHeight="true" outlineLevel="0" collapsed="false"/>
    <row r="2529" customFormat="false" ht="15.75" hidden="false" customHeight="true" outlineLevel="0" collapsed="false"/>
    <row r="2536" customFormat="false" ht="22.5" hidden="false" customHeight="true" outlineLevel="0" collapsed="false"/>
    <row r="2581" customFormat="false" ht="15.75" hidden="false" customHeight="true" outlineLevel="0" collapsed="false"/>
    <row r="2592" customFormat="false" ht="22.5" hidden="false" customHeight="true" outlineLevel="0" collapsed="false"/>
    <row r="2640" customFormat="false" ht="15.75" hidden="false" customHeight="true" outlineLevel="0" collapsed="false"/>
    <row r="2690" customFormat="false" ht="15.75" hidden="false" customHeight="true" outlineLevel="0" collapsed="false"/>
    <row r="2746" customFormat="false" ht="15.75" hidden="false" customHeight="true" outlineLevel="0" collapsed="false"/>
    <row r="2802" customFormat="false" ht="15.75" hidden="false" customHeight="true" outlineLevel="0" collapsed="false"/>
    <row r="2857" customFormat="false" ht="15.75" hidden="false" customHeight="true" outlineLevel="0" collapsed="false"/>
    <row r="2913" customFormat="false" ht="15.75" hidden="false" customHeight="true" outlineLevel="0" collapsed="false"/>
    <row r="2969" customFormat="false" ht="15.75" hidden="false" customHeight="true" outlineLevel="0" collapsed="false"/>
    <row r="3019" customFormat="false" ht="15.75" hidden="false" customHeight="true" outlineLevel="0" collapsed="false"/>
    <row r="3061" customFormat="false" ht="15.75" hidden="false" customHeight="true" outlineLevel="0" collapsed="false"/>
    <row r="3110" customFormat="false" ht="15.75" hidden="false" customHeight="true" outlineLevel="0" collapsed="false"/>
    <row r="3168" customFormat="false" ht="15.75" hidden="false" customHeight="true" outlineLevel="0" collapsed="false"/>
    <row r="3177" customFormat="false" ht="22.5" hidden="false" customHeight="true" outlineLevel="0" collapsed="false"/>
    <row r="3221" customFormat="false" ht="15.75" hidden="false" customHeight="true" outlineLevel="0" collapsed="false"/>
    <row r="3271" customFormat="false" ht="15.75" hidden="false" customHeight="true" outlineLevel="0" collapsed="false"/>
    <row r="3323" customFormat="false" ht="15.75" hidden="false" customHeight="true" outlineLevel="0" collapsed="false"/>
    <row r="3371" customFormat="false" ht="15.75" hidden="false" customHeight="true" outlineLevel="0" collapsed="false"/>
    <row r="3381" customFormat="false" ht="35.25" hidden="false" customHeight="true" outlineLevel="0" collapsed="false"/>
    <row r="3428" customFormat="false" ht="15.75" hidden="false" customHeight="true" outlineLevel="0" collapsed="false"/>
    <row r="3478" customFormat="false" ht="15.75" hidden="false" customHeight="true" outlineLevel="0" collapsed="false"/>
    <row r="3527" customFormat="false" ht="15.75" hidden="false" customHeight="true" outlineLevel="0" collapsed="false"/>
    <row r="3585" customFormat="false" ht="15.75" hidden="false" customHeight="true" outlineLevel="0" collapsed="false"/>
    <row r="3634" customFormat="false" ht="15.75" hidden="false" customHeight="true" outlineLevel="0" collapsed="false"/>
    <row r="3641" customFormat="false" ht="22.5" hidden="false" customHeight="true" outlineLevel="0" collapsed="false"/>
    <row r="3684" customFormat="false" ht="15.75" hidden="false" customHeight="true" outlineLevel="0" collapsed="false"/>
    <row r="3691" customFormat="false" ht="48" hidden="false" customHeight="true" outlineLevel="0" collapsed="false"/>
    <row r="3731" customFormat="false" ht="15.75" hidden="false" customHeight="true" outlineLevel="0" collapsed="false"/>
    <row r="3738" customFormat="false" ht="60.75" hidden="false" customHeight="true" outlineLevel="0" collapsed="false"/>
    <row r="3778" customFormat="false" ht="15.75" hidden="false" customHeight="true" outlineLevel="0" collapsed="false"/>
    <row r="3785" customFormat="false" ht="60.75" hidden="false" customHeight="true" outlineLevel="0" collapsed="false"/>
    <row r="3825" customFormat="false" ht="15.75" hidden="false" customHeight="true" outlineLevel="0" collapsed="false"/>
    <row r="3875" customFormat="false" ht="15.75" hidden="false" customHeight="true" outlineLevel="0" collapsed="false"/>
    <row r="3882" customFormat="false" ht="73.5" hidden="false" customHeight="true" outlineLevel="0" collapsed="false"/>
    <row r="3931" customFormat="false" ht="15.75" hidden="false" customHeight="true" outlineLevel="0" collapsed="false"/>
    <row r="3940" customFormat="false" ht="35.25" hidden="false" customHeight="true" outlineLevel="0" collapsed="false"/>
    <row r="3980" customFormat="false" ht="15.75" hidden="false" customHeight="true" outlineLevel="0" collapsed="false"/>
    <row r="3987" customFormat="false" ht="48" hidden="false" customHeight="true" outlineLevel="0" collapsed="false"/>
    <row r="4027" customFormat="false" ht="15.75" hidden="false" customHeight="true" outlineLevel="0" collapsed="false"/>
    <row r="4033" customFormat="false" ht="60.75" hidden="false" customHeight="true" outlineLevel="0" collapsed="false"/>
    <row r="4073" customFormat="false" ht="15.75" hidden="false" customHeight="true" outlineLevel="0" collapsed="false"/>
    <row r="4084" customFormat="false" ht="99" hidden="false" customHeight="true" outlineLevel="0" collapsed="false"/>
    <row r="4124" customFormat="false" ht="15.75" hidden="false" customHeight="true" outlineLevel="0" collapsed="false"/>
    <row r="4174" customFormat="false" ht="15.75" hidden="false" customHeight="true" outlineLevel="0" collapsed="false"/>
    <row r="4223" customFormat="false" ht="15.75" hidden="false" customHeight="true" outlineLevel="0" collapsed="false"/>
    <row r="4231" customFormat="false" ht="73.5" hidden="false" customHeight="true" outlineLevel="0" collapsed="false"/>
    <row r="4234" customFormat="false" ht="22.5" hidden="false" customHeight="true" outlineLevel="0" collapsed="false"/>
    <row r="4280" customFormat="false" ht="15.75" hidden="false" customHeight="true" outlineLevel="0" collapsed="false"/>
    <row r="4289" customFormat="false" ht="111.75" hidden="false" customHeight="true" outlineLevel="0" collapsed="false"/>
    <row r="4329" customFormat="false" ht="15.75" hidden="false" customHeight="true" outlineLevel="0" collapsed="false"/>
    <row r="4377" customFormat="false" ht="15.75" hidden="false" customHeight="true" outlineLevel="0" collapsed="false"/>
    <row r="4388" customFormat="false" ht="86.25" hidden="false" customHeight="true" outlineLevel="0" collapsed="false"/>
    <row r="4427" customFormat="false" ht="15.75" hidden="false" customHeight="true" outlineLevel="0" collapsed="false"/>
    <row r="4477" customFormat="false" ht="15.75" hidden="false" customHeight="true" outlineLevel="0" collapsed="false"/>
    <row r="4526" customFormat="false" ht="15.75" hidden="false" customHeight="true" outlineLevel="0" collapsed="false"/>
    <row r="4574" customFormat="false" ht="15.75" hidden="false" customHeight="true" outlineLevel="0" collapsed="false"/>
    <row r="4585" customFormat="false" ht="60.75" hidden="false" customHeight="true" outlineLevel="0" collapsed="false"/>
    <row r="4631" customFormat="false" ht="15.75" hidden="false" customHeight="true" outlineLevel="0" collapsed="false"/>
    <row r="4688" customFormat="false" ht="15.75" hidden="false" customHeight="true" outlineLevel="0" collapsed="false"/>
    <row r="4699" customFormat="false" ht="60.75" hidden="false" customHeight="true" outlineLevel="0" collapsed="false"/>
    <row r="4738" customFormat="false" ht="15.75" hidden="false" customHeight="true" outlineLevel="0" collapsed="false"/>
    <row r="4787" customFormat="false" ht="15.75" hidden="false" customHeight="true" outlineLevel="0" collapsed="false"/>
    <row r="4838" customFormat="false" ht="15.75" hidden="false" customHeight="true" outlineLevel="0" collapsed="false"/>
    <row r="4845" customFormat="false" ht="124.5" hidden="false" customHeight="true" outlineLevel="0" collapsed="false"/>
    <row r="4848" customFormat="false" ht="48" hidden="false" customHeight="true" outlineLevel="0" collapsed="false"/>
    <row r="4896" customFormat="false" ht="15.75" hidden="false" customHeight="true" outlineLevel="0" collapsed="false"/>
    <row r="4939" customFormat="false" ht="15.75" hidden="false" customHeight="true" outlineLevel="0" collapsed="false"/>
    <row r="4946" customFormat="false" ht="60.75" hidden="false" customHeight="true" outlineLevel="0" collapsed="false"/>
    <row r="4993" customFormat="false" ht="15.75" hidden="false" customHeight="true" outlineLevel="0" collapsed="false"/>
    <row r="5041" customFormat="false" ht="15.75" hidden="false" customHeight="true" outlineLevel="0" collapsed="false"/>
    <row r="5073" customFormat="false" ht="15.75" hidden="false" customHeight="true" outlineLevel="0" collapsed="false"/>
    <row r="5098" customFormat="false" ht="15.75" hidden="false" customHeight="true" outlineLevel="0" collapsed="false"/>
    <row r="5105" customFormat="false" ht="35.25" hidden="false" customHeight="true" outlineLevel="0" collapsed="false"/>
    <row r="5145" customFormat="false" ht="15.75" hidden="false" customHeight="true" outlineLevel="0" collapsed="false"/>
    <row r="5153" customFormat="false" ht="48" hidden="false" customHeight="true" outlineLevel="0" collapsed="false"/>
    <row r="5195" customFormat="false" ht="15.75" hidden="false" customHeight="true" outlineLevel="0" collapsed="false"/>
    <row r="5203" customFormat="false" ht="162.75" hidden="false" customHeight="true" outlineLevel="0" collapsed="false"/>
    <row r="5243" customFormat="false" ht="15.75" hidden="false" customHeight="true" outlineLevel="0" collapsed="false"/>
    <row r="5251" customFormat="false" ht="35.25" hidden="false" customHeight="true" outlineLevel="0" collapsed="false"/>
    <row r="5295" customFormat="false" ht="15.75" hidden="false" customHeight="true" outlineLevel="0" collapsed="false"/>
    <row r="5303" customFormat="false" ht="35.25" hidden="false" customHeight="true" outlineLevel="0" collapsed="false"/>
    <row r="5342" customFormat="false" ht="15.75" hidden="false" customHeight="true" outlineLevel="0" collapsed="false"/>
    <row r="5350" customFormat="false" ht="86.25" hidden="false" customHeight="true" outlineLevel="0" collapsed="false"/>
    <row r="5390" customFormat="false" ht="15.75" hidden="false" customHeight="true" outlineLevel="0" collapsed="false"/>
    <row r="5398" customFormat="false" ht="48" hidden="false" customHeight="true" outlineLevel="0" collapsed="false"/>
    <row r="5439" customFormat="false" ht="15.75" hidden="false" customHeight="true" outlineLevel="0" collapsed="false"/>
    <row r="5446" customFormat="false" ht="188.25" hidden="false" customHeight="true" outlineLevel="0" collapsed="false"/>
    <row r="5494" customFormat="false" ht="15.75" hidden="false" customHeight="true" outlineLevel="0" collapsed="false"/>
    <row r="5501" customFormat="false" ht="162.75" hidden="false" customHeight="true" outlineLevel="0" collapsed="false"/>
    <row r="5549" customFormat="false" ht="15.75" hidden="false" customHeight="true" outlineLevel="0" collapsed="false"/>
    <row r="5556" customFormat="false" ht="162.75" hidden="false" customHeight="true" outlineLevel="0" collapsed="false"/>
    <row r="5604" customFormat="false" ht="15.75" hidden="false" customHeight="true" outlineLevel="0" collapsed="false"/>
    <row r="5611" customFormat="false" ht="60.75" hidden="false" customHeight="true" outlineLevel="0" collapsed="false"/>
    <row r="5614" customFormat="false" ht="201" hidden="false" customHeight="true" outlineLevel="0" collapsed="false"/>
    <row r="5662" customFormat="false" ht="15.75" hidden="false" customHeight="true" outlineLevel="0" collapsed="false"/>
    <row r="5670" customFormat="false" ht="35.25" hidden="false" customHeight="true" outlineLevel="0" collapsed="false"/>
    <row r="5709" customFormat="false" ht="15.75" hidden="false" customHeight="true" outlineLevel="0" collapsed="false"/>
    <row r="5717" customFormat="false" ht="48" hidden="false" customHeight="true" outlineLevel="0" collapsed="false"/>
    <row r="5758" customFormat="false" ht="15.75" hidden="false" customHeight="true" outlineLevel="0" collapsed="false"/>
    <row r="5767" customFormat="false" ht="48" hidden="false" customHeight="true" outlineLevel="0" collapsed="false"/>
    <row r="5797" customFormat="false" ht="15.75" hidden="false" customHeight="true" outlineLevel="0" collapsed="false"/>
    <row r="5806" customFormat="false" ht="22.5" hidden="false" customHeight="true" outlineLevel="0" collapsed="false"/>
    <row r="5848" customFormat="false" ht="15.75" hidden="false" customHeight="true" outlineLevel="0" collapsed="false"/>
    <row r="5855" customFormat="false" ht="48" hidden="false" customHeight="true" outlineLevel="0" collapsed="false"/>
    <row r="5858" customFormat="false" ht="188.25" hidden="false" customHeight="true" outlineLevel="0" collapsed="false"/>
    <row r="5906" customFormat="false" ht="15.75" hidden="false" customHeight="true" outlineLevel="0" collapsed="false"/>
    <row r="5914" customFormat="false" ht="73.5" hidden="false" customHeight="true" outlineLevel="0" collapsed="false"/>
    <row r="5964" customFormat="false" ht="15.75" hidden="false" customHeight="true" outlineLevel="0" collapsed="false"/>
    <row r="5971" customFormat="false" ht="188.25" hidden="false" customHeight="true" outlineLevel="0" collapsed="false"/>
    <row r="6018" customFormat="false" ht="15.75" hidden="false" customHeight="true" outlineLevel="0" collapsed="false"/>
    <row r="6026" customFormat="false" ht="22.5" hidden="false" customHeight="true" outlineLevel="0" collapsed="false"/>
    <row r="6067" customFormat="false" ht="15.75" hidden="false" customHeight="true" outlineLevel="0" collapsed="false"/>
    <row r="6074" customFormat="false" ht="48" hidden="false" customHeight="true" outlineLevel="0" collapsed="false"/>
    <row r="6077" customFormat="false" ht="35.25" hidden="false" customHeight="true" outlineLevel="0" collapsed="false"/>
    <row r="6125" customFormat="false" ht="15.75" hidden="false" customHeight="true" outlineLevel="0" collapsed="false"/>
    <row r="6132" customFormat="false" ht="239.25" hidden="false" customHeight="true" outlineLevel="0" collapsed="false"/>
    <row r="6186" customFormat="false" ht="15.75" hidden="false" customHeight="true" outlineLevel="0" collapsed="false"/>
    <row r="6193" customFormat="false" ht="252" hidden="false" customHeight="true" outlineLevel="0" collapsed="false"/>
    <row r="6245" customFormat="false" ht="15.75" hidden="false" customHeight="true" outlineLevel="0" collapsed="false"/>
    <row r="6252" customFormat="false" ht="409.5" hidden="false" customHeight="true" outlineLevel="0" collapsed="false"/>
    <row r="6255" customFormat="false" ht="124.5" hidden="false" customHeight="true" outlineLevel="0" collapsed="false"/>
    <row r="6304" customFormat="false" ht="15.75" hidden="false" customHeight="true" outlineLevel="0" collapsed="false"/>
    <row r="6311" customFormat="false" ht="124.5" hidden="false" customHeight="true" outlineLevel="0" collapsed="false"/>
    <row r="6314" customFormat="false" ht="35.25" hidden="false" customHeight="true" outlineLevel="0" collapsed="false"/>
    <row r="6356" customFormat="false" ht="15.75" hidden="false" customHeight="true" outlineLevel="0" collapsed="false"/>
    <row r="6364" customFormat="false" ht="48" hidden="false" customHeight="true" outlineLevel="0" collapsed="false"/>
    <row r="6367" customFormat="false" ht="124.5" hidden="false" customHeight="true" outlineLevel="0" collapsed="false"/>
    <row r="6414" customFormat="false" ht="15.75" hidden="false" customHeight="true" outlineLevel="0" collapsed="false"/>
    <row r="6422" customFormat="false" ht="73.5" hidden="false" customHeight="true" outlineLevel="0" collapsed="false"/>
    <row r="6425" customFormat="false" ht="137.25" hidden="false" customHeight="true" outlineLevel="0" collapsed="false"/>
    <row r="6463" customFormat="false" ht="15.75" hidden="false" customHeight="true" outlineLevel="0" collapsed="false"/>
    <row r="6512" customFormat="false" ht="15.75" hidden="false" customHeight="true" outlineLevel="0" collapsed="false"/>
    <row r="6520" customFormat="false" ht="22.5" hidden="false" customHeight="true" outlineLevel="0" collapsed="false"/>
    <row r="6563" customFormat="false" ht="15.75" hidden="false" customHeight="true" outlineLevel="0" collapsed="false"/>
    <row r="6571" customFormat="false" ht="48" hidden="false" customHeight="true" outlineLevel="0" collapsed="false"/>
    <row r="6611" customFormat="false" ht="15.75" hidden="false" customHeight="true" outlineLevel="0" collapsed="false"/>
    <row r="6619" customFormat="false" ht="22.5" hidden="false" customHeight="true" outlineLevel="0" collapsed="false"/>
    <row r="6660" customFormat="false" ht="15.75" hidden="false" customHeight="true" outlineLevel="0" collapsed="false"/>
    <row r="6668" customFormat="false" ht="22.5" hidden="false" customHeight="true" outlineLevel="0" collapsed="false"/>
    <row r="6708" customFormat="false" ht="15.75" hidden="false" customHeight="true" outlineLevel="0" collapsed="false"/>
    <row r="6716" customFormat="false" ht="22.5" hidden="false" customHeight="true" outlineLevel="0" collapsed="false"/>
    <row r="6759" customFormat="false" ht="15.75" hidden="false" customHeight="true" outlineLevel="0" collapsed="false"/>
    <row r="6766" customFormat="false" ht="175.5" hidden="false" customHeight="true" outlineLevel="0" collapsed="false"/>
    <row r="6815" customFormat="false" ht="15.75" hidden="false" customHeight="true" outlineLevel="0" collapsed="false"/>
    <row r="6823" customFormat="false" ht="35.25" hidden="false" customHeight="true" outlineLevel="0" collapsed="false"/>
    <row r="6864" customFormat="false" ht="15.75" hidden="false" customHeight="true" outlineLevel="0" collapsed="false"/>
    <row r="6871" customFormat="false" ht="48" hidden="false" customHeight="true" outlineLevel="0" collapsed="false"/>
    <row r="6920" customFormat="false" ht="15.75" hidden="false" customHeight="true" outlineLevel="0" collapsed="false"/>
    <row r="6929" customFormat="false" ht="86.25" hidden="false" customHeight="true" outlineLevel="0" collapsed="false"/>
    <row r="6969" customFormat="false" ht="15.75" hidden="false" customHeight="true" outlineLevel="0" collapsed="false"/>
    <row r="6976" customFormat="false" ht="73.5" hidden="false" customHeight="true" outlineLevel="0" collapsed="false"/>
    <row r="6979" customFormat="false" ht="22.5" hidden="false" customHeight="true" outlineLevel="0" collapsed="false"/>
    <row r="7021" customFormat="false" ht="15.75" hidden="false" customHeight="true" outlineLevel="0" collapsed="false"/>
    <row r="7029" customFormat="false" ht="48" hidden="false" customHeight="true" outlineLevel="0" collapsed="false"/>
    <row r="7076" customFormat="false" ht="15.75" hidden="false" customHeight="true" outlineLevel="0" collapsed="false"/>
    <row r="7084" customFormat="false" ht="35.25" hidden="false" customHeight="true" outlineLevel="0" collapsed="false"/>
    <row r="7087" customFormat="false" ht="73.5" hidden="false" customHeight="true" outlineLevel="0" collapsed="false"/>
    <row r="7127" customFormat="false" ht="15.75" hidden="false" customHeight="true" outlineLevel="0" collapsed="false"/>
    <row r="7135" customFormat="false" ht="48" hidden="false" customHeight="true" outlineLevel="0" collapsed="false"/>
    <row r="7175" customFormat="false" ht="15.75" hidden="false" customHeight="true" outlineLevel="0" collapsed="false"/>
    <row r="7224" customFormat="false" ht="15.75" hidden="false" customHeight="true" outlineLevel="0" collapsed="false"/>
    <row r="7232" customFormat="false" ht="35.25" hidden="false" customHeight="true" outlineLevel="0" collapsed="false"/>
    <row r="7272" customFormat="false" ht="15.75" hidden="false" customHeight="true" outlineLevel="0" collapsed="false"/>
    <row r="7280" customFormat="false" ht="48" hidden="false" customHeight="true" outlineLevel="0" collapsed="false"/>
    <row r="7322" customFormat="false" ht="15.75" hidden="false" customHeight="true" outlineLevel="0" collapsed="false"/>
    <row r="7329" customFormat="false" ht="99" hidden="false" customHeight="true" outlineLevel="0" collapsed="false"/>
    <row r="7332" customFormat="false" ht="86.25" hidden="false" customHeight="true" outlineLevel="0" collapsed="false"/>
    <row r="7379" customFormat="false" ht="15.75" hidden="false" customHeight="true" outlineLevel="0" collapsed="false"/>
    <row r="7386" customFormat="false" ht="86.25" hidden="false" customHeight="true" outlineLevel="0" collapsed="false"/>
    <row r="7389" customFormat="false" ht="60.75" hidden="false" customHeight="true" outlineLevel="0" collapsed="false"/>
    <row r="7431" customFormat="false" ht="15.75" hidden="false" customHeight="true" outlineLevel="0" collapsed="false"/>
    <row r="7442" customFormat="false" ht="86.25" hidden="false" customHeight="true" outlineLevel="0" collapsed="false"/>
    <row r="7490" customFormat="false" ht="15.75" hidden="false" customHeight="true" outlineLevel="0" collapsed="false"/>
    <row r="7499" customFormat="false" ht="35.25" hidden="false" customHeight="true" outlineLevel="0" collapsed="false"/>
    <row r="7540" customFormat="false" ht="15.75" hidden="false" customHeight="true" outlineLevel="0" collapsed="false"/>
    <row r="7547" customFormat="false" ht="48" hidden="false" customHeight="true" outlineLevel="0" collapsed="false"/>
    <row r="7596" customFormat="false" ht="15.75" hidden="false" customHeight="true" outlineLevel="0" collapsed="false"/>
    <row r="7603" customFormat="false" ht="48" hidden="false" customHeight="true" outlineLevel="0" collapsed="false"/>
    <row r="7652" customFormat="false" ht="15.75" hidden="false" customHeight="true" outlineLevel="0" collapsed="false"/>
    <row r="7659" customFormat="false" ht="48" hidden="false" customHeight="true" outlineLevel="0" collapsed="false"/>
    <row r="7707" customFormat="false" ht="15.75" hidden="false" customHeight="true" outlineLevel="0" collapsed="false"/>
    <row r="7714" customFormat="false" ht="48" hidden="false" customHeight="true" outlineLevel="0" collapsed="false"/>
    <row r="7763" customFormat="false" ht="15.75" hidden="false" customHeight="true" outlineLevel="0" collapsed="false"/>
    <row r="7770" customFormat="false" ht="48" hidden="false" customHeight="true" outlineLevel="0" collapsed="false"/>
    <row r="7819" customFormat="false" ht="15.75" hidden="false" customHeight="true" outlineLevel="0" collapsed="false"/>
    <row r="7827" customFormat="false" ht="22.5" hidden="false" customHeight="true" outlineLevel="0" collapsed="false"/>
    <row r="7830" customFormat="false" ht="22.5" hidden="false" customHeight="true" outlineLevel="0" collapsed="false"/>
    <row r="7869" customFormat="false" ht="15.75" hidden="false" customHeight="true" outlineLevel="0" collapsed="false"/>
    <row r="7878" customFormat="false" ht="22.5" hidden="false" customHeight="true" outlineLevel="0" collapsed="false"/>
    <row r="7911" customFormat="false" ht="15.75" hidden="false" customHeight="true" outlineLevel="0" collapsed="false"/>
    <row r="7918" customFormat="false" ht="35.25" hidden="false" customHeight="true" outlineLevel="0" collapsed="false"/>
    <row r="7921" customFormat="false" ht="35.25" hidden="false" customHeight="true" outlineLevel="0" collapsed="false"/>
    <row r="7960" customFormat="false" ht="15.75" hidden="false" customHeight="true" outlineLevel="0" collapsed="false"/>
    <row r="7967" customFormat="false" ht="22.5" hidden="false" customHeight="true" outlineLevel="0" collapsed="false"/>
    <row r="7970" customFormat="false" ht="35.25" hidden="false" customHeight="true" outlineLevel="0" collapsed="false"/>
    <row r="8018" customFormat="false" ht="15.75" hidden="false" customHeight="true" outlineLevel="0" collapsed="false"/>
    <row r="8027" customFormat="false" ht="73.5" hidden="false" customHeight="true" outlineLevel="0" collapsed="false"/>
    <row r="8071" customFormat="false" ht="15.75" hidden="false" customHeight="true" outlineLevel="0" collapsed="false"/>
    <row r="8079" customFormat="false" ht="73.5" hidden="false" customHeight="true" outlineLevel="0" collapsed="false"/>
    <row r="8121" customFormat="false" ht="15.75" hidden="false" customHeight="true" outlineLevel="0" collapsed="false"/>
    <row r="8128" customFormat="false" ht="35.25" hidden="false" customHeight="true" outlineLevel="0" collapsed="false"/>
    <row r="8131" customFormat="false" ht="48" hidden="false" customHeight="true" outlineLevel="0" collapsed="false"/>
    <row r="8173" customFormat="false" ht="15.75" hidden="false" customHeight="true" outlineLevel="0" collapsed="false"/>
    <row r="8181" customFormat="false" ht="35.25" hidden="false" customHeight="true" outlineLevel="0" collapsed="false"/>
    <row r="8221" customFormat="false" ht="15.75" hidden="false" customHeight="true" outlineLevel="0" collapsed="false"/>
    <row r="8228" customFormat="false" ht="35.25" hidden="false" customHeight="true" outlineLevel="0" collapsed="false"/>
    <row r="8231" customFormat="false" ht="124.5" hidden="false" customHeight="true" outlineLevel="0" collapsed="false"/>
    <row r="8278" customFormat="false" ht="15.75" hidden="false" customHeight="true" outlineLevel="0" collapsed="false"/>
    <row r="8285" customFormat="false" ht="22.5" hidden="false" customHeight="true" outlineLevel="0" collapsed="false"/>
    <row r="8288" customFormat="false" ht="22.5" hidden="false" customHeight="true" outlineLevel="0" collapsed="false"/>
    <row r="8328" customFormat="false" ht="15.75" hidden="false" customHeight="true" outlineLevel="0" collapsed="false"/>
    <row r="8337" customFormat="false" ht="73.5" hidden="false" customHeight="true" outlineLevel="0" collapsed="false"/>
    <row r="8377" customFormat="false" ht="15.75" hidden="false" customHeight="true" outlineLevel="0" collapsed="false"/>
    <row r="8385" customFormat="false" ht="35.25" hidden="false" customHeight="true" outlineLevel="0" collapsed="false"/>
    <row r="8435" customFormat="false" ht="15.75" hidden="false" customHeight="true" outlineLevel="0" collapsed="false"/>
    <row r="8443" customFormat="false" ht="35.25" hidden="false" customHeight="true" outlineLevel="0" collapsed="false"/>
    <row r="8484" customFormat="false" ht="15.75" hidden="false" customHeight="true" outlineLevel="0" collapsed="false"/>
    <row r="8491" customFormat="false" ht="111.75" hidden="false" customHeight="true" outlineLevel="0" collapsed="false"/>
    <row r="8494" customFormat="false" ht="22.5" hidden="false" customHeight="true" outlineLevel="0" collapsed="false"/>
    <row r="8534" customFormat="false" ht="15.75" hidden="false" customHeight="true" outlineLevel="0" collapsed="false"/>
    <row r="8541" customFormat="false" ht="175.5" hidden="false" customHeight="true" outlineLevel="0" collapsed="false"/>
    <row r="8581" customFormat="false" ht="15.75" hidden="false" customHeight="true" outlineLevel="0" collapsed="false"/>
    <row r="8588" customFormat="false" ht="213.75" hidden="false" customHeight="true" outlineLevel="0" collapsed="false"/>
    <row r="8628" customFormat="false" ht="15.75" hidden="false" customHeight="true" outlineLevel="0" collapsed="false"/>
    <row r="8635" customFormat="false" ht="201" hidden="false" customHeight="true" outlineLevel="0" collapsed="false"/>
    <row r="8675" customFormat="false" ht="15.75" hidden="false" customHeight="true" outlineLevel="0" collapsed="false"/>
    <row r="8683" customFormat="false" ht="48" hidden="false" customHeight="true" outlineLevel="0" collapsed="false"/>
    <row r="8725" customFormat="false" ht="15.75" hidden="false" customHeight="true" outlineLevel="0" collapsed="false"/>
    <row r="8732" customFormat="false" ht="239.25" hidden="false" customHeight="true" outlineLevel="0" collapsed="false"/>
    <row r="8781" customFormat="false" ht="15.75" hidden="false" customHeight="true" outlineLevel="0" collapsed="false"/>
    <row r="8790" customFormat="false" ht="124.5" hidden="false" customHeight="true" outlineLevel="0" collapsed="false"/>
    <row r="8830" customFormat="false" ht="15.75" hidden="false" customHeight="true" outlineLevel="0" collapsed="false"/>
    <row r="8837" customFormat="false" ht="162.75" hidden="false" customHeight="true" outlineLevel="0" collapsed="false"/>
    <row r="8877" customFormat="false" ht="15.75" hidden="false" customHeight="true" outlineLevel="0" collapsed="false"/>
    <row r="8883" customFormat="false" ht="213.75" hidden="false" customHeight="true" outlineLevel="0" collapsed="false"/>
    <row r="8923" customFormat="false" ht="15.75" hidden="false" customHeight="true" outlineLevel="0" collapsed="false"/>
    <row r="8931" customFormat="false" ht="60.75" hidden="false" customHeight="true" outlineLevel="0" collapsed="false"/>
    <row r="8934" customFormat="false" ht="315.75" hidden="false" customHeight="true" outlineLevel="0" collapsed="false"/>
    <row r="8974" customFormat="false" ht="15.75" hidden="false" customHeight="true" outlineLevel="0" collapsed="false"/>
    <row r="8982" customFormat="false" ht="60.75" hidden="false" customHeight="true" outlineLevel="0" collapsed="false"/>
    <row r="9024" customFormat="false" ht="15.75" hidden="false" customHeight="true" outlineLevel="0" collapsed="false"/>
    <row r="9032" customFormat="false" ht="60.75" hidden="false" customHeight="true" outlineLevel="0" collapsed="false"/>
    <row r="9073" customFormat="false" ht="15.75" hidden="false" customHeight="true" outlineLevel="0" collapsed="false"/>
    <row r="9081" customFormat="false" ht="252" hidden="false" customHeight="true" outlineLevel="0" collapsed="false"/>
    <row r="9084" customFormat="false" ht="86.25" hidden="false" customHeight="true" outlineLevel="0" collapsed="false"/>
    <row r="9130" customFormat="false" ht="15.75" hidden="false" customHeight="true" outlineLevel="0" collapsed="false"/>
    <row r="9139" customFormat="false" ht="366.75" hidden="false" customHeight="true" outlineLevel="0" collapsed="false"/>
    <row r="9179" customFormat="false" ht="15.75" hidden="false" customHeight="true" outlineLevel="0" collapsed="false"/>
    <row r="9187" customFormat="false" ht="48" hidden="false" customHeight="true" outlineLevel="0" collapsed="false"/>
    <row r="9227" customFormat="false" ht="15.75" hidden="false" customHeight="true" outlineLevel="0" collapsed="false"/>
    <row r="9235" customFormat="false" ht="22.5" hidden="false" customHeight="true" outlineLevel="0" collapsed="false"/>
    <row r="9238" customFormat="false" ht="277.5" hidden="false" customHeight="true" outlineLevel="0" collapsed="false"/>
    <row r="9277" customFormat="false" ht="15.75" hidden="false" customHeight="true" outlineLevel="0" collapsed="false"/>
    <row r="9286" customFormat="false" ht="35.25" hidden="false" customHeight="true" outlineLevel="0" collapsed="false"/>
    <row r="9327" customFormat="false" ht="15.75" hidden="false" customHeight="true" outlineLevel="0" collapsed="false"/>
    <row r="9336" customFormat="false" ht="48" hidden="false" customHeight="true" outlineLevel="0" collapsed="false"/>
    <row r="9376" customFormat="false" ht="15.75" hidden="false" customHeight="true" outlineLevel="0" collapsed="false"/>
    <row r="9424" customFormat="false" ht="15.75" hidden="false" customHeight="true" outlineLevel="0" collapsed="false"/>
    <row r="9435" customFormat="false" ht="213.75" hidden="false" customHeight="true" outlineLevel="0" collapsed="false"/>
    <row r="9481" customFormat="false" ht="15.75" hidden="false" customHeight="true" outlineLevel="0" collapsed="false"/>
    <row r="9538" customFormat="false" ht="15.75" hidden="false" customHeight="true" outlineLevel="0" collapsed="false"/>
    <row r="9549" customFormat="false" ht="226.5" hidden="false" customHeight="true" outlineLevel="0" collapsed="false"/>
    <row r="9588" customFormat="false" ht="15.75" hidden="false" customHeight="true" outlineLevel="0" collapsed="false"/>
    <row r="9597" customFormat="false" ht="22.5" hidden="false" customHeight="true" outlineLevel="0" collapsed="false"/>
    <row r="9637" customFormat="false" ht="15.75" hidden="false" customHeight="true" outlineLevel="0" collapsed="false"/>
    <row r="9646" customFormat="false" ht="35.25" hidden="false" customHeight="true" outlineLevel="0" collapsed="false"/>
    <row r="9688" customFormat="false" ht="15.75" hidden="false" customHeight="true" outlineLevel="0" collapsed="false"/>
    <row r="9695" customFormat="false" ht="405" hidden="false" customHeight="true" outlineLevel="0" collapsed="false"/>
    <row r="9698" customFormat="false" ht="188.25" hidden="false" customHeight="true" outlineLevel="0" collapsed="false"/>
    <row r="9746" customFormat="false" ht="15.75" hidden="false" customHeight="true" outlineLevel="0" collapsed="false"/>
    <row r="9754" customFormat="false" ht="35.25" hidden="false" customHeight="true" outlineLevel="0" collapsed="false"/>
    <row r="9789" customFormat="false" ht="15.75" hidden="false" customHeight="true" outlineLevel="0" collapsed="false"/>
    <row r="9796" customFormat="false" ht="201" hidden="false" customHeight="true" outlineLevel="0" collapsed="false"/>
    <row r="9843" customFormat="false" ht="15.75" hidden="false" customHeight="true" outlineLevel="0" collapsed="false"/>
    <row r="9851" customFormat="false" ht="22.5" hidden="false" customHeight="true" outlineLevel="0" collapsed="false"/>
    <row r="9891" customFormat="false" ht="15.75" hidden="false" customHeight="true" outlineLevel="0" collapsed="false"/>
    <row r="9898" customFormat="false" ht="48" hidden="false" customHeight="true" outlineLevel="0" collapsed="false"/>
    <row r="9923" customFormat="false" ht="15.75" hidden="false" customHeight="true" outlineLevel="0" collapsed="false"/>
    <row r="9929" customFormat="false" ht="60.75" hidden="false" customHeight="true" outlineLevel="0" collapsed="false"/>
    <row r="9932" customFormat="false" ht="22.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693251-8e8d-405b-b373-70d552485203">
      <Terms xmlns="http://schemas.microsoft.com/office/infopath/2007/PartnerControls"/>
    </lcf76f155ced4ddcb4097134ff3c332f>
    <TaxCatchAll xmlns="59ea0239-4495-46d3-a8af-7a55bde7bf4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8D6DDE00365F4EB14AD1E98C20529B" ma:contentTypeVersion="17" ma:contentTypeDescription="Create a new document." ma:contentTypeScope="" ma:versionID="934123a92a800223004290f440d21fd6">
  <xsd:schema xmlns:xsd="http://www.w3.org/2001/XMLSchema" xmlns:xs="http://www.w3.org/2001/XMLSchema" xmlns:p="http://schemas.microsoft.com/office/2006/metadata/properties" xmlns:ns2="05693251-8e8d-405b-b373-70d552485203" xmlns:ns3="59ea0239-4495-46d3-a8af-7a55bde7bf4a" targetNamespace="http://schemas.microsoft.com/office/2006/metadata/properties" ma:root="true" ma:fieldsID="8e8dfea83b9bf11984db370ff4f5b476" ns2:_="" ns3:_="">
    <xsd:import namespace="05693251-8e8d-405b-b373-70d552485203"/>
    <xsd:import namespace="59ea0239-4495-46d3-a8af-7a55bde7bf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693251-8e8d-405b-b373-70d5524852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8fa6c5f1-afbd-42b3-a17d-d4459a8537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ea0239-4495-46d3-a8af-7a55bde7bf4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2361bb4d-1db8-47b3-8ee8-822d76cde4f9}" ma:internalName="TaxCatchAll" ma:showField="CatchAllData" ma:web="59ea0239-4495-46d3-a8af-7a55bde7bf4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B9BA85A-73DF-4519-9741-39B32F911CC9}">
  <ds:schemaRefs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59ea0239-4495-46d3-a8af-7a55bde7bf4a"/>
    <ds:schemaRef ds:uri="05693251-8e8d-405b-b373-70d552485203"/>
  </ds:schemaRefs>
</ds:datastoreItem>
</file>

<file path=customXml/itemProps2.xml><?xml version="1.0" encoding="utf-8"?>
<ds:datastoreItem xmlns:ds="http://schemas.openxmlformats.org/officeDocument/2006/customXml" ds:itemID="{5EBD74C8-4B5A-458F-B44D-7A877F14FA4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9CA82B-C301-46D6-9DF9-D9F24FA9C2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693251-8e8d-405b-b373-70d552485203"/>
    <ds:schemaRef ds:uri="59ea0239-4495-46d3-a8af-7a55bde7bf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2019-08-02T19:06:58Z</dcterms:created>
  <dc:creator>Lucas Yeung</dc:creator>
  <dc:description/>
  <dc:language>en-US</dc:language>
  <cp:lastModifiedBy/>
  <dcterms:modified xsi:type="dcterms:W3CDTF">2024-03-13T13:23:43Z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0x010100C98D6DDE00365F4EB14AD1E98C20529B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</Properties>
</file>